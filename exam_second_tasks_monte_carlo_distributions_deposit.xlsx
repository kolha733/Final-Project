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f07558659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b7756e536ff64d4b"/>
    <x:sheet xmlns:r="http://schemas.openxmlformats.org/officeDocument/2006/relationships" name="Билет13_эллипсоид" sheetId="2" r:id="Rd266e409042f4ecf"/>
    <x:sheet xmlns:r="http://schemas.openxmlformats.org/officeDocument/2006/relationships" name="Билет17_распределение" sheetId="3" r:id="R25c6e87d6fae4c88"/>
    <x:sheet xmlns:r="http://schemas.openxmlformats.org/officeDocument/2006/relationships" name="Билет22_спрос" sheetId="4" r:id="R9afb9e862c3c446e"/>
    <x:sheet xmlns:r="http://schemas.openxmlformats.org/officeDocument/2006/relationships" name="Билет30_депозит" sheetId="5" r:id="Rbd0c480723ae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"/>
    <x:numFmt numFmtId="201" formatCode="0.000000"/>
    <x:numFmt numFmtId="202" formatCode="0.00%"/>
    <x:numFmt numFmtId="203" formatCode="0.000"/>
    <x:numFmt numFmtId="204" formatCode="0"/>
    <x:numFmt numFmtId="205" formatCode="0.0"/>
    <x:numFmt numFmtId="206" formatCode="0.00"/>
    <x:numFmt numFmtId="207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207" fontId="3" fillId="5" borderId="0" xfId="0" applyNumberFormat="1" applyFont="1" applyFill="1" applyBorder="1" applyAlignment="1">
      <x:alignment horizontal="center" vertical="center"/>
    </x:xf>
    <x:xf numFmtId="207" fontId="3" fillId="5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b216e093c49cf" /><Relationship Type="http://schemas.openxmlformats.org/officeDocument/2006/relationships/theme" Target="/xl/theme/theme1.xml" Id="R8c3d2835f8524b16" /><Relationship Type="http://schemas.openxmlformats.org/officeDocument/2006/relationships/sharedStrings" Target="/xl/sharedStrings.xml" Id="R34f86faef7814e0f" /><Relationship Type="http://schemas.openxmlformats.org/officeDocument/2006/relationships/worksheet" Target="/xl/worksheets/sheet1.xml" Id="Rb7756e536ff64d4b" /><Relationship Type="http://schemas.openxmlformats.org/officeDocument/2006/relationships/worksheet" Target="/xl/worksheets/sheet2.xml" Id="Rd266e409042f4ecf" /><Relationship Type="http://schemas.openxmlformats.org/officeDocument/2006/relationships/worksheet" Target="/xl/worksheets/sheet3.xml" Id="R25c6e87d6fae4c88" /><Relationship Type="http://schemas.openxmlformats.org/officeDocument/2006/relationships/worksheet" Target="/xl/worksheets/sheet4.xml" Id="R9afb9e862c3c446e" /><Relationship Type="http://schemas.openxmlformats.org/officeDocument/2006/relationships/worksheet" Target="/xl/worksheets/sheet5.xml" Id="Rbd0c480723ae4b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753cfbafa248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e7237b4f331423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1f11322e0ff40a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ef9506084f94f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Сходимость оценки объема эллипсоида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Оценка V</c:v>
          </c:tx>
          <c:cat>
            <c:strRef>
              <c:f>'Билет13_эллипсоид'!$I$18:$I$2017</c:f>
              <c:strCache>
                <c:ptCount val="0"/>
              </c:strCache>
            </c:strRef>
          </c:cat>
          <c:val>
            <c:numRef>
              <c:f>'Билет13_эллипсоид'!$J$18:$J$2017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Точное V</c:v>
          </c:tx>
          <c:cat>
            <c:strRef>
              <c:f>'Билет13_эллипсоид'!$I$18:$I$2017</c:f>
              <c:strCache>
                <c:ptCount val="0"/>
              </c:strCache>
            </c:strRef>
          </c:cat>
          <c:val>
            <c:numRef>
              <c:f>'Билет13_эллипсоид'!$K$18:$K$2017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Сравнение теоретических и имитированных вероятностей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Теор. вероятность</c:v>
          </c:tx>
          <c:cat>
            <c:strRef>
              <c:f>'Билет17_распределение'!$J$17:$J$22</c:f>
              <c:strCache>
                <c:ptCount val="0"/>
              </c:strCache>
            </c:strRef>
          </c:cat>
          <c:val>
            <c:numRef>
              <c:f>'Билет17_распределение'!$K$17:$K$22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Сим. вероятность</c:v>
          </c:tx>
          <c:cat>
            <c:strRef>
              <c:f>'Билет17_распределение'!$J$17:$J$22</c:f>
              <c:strCache>
                <c:ptCount val="0"/>
              </c:strCache>
            </c:strRef>
          </c:cat>
          <c:val>
            <c:numRef>
              <c:f>'Билет17_распределение'!$L$17:$L$22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Средний спрос в каждом эксперименте и теоретическое E(X)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Средний спрос</c:v>
          </c:tx>
          <c:cat>
            <c:strRef>
              <c:f>'Билет22_спрос'!$A$39:$A$58</c:f>
              <c:strCache>
                <c:ptCount val="0"/>
              </c:strCache>
            </c:strRef>
          </c:cat>
          <c:val>
            <c:numRef>
              <c:f>'Билет22_спрос'!$B$39:$B$58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Теоретическое E(X)</c:v>
          </c:tx>
          <c:cat>
            <c:strRef>
              <c:f>'Билет22_спрос'!$A$39:$A$58</c:f>
              <c:strCache>
                <c:ptCount val="0"/>
              </c:strCache>
            </c:strRef>
          </c:cat>
          <c:val>
            <c:numRef>
              <c:f>'Билет22_спрос'!$C$39:$C$58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Средний баланс по месяцам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Средний баланс</c:v>
          </c:tx>
          <c:cat>
            <c:strRef>
              <c:f>'Билет30_депозит'!$AB$16:$AB$40</c:f>
              <c:strCache>
                <c:ptCount val="0"/>
              </c:strCache>
            </c:strRef>
          </c:cat>
          <c:val>
            <c:numRef>
              <c:f>'Билет30_депозит'!$AC$16:$AC$40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753cfbafa248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7237b4f331423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37</xdr:row>
      <xdr:rowOff>0</xdr:rowOff>
    </xdr:from>
    <xdr:to>
      <xdr:col>25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f11322e0ff40a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27</xdr:col>
      <xdr:colOff>0</xdr:colOff>
      <xdr:row>2</xdr:row>
      <xdr:rowOff>0</xdr:rowOff>
    </xdr:from>
    <xdr:to>
      <xdr:col>30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f9506084f94f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1adeba570484a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451e7190cdc4f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e17ea142a1f43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33c474bbaa0489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Итоги по четырем вторым заданиям экзамена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Билет</x:v>
      </x:c>
      <x:c r="B3" s="16" t="str">
        <x:v>Задача</x:v>
      </x:c>
      <x:c r="C3" s="16" t="str">
        <x:v>Главный результат</x:v>
      </x:c>
      <x:c r="D3" s="16" t="str">
        <x:v>Погрешность / сравнение</x:v>
      </x:c>
      <x:c r="E3" s="16" t="str">
        <x:v>Доверительный интервал / вывод</x:v>
      </x:c>
      <x:c r="F3" s="16" t="str">
        <x:v>N / эксперименты</x:v>
      </x:c>
      <x:c r="G3" s="16" t="str">
        <x:v>Seed</x:v>
      </x:c>
      <x:c r="H3" s="16" t="str">
        <x:v>Лист с расчетами</x:v>
      </x:c>
    </x:row>
    <x:row r="4">
      <x:c r="A4" s="32" t="str">
        <x:v>№13</x:v>
      </x:c>
      <x:c r="B4" s="32" t="str">
        <x:v>Объем эллипсоида методом Монте-Карло</x:v>
      </x:c>
      <x:c r="C4" s="34" t="n">
        <x:f>'Билет13_эллипсоид'!B10</x:f>
        <x:v>100.416</x:v>
      </x:c>
      <x:c r="D4" s="34" t="n">
        <x:f>'Билет13_эллипсоид'!B12</x:f>
        <x:v>0.1149649148733829</x:v>
      </x:c>
      <x:c r="E4" s="32" t="str">
        <x:f>TEXT('Билет13_эллипсоид'!B15,"0.000")&amp;"; "&amp;TEXT('Билет13_эллипсоид'!B16,"0.000")</x:f>
        <x:v>96.213; 104.619</x:v>
      </x:c>
      <x:c r="F4" s="32" t="n">
        <x:v>2000</x:v>
      </x:c>
      <x:c r="G4" s="32" t="n">
        <x:v>42</x:v>
      </x:c>
      <x:c r="H4" s="32" t="str">
        <x:v>Билет13_эллипсоид</x:v>
      </x:c>
    </x:row>
    <x:row r="5">
      <x:c r="A5" s="32" t="str">
        <x:v>№17</x:v>
      </x:c>
      <x:c r="B5" s="32" t="str">
        <x:v>Дискретное распределение по эмпирическим частотам</x:v>
      </x:c>
      <x:c r="C5" s="34" t="str">
        <x:f>TEXT('Билет17_распределение'!K12,"0.0000")</x:f>
        <x:v>0.0042</x:v>
      </x:c>
      <x:c r="D5" s="34" t="str">
        <x:f>"Среднее абс. отклонение вероятностей"</x:f>
        <x:v>Среднее абс. отклонение вероятностей</x:v>
      </x:c>
      <x:c r="E5" s="32" t="str">
        <x:v>Гистограммы теор. и имит. частот должны быть близки</x:v>
      </x:c>
      <x:c r="F5" s="32" t="n">
        <x:v>2000</x:v>
      </x:c>
      <x:c r="G5" s="32" t="n">
        <x:v>42</x:v>
      </x:c>
      <x:c r="H5" s="32" t="str">
        <x:v>Билет17_распределение</x:v>
      </x:c>
    </x:row>
    <x:row r="6">
      <x:c r="A6" s="32" t="str">
        <x:v>№22</x:v>
      </x:c>
      <x:c r="B6" s="32" t="str">
        <x:v>Спрос на 20 дней, 20 экспериментов</x:v>
      </x:c>
      <x:c r="C6" s="34" t="n">
        <x:f>'Билет22_спрос'!B13</x:f>
        <x:v>2.7950000000000004</x:v>
      </x:c>
      <x:c r="D6" s="34" t="n">
        <x:f>'Билет22_спрос'!C14</x:f>
        <x:v>0.07000000000000073</x:v>
      </x:c>
      <x:c r="E6" s="32" t="str">
        <x:f>"Сравнение с E(X)="&amp;TEXT('Билет22_спрос'!B12,"0.000")</x:f>
        <x:v>Сравнение с E(X)=2.725</x:v>
      </x:c>
      <x:c r="F6" s="32" t="str">
        <x:v>20×20 дней</x:v>
      </x:c>
      <x:c r="G6" s="32" t="n">
        <x:v>42</x:v>
      </x:c>
      <x:c r="H6" s="32" t="str">
        <x:v>Билет22_спрос</x:v>
      </x:c>
    </x:row>
    <x:row r="7">
      <x:c r="A7" s="32" t="str">
        <x:v>№30</x:v>
      </x:c>
      <x:c r="B7" s="32" t="str">
        <x:v>Депозит 24 месяца, 20 экспериментов</x:v>
      </x:c>
      <x:c r="C7" s="34" t="n">
        <x:f>'Билет30_депозит'!B8</x:f>
        <x:v>425625.5926528997</x:v>
      </x:c>
      <x:c r="D7" s="34" t="str">
        <x:f>"σ итогового баланса="&amp;TEXT('Билет30_депозит'!B9,"0")</x:f>
        <x:v>σ итогового баланса=28444</x:v>
      </x:c>
      <x:c r="E7" s="32" t="str">
        <x:f>TEXT('Билет30_депозит'!B11,"0")&amp;"; "&amp;TEXT('Билет30_депозит'!B12,"0")</x:f>
        <x:v>413159; 438092</x:v>
      </x:c>
      <x:c r="F7" s="32" t="str">
        <x:v>20×24 месяца</x:v>
      </x:c>
      <x:c r="G7" s="32" t="n">
        <x:v>42</x:v>
      </x:c>
      <x:c r="H7" s="32" t="str">
        <x:v>Билет30_депозит</x:v>
      </x:c>
    </x:row>
    <x:row r="8">
      <x:c r="A8" s="32"/>
      <x:c r="B8" s="32"/>
      <x:c r="C8" s="32"/>
      <x:c r="D8" s="32"/>
      <x:c r="E8" s="32"/>
      <x:c r="F8" s="32"/>
      <x:c r="G8" s="32"/>
      <x:c r="H8" s="32"/>
    </x:row>
    <x:row r="9">
      <x:c r="A9" s="26" t="str">
        <x:v>Как читать файл</x:v>
      </x:c>
      <x:c r="B9" s="26" t="str"/>
      <x:c r="C9" s="26" t="str"/>
      <x:c r="D9" s="26" t="str"/>
      <x:c r="E9" s="26" t="str"/>
      <x:c r="F9" s="26" t="str"/>
      <x:c r="G9" s="26" t="str"/>
      <x:c r="H9" s="26" t="str"/>
    </x:row>
    <x:row r="10">
      <x:c r="A10" s="32" t="str">
        <x:v>1</x:v>
      </x:c>
      <x:c r="B10" s="32" t="str">
        <x:v>Во всех задачах случайные числа зафиксированы seed=42, поэтому результаты воспроизводимы.</x:v>
      </x:c>
      <x:c r="C10" s="32" t="str"/>
      <x:c r="D10" s="32" t="str"/>
      <x:c r="E10" s="32" t="str"/>
      <x:c r="F10" s="32" t="str"/>
      <x:c r="G10" s="32" t="str"/>
      <x:c r="H10" s="32" t="str"/>
    </x:row>
    <x:row r="11">
      <x:c r="A11" s="32" t="str">
        <x:v>2</x:v>
      </x:c>
      <x:c r="B11" s="32" t="str">
        <x:v>В расчетных ячейках используются формулы Excel, а случайные значения записаны как фиксированные числа.</x:v>
      </x:c>
      <x:c r="C11" s="32" t="str"/>
      <x:c r="D11" s="32" t="str"/>
      <x:c r="E11" s="32" t="str"/>
      <x:c r="F11" s="32" t="str"/>
      <x:c r="G11" s="32" t="str"/>
      <x:c r="H11" s="32" t="str"/>
    </x:row>
    <x:row r="12">
      <x:c r="A12" s="32" t="str">
        <x:v>3</x:v>
      </x:c>
      <x:c r="B12" s="32" t="str">
        <x:v>Графики показывают сходимость, сравнение распределений или динамику баланса.</x:v>
      </x:c>
      <x:c r="C12" s="32" t="str"/>
      <x:c r="D12" s="32" t="str"/>
      <x:c r="E12" s="32" t="str"/>
      <x:c r="F12" s="32" t="str"/>
      <x:c r="G12" s="32" t="str"/>
      <x:c r="H12" s="32" t="str"/>
    </x:row>
    <x:row r="13">
      <x:c r="A13" s="32" t="str">
        <x:v>4</x:v>
      </x:c>
      <x:c r="B13" s="32" t="str">
        <x:v>Ноутбук .ipynb содержит тот же расчет на Python с пояснениями и графиками.</x:v>
      </x:c>
      <x:c r="C13" s="32" t="str"/>
      <x:c r="D13" s="32" t="str"/>
      <x:c r="E13" s="32" t="str"/>
      <x:c r="F13" s="32" t="str"/>
      <x:c r="G13" s="32" t="str"/>
      <x:c r="H13" s="3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6" t="str">
        <x:v>Билет №13 — оценка объема эллипсоида методом Монте-Карло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3">
      <x:c r="A3" s="16" t="str">
        <x:v>Параметр</x:v>
      </x:c>
      <x:c r="B3" s="16" t="str">
        <x:v>Значение</x:v>
      </x:c>
      <x:c r="D3" s="32" t="str">
        <x:v>Идея: генерируем точки в коробке [-2;2]×[-3;3]×[-4;4], считаем долю точек внутри эллипсоида и умножаем ее на объем коробки.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</x:row>
    <x:row r="4">
      <x:c r="A4" t="str">
        <x:v>Полуось a</x:v>
      </x:c>
      <x:c r="B4" t="n">
        <x:v>2</x:v>
      </x:c>
    </x:row>
    <x:row r="5">
      <x:c r="A5" t="str">
        <x:v>Полуось b</x:v>
      </x:c>
      <x:c r="B5" t="n">
        <x:v>3</x:v>
      </x:c>
      <x:c r="D5" s="32" t="str">
        <x:v>Формула доверительного интервала: V̂ ± 1,96 · Vbox · sqrt(p̂(1-p̂)/N).</x:v>
      </x:c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</x:row>
    <x:row r="6">
      <x:c r="A6" t="str">
        <x:v>Полуось c</x:v>
      </x:c>
      <x:c r="B6" t="n">
        <x:v>4</x:v>
      </x:c>
    </x:row>
    <x:row r="7">
      <x:c r="A7" t="str">
        <x:v>Число точек N</x:v>
      </x:c>
      <x:c r="B7" t="n">
        <x:v>2000</x:v>
      </x:c>
    </x:row>
    <x:row r="8">
      <x:c r="A8" t="str">
        <x:v>Объем описывающего параллелепипеда</x:v>
      </x:c>
      <x:c r="B8" s="36" t="n">
        <x:f>(2*B4)*(2*B5)*(2*B6)</x:f>
        <x:v>192</x:v>
      </x:c>
    </x:row>
    <x:row r="9">
      <x:c r="A9" t="str">
        <x:v>Доля попаданий p̂</x:v>
      </x:c>
      <x:c r="B9" s="36" t="n">
        <x:f>AVERAGE(E18:E2017)</x:f>
        <x:v>0.523</x:v>
      </x:c>
    </x:row>
    <x:row r="10">
      <x:c r="A10" t="str">
        <x:v>Оценка объема V̂</x:v>
      </x:c>
      <x:c r="B10" s="36" t="n">
        <x:f>B8*B9</x:f>
        <x:v>100.416</x:v>
      </x:c>
    </x:row>
    <x:row r="11">
      <x:c r="A11" t="str">
        <x:v>Точное значение V</x:v>
      </x:c>
      <x:c r="B11" s="36" t="n">
        <x:f>4/3*PI()*B4*B5*B6</x:f>
        <x:v>100.53096491487338</x:v>
      </x:c>
    </x:row>
    <x:row r="12">
      <x:c r="A12" t="str">
        <x:v>Абсолютная погрешность</x:v>
      </x:c>
      <x:c r="B12" s="36" t="n">
        <x:f>ABS(B10-B11)</x:f>
        <x:v>0.1149649148733829</x:v>
      </x:c>
    </x:row>
    <x:row r="13">
      <x:c r="A13" t="str">
        <x:v>Относительная погрешность</x:v>
      </x:c>
      <x:c r="B13" s="38" t="n">
        <x:f>B12/B11</x:f>
        <x:v>0.0011435771552648654</x:v>
      </x:c>
    </x:row>
    <x:row r="14">
      <x:c r="A14" t="str">
        <x:v>Стандартная ошибка</x:v>
      </x:c>
      <x:c r="B14" s="36" t="n">
        <x:f>B8*SQRT(B9*(1-B9)/B7)</x:f>
        <x:v>2.1443529261760994</x:v>
      </x:c>
    </x:row>
    <x:row r="15">
      <x:c r="A15" t="str">
        <x:v>Нижняя граница 95% ДИ</x:v>
      </x:c>
      <x:c r="B15" s="36" t="n">
        <x:f>B10-1.96*B14</x:f>
        <x:v>96.21306826469484</x:v>
      </x:c>
    </x:row>
    <x:row r="16">
      <x:c r="A16" t="str">
        <x:v>Верхняя граница 95% ДИ</x:v>
      </x:c>
      <x:c r="B16" s="36" t="n">
        <x:f>B10+1.96*B14</x:f>
        <x:v>104.61893173530515</x:v>
      </x:c>
    </x:row>
    <x:row r="17">
      <x:c r="A17" s="16" t="str">
        <x:v>№</x:v>
      </x:c>
      <x:c r="B17" s="16" t="str">
        <x:v>x</x:v>
      </x:c>
      <x:c r="C17" s="16" t="str">
        <x:v>y</x:v>
      </x:c>
      <x:c r="D17" s="16" t="str">
        <x:v>z</x:v>
      </x:c>
      <x:c r="E17" s="16" t="str">
        <x:v>Попал внутрь</x:v>
      </x:c>
      <x:c r="F17" s="16" t="str">
        <x:v>Оценка V по шагам</x:v>
      </x:c>
      <x:c r="G17" s="16" t="str">
        <x:v>Точное V</x:v>
      </x:c>
      <x:c r="I17" s="16" t="str">
        <x:v>№</x:v>
      </x:c>
      <x:c r="J17" s="16" t="str">
        <x:v>Оценка V</x:v>
      </x:c>
      <x:c r="K17" s="16" t="str">
        <x:v>Точное V</x:v>
      </x:c>
    </x:row>
    <x:row r="18">
      <x:c r="A18" t="n">
        <x:v>1</x:v>
      </x:c>
      <x:c r="B18" s="40" t="n">
        <x:v>1.0958241942238534</x:v>
      </x:c>
      <x:c r="C18" s="40" t="n">
        <x:v>2.0563918128388323</x:v>
      </x:c>
      <x:c r="D18" s="40" t="n">
        <x:v>1.7287997652699767</x:v>
      </x:c>
      <x:c r="E18" t="n">
        <x:f>--((B18^2/$B$4^2+C18^2/$B$5^2+D18^2/$B$6^2)&lt;=1)</x:f>
        <x:v>1</x:v>
      </x:c>
      <x:c r="F18" s="42" t="n">
        <x:f>$B$8*SUM($E$18:E18)/A18</x:f>
        <x:v>192</x:v>
      </x:c>
      <x:c r="G18" s="42" t="n">
        <x:f>$B$11</x:f>
        <x:v>100.53096491487338</x:v>
      </x:c>
      <x:c r="I18" t="n">
        <x:f>A18</x:f>
        <x:v>1</x:v>
      </x:c>
      <x:c r="J18" t="n">
        <x:f>F18</x:f>
        <x:v>192</x:v>
      </x:c>
      <x:c r="K18" t="n">
        <x:f>G18</x:f>
        <x:v>100.53096491487338</x:v>
      </x:c>
    </x:row>
    <x:row r="19">
      <x:c r="A19" t="n">
        <x:v>2</x:v>
      </x:c>
      <x:c r="B19" s="40" t="n">
        <x:v>-0.24448624099179073</x:v>
      </x:c>
      <x:c r="C19" s="40" t="n">
        <x:v>-0.3216630471377431</x:v>
      </x:c>
      <x:c r="D19" s="40" t="n">
        <x:v>-1.1430752328270515</x:v>
      </x:c>
      <x:c r="E19" t="n">
        <x:f>--((B19^2/$B$4^2+C19^2/$B$5^2+D19^2/$B$6^2)&lt;=1)</x:f>
        <x:v>1</x:v>
      </x:c>
      <x:c r="F19" s="42" t="n">
        <x:f>$B$8*SUM($E$18:E19)/A19</x:f>
        <x:v>192</x:v>
      </x:c>
      <x:c r="G19" s="42" t="n">
        <x:f>$B$11</x:f>
        <x:v>100.53096491487338</x:v>
      </x:c>
      <x:c r="I19" t="n">
        <x:f>A19</x:f>
        <x:v>2</x:v>
      </x:c>
      <x:c r="J19" t="n">
        <x:f>F19</x:f>
        <x:v>192</x:v>
      </x:c>
      <x:c r="K19" t="n">
        <x:f>G19</x:f>
        <x:v>100.53096491487338</x:v>
      </x:c>
    </x:row>
    <x:row r="20">
      <x:c r="A20" t="n">
        <x:v>3</x:v>
      </x:c>
      <x:c r="B20" s="40" t="n">
        <x:v>1.4343916796455298</x:v>
      </x:c>
      <x:c r="C20" s="40" t="n">
        <x:v>2.7178509693606205</x:v>
      </x:c>
      <x:c r="D20" s="40" t="n">
        <x:v>2.8149428459723547</x:v>
      </x:c>
      <x:c r="E20" t="n">
        <x:f>--((B20^2/$B$4^2+C20^2/$B$5^2+D20^2/$B$6^2)&lt;=1)</x:f>
        <x:v>0</x:v>
      </x:c>
      <x:c r="F20" s="42" t="n">
        <x:f>$B$8*SUM($E$18:E20)/A20</x:f>
        <x:v>128</x:v>
      </x:c>
      <x:c r="G20" s="42" t="n">
        <x:f>$B$11</x:f>
        <x:v>100.53096491487338</x:v>
      </x:c>
      <x:c r="I20" t="n">
        <x:f>A20</x:f>
        <x:v>3</x:v>
      </x:c>
      <x:c r="J20" t="n">
        <x:f>F20</x:f>
        <x:v>128</x:v>
      </x:c>
      <x:c r="K20" t="n">
        <x:f>G20</x:f>
        <x:v>100.53096491487338</x:v>
      </x:c>
    </x:row>
    <x:row r="21">
      <x:c r="A21" t="n">
        <x:v>4</x:v>
      </x:c>
      <x:c r="B21" s="40" t="n">
        <x:v>0.7894721162374556</x:v>
      </x:c>
      <x:c r="C21" s="40" t="n">
        <x:v>0.9047675383064204</x:v>
      </x:c>
      <x:c r="D21" s="40" t="n">
        <x:v>-2.0721827178950614</x:v>
      </x:c>
      <x:c r="E21" t="n">
        <x:f>--((B21^2/$B$4^2+C21^2/$B$5^2+D21^2/$B$6^2)&lt;=1)</x:f>
        <x:v>1</x:v>
      </x:c>
      <x:c r="F21" s="42" t="n">
        <x:f>$B$8*SUM($E$18:E21)/A21</x:f>
        <x:v>144</x:v>
      </x:c>
      <x:c r="G21" s="42" t="n">
        <x:f>$B$11</x:f>
        <x:v>100.53096491487338</x:v>
      </x:c>
      <x:c r="I21" t="n">
        <x:f>A21</x:f>
        <x:v>4</x:v>
      </x:c>
      <x:c r="J21" t="n">
        <x:f>F21</x:f>
        <x:v>144</x:v>
      </x:c>
      <x:c r="K21" t="n">
        <x:f>G21</x:f>
        <x:v>100.53096491487338</x:v>
      </x:c>
    </x:row>
    <x:row r="22">
      <x:c r="A22" t="n">
        <x:v>5</x:v>
      </x:c>
      <x:c r="B22" s="40" t="n">
        <x:v>-1.6232906084494019</x:v>
      </x:c>
      <x:c r="C22" s="40" t="n">
        <x:v>-2.3046068080845035</x:v>
      </x:c>
      <x:c r="D22" s="40" t="n">
        <x:v>0.3071479206929979</x:v>
      </x:c>
      <x:c r="E22" t="n">
        <x:f>--((B22^2/$B$4^2+C22^2/$B$5^2+D22^2/$B$6^2)&lt;=1)</x:f>
        <x:v>0</x:v>
      </x:c>
      <x:c r="F22" s="42" t="n">
        <x:f>$B$8*SUM($E$18:E22)/A22</x:f>
        <x:v>115.2</x:v>
      </x:c>
      <x:c r="G22" s="42" t="n">
        <x:f>$B$11</x:f>
        <x:v>100.53096491487338</x:v>
      </x:c>
      <x:c r="I22" t="n">
        <x:f>A22</x:f>
        <x:v>5</x:v>
      </x:c>
      <x:c r="J22" t="n">
        <x:f>F22</x:f>
        <x:v>115.2</x:v>
      </x:c>
      <x:c r="K22" t="n">
        <x:f>G22</x:f>
        <x:v>100.53096491487338</x:v>
      </x:c>
    </x:row>
    <x:row r="23">
      <x:c r="A23" t="n">
        <x:v>6</x:v>
      </x:c>
      <x:c r="B23" s="40" t="n">
        <x:v>1.9024894065470237</x:v>
      </x:c>
      <x:c r="C23" s="40" t="n">
        <x:v>2.3105579293608045</x:v>
      </x:c>
      <x:c r="D23" s="40" t="n">
        <x:v>-2.5268862628065403</x:v>
      </x:c>
      <x:c r="E23" t="n">
        <x:f>--((B23^2/$B$4^2+C23^2/$B$5^2+D23^2/$B$6^2)&lt;=1)</x:f>
        <x:v>0</x:v>
      </x:c>
      <x:c r="F23" s="42" t="n">
        <x:f>$B$8*SUM($E$18:E23)/A23</x:f>
        <x:v>96</x:v>
      </x:c>
      <x:c r="G23" s="42" t="n">
        <x:f>$B$11</x:f>
        <x:v>100.53096491487338</x:v>
      </x:c>
      <x:c r="I23" t="n">
        <x:f>A23</x:f>
        <x:v>6</x:v>
      </x:c>
      <x:c r="J23" t="n">
        <x:f>F23</x:f>
        <x:v>96</x:v>
      </x:c>
      <x:c r="K23" t="n">
        <x:f>G23</x:f>
        <x:v>100.53096491487338</x:v>
      </x:c>
    </x:row>
    <x:row r="24">
      <x:c r="A24" t="n">
        <x:v>7</x:v>
      </x:c>
      <x:c r="B24" s="40" t="n">
        <x:v>1.0445588079614119</x:v>
      </x:c>
      <x:c r="C24" s="40" t="n">
        <x:v>-0.06440885501521354</x:v>
      </x:c>
      <x:c r="D24" s="40" t="n">
        <x:v>-0.03759506891326403</x:v>
      </x:c>
      <x:c r="E24" t="n">
        <x:f>--((B24^2/$B$4^2+C24^2/$B$5^2+D24^2/$B$6^2)&lt;=1)</x:f>
        <x:v>1</x:v>
      </x:c>
      <x:c r="F24" s="42" t="n">
        <x:f>$B$8*SUM($E$18:E24)/A24</x:f>
        <x:v>109.71428571428571</x:v>
      </x:c>
      <x:c r="G24" s="42" t="n">
        <x:f>$B$11</x:f>
        <x:v>100.53096491487338</x:v>
      </x:c>
      <x:c r="I24" t="n">
        <x:f>A24</x:f>
        <x:v>7</x:v>
      </x:c>
      <x:c r="J24" t="n">
        <x:f>F24</x:f>
        <x:v>109.71428571428571</x:v>
      </x:c>
      <x:c r="K24" t="n">
        <x:f>G24</x:f>
        <x:v>100.53096491487338</x:v>
      </x:c>
    </x:row>
    <x:row r="25">
      <x:c r="A25" t="n">
        <x:v>8</x:v>
      </x:c>
      <x:c r="B25" s="40" t="n">
        <x:v>1.1442572211078152</x:v>
      </x:c>
      <x:c r="C25" s="40" t="n">
        <x:v>-2.15016619216257</x:v>
      </x:c>
      <x:c r="D25" s="40" t="n">
        <x:v>-2.7802679281729104</x:v>
      </x:c>
      <x:c r="E25" t="n">
        <x:f>--((B25^2/$B$4^2+C25^2/$B$5^2+D25^2/$B$6^2)&lt;=1)</x:f>
        <x:v>0</x:v>
      </x:c>
      <x:c r="F25" s="42" t="n">
        <x:f>$B$8*SUM($E$18:E25)/A25</x:f>
        <x:v>96</x:v>
      </x:c>
      <x:c r="G25" s="42" t="n">
        <x:f>$B$11</x:f>
        <x:v>100.53096491487338</x:v>
      </x:c>
      <x:c r="I25" t="n">
        <x:f>A25</x:f>
        <x:v>8</x:v>
      </x:c>
      <x:c r="J25" t="n">
        <x:f>F25</x:f>
        <x:v>96</x:v>
      </x:c>
      <x:c r="K25" t="n">
        <x:f>G25</x:f>
        <x:v>100.53096491487338</x:v>
      </x:c>
    </x:row>
    <x:row r="26">
      <x:c r="A26" t="n">
        <x:v>9</x:v>
      </x:c>
      <x:c r="B26" s="40" t="n">
        <x:v>-1.4875454692978165</x:v>
      </x:c>
      <x:c r="C26" s="40" t="n">
        <x:v>-2.083859196951476</x:v>
      </x:c>
      <x:c r="D26" s="40" t="n">
        <x:v>-2.7073710050278246</x:v>
      </x:c>
      <x:c r="E26" t="n">
        <x:f>--((B26^2/$B$4^2+C26^2/$B$5^2+D26^2/$B$6^2)&lt;=1)</x:f>
        <x:v>0</x:v>
      </x:c>
      <x:c r="F26" s="42" t="n">
        <x:f>$B$8*SUM($E$18:E26)/A26</x:f>
        <x:v>85.33333333333333</x:v>
      </x:c>
      <x:c r="G26" s="42" t="n">
        <x:f>$B$11</x:f>
        <x:v>100.53096491487338</x:v>
      </x:c>
      <x:c r="I26" t="n">
        <x:f>A26</x:f>
        <x:v>9</x:v>
      </x:c>
      <x:c r="J26" t="n">
        <x:f>F26</x:f>
        <x:v>85.33333333333333</x:v>
      </x:c>
      <x:c r="K26" t="n">
        <x:f>G26</x:f>
        <x:v>100.53096491487338</x:v>
      </x:c>
    </x:row>
    <x:row r="27">
      <x:c r="A27" t="n">
        <x:v>10</x:v>
      </x:c>
      <x:c r="B27" s="40" t="n">
        <x:v>-0.19845624841773146</x:v>
      </x:c>
      <x:c r="C27" s="40" t="n">
        <x:v>1.1252036106592307</x:v>
      </x:c>
      <x:c r="D27" s="40" t="n">
        <x:v>0.8977870163361255</x:v>
      </x:c>
      <x:c r="E27" t="n">
        <x:f>--((B27^2/$B$4^2+C27^2/$B$5^2+D27^2/$B$6^2)&lt;=1)</x:f>
        <x:v>1</x:v>
      </x:c>
      <x:c r="F27" s="42" t="n">
        <x:f>$B$8*SUM($E$18:E27)/A27</x:f>
        <x:v>96</x:v>
      </x:c>
      <x:c r="G27" s="42" t="n">
        <x:f>$B$11</x:f>
        <x:v>100.53096491487338</x:v>
      </x:c>
      <x:c r="I27" t="n">
        <x:f>A27</x:f>
        <x:v>10</x:v>
      </x:c>
      <x:c r="J27" t="n">
        <x:f>F27</x:f>
        <x:v>96</x:v>
      </x:c>
      <x:c r="K27" t="n">
        <x:f>G27</x:f>
        <x:v>100.53096491487338</x:v>
      </x:c>
    </x:row>
    <x:row r="28">
      <x:c r="A28" t="n">
        <x:v>11</x:v>
      </x:c>
      <x:c r="B28" s="40" t="n">
        <x:v>-0.5168079030696751</x:v>
      </x:c>
      <x:c r="C28" s="40" t="n">
        <x:v>-2.715764959623061</x:v>
      </x:c>
      <x:c r="D28" s="40" t="n">
        <x:v>-1.8897116625938661</x:v>
      </x:c>
      <x:c r="E28" t="n">
        <x:f>--((B28^2/$B$4^2+C28^2/$B$5^2+D28^2/$B$6^2)&lt;=1)</x:f>
        <x:v>0</x:v>
      </x:c>
      <x:c r="F28" s="42" t="n">
        <x:f>$B$8*SUM($E$18:E28)/A28</x:f>
        <x:v>87.27272727272727</x:v>
      </x:c>
      <x:c r="G28" s="42" t="n">
        <x:f>$B$11</x:f>
        <x:v>100.53096491487338</x:v>
      </x:c>
      <x:c r="I28" t="n">
        <x:f>A28</x:f>
        <x:v>11</x:v>
      </x:c>
      <x:c r="J28" t="n">
        <x:f>F28</x:f>
        <x:v>87.27272727272727</x:v>
      </x:c>
      <x:c r="K28" t="n">
        <x:f>G28</x:f>
        <x:v>100.53096491487338</x:v>
      </x:c>
    </x:row>
    <x:row r="29">
      <x:c r="A29" t="n">
        <x:v>12</x:v>
      </x:c>
      <x:c r="B29" s="40" t="n">
        <x:v>1.7070599553944072</x:v>
      </x:c>
      <x:c r="C29" s="40" t="n">
        <x:v>-1.2804374105171203</x:v>
      </x:c>
      <x:c r="D29" s="40" t="n">
        <x:v>-2.6210621874860216</x:v>
      </x:c>
      <x:c r="E29" t="n">
        <x:f>--((B29^2/$B$4^2+C29^2/$B$5^2+D29^2/$B$6^2)&lt;=1)</x:f>
        <x:v>0</x:v>
      </x:c>
      <x:c r="F29" s="42" t="n">
        <x:f>$B$8*SUM($E$18:E29)/A29</x:f>
        <x:v>80</x:v>
      </x:c>
      <x:c r="G29" s="42" t="n">
        <x:f>$B$11</x:f>
        <x:v>100.53096491487338</x:v>
      </x:c>
      <x:c r="I29" t="n">
        <x:f>A29</x:f>
        <x:v>12</x:v>
      </x:c>
      <x:c r="J29" t="n">
        <x:f>F29</x:f>
        <x:v>80</x:v>
      </x:c>
      <x:c r="K29" t="n">
        <x:f>G29</x:f>
        <x:v>100.53096491487338</x:v>
      </x:c>
    </x:row>
    <x:row r="30">
      <x:c r="A30" t="n">
        <x:v>13</x:v>
      </x:c>
      <x:c r="B30" s="40" t="n">
        <x:v>0.5754604803226582</x:v>
      </x:c>
      <x:c r="C30" s="40" t="n">
        <x:v>-2.1612744571807916</x:v>
      </x:c>
      <x:c r="D30" s="40" t="n">
        <x:v>3.438146001080585</x:v>
      </x:c>
      <x:c r="E30" t="n">
        <x:f>--((B30^2/$B$4^2+C30^2/$B$5^2+D30^2/$B$6^2)&lt;=1)</x:f>
        <x:v>0</x:v>
      </x:c>
      <x:c r="F30" s="42" t="n">
        <x:f>$B$8*SUM($E$18:E30)/A30</x:f>
        <x:v>73.84615384615384</x:v>
      </x:c>
      <x:c r="G30" s="42" t="n">
        <x:f>$B$11</x:f>
        <x:v>100.53096491487338</x:v>
      </x:c>
      <x:c r="I30" t="n">
        <x:f>A30</x:f>
        <x:v>13</x:v>
      </x:c>
      <x:c r="J30" t="n">
        <x:f>F30</x:f>
        <x:v>73.84615384615384</x:v>
      </x:c>
      <x:c r="K30" t="n">
        <x:f>G30</x:f>
        <x:v>100.53096491487338</x:v>
      </x:c>
    </x:row>
    <x:row r="31">
      <x:c r="A31" t="n">
        <x:v>14</x:v>
      </x:c>
      <x:c r="B31" s="40" t="n">
        <x:v>1.29104645308332</x:v>
      </x:c>
      <x:c r="C31" s="40" t="n">
        <x:v>-0.35353542229629475</x:v>
      </x:c>
      <x:c r="D31" s="40" t="n">
        <x:v>-3.6559739940795914</x:v>
      </x:c>
      <x:c r="E31" t="n">
        <x:f>--((B31^2/$B$4^2+C31^2/$B$5^2+D31^2/$B$6^2)&lt;=1)</x:f>
        <x:v>0</x:v>
      </x:c>
      <x:c r="F31" s="42" t="n">
        <x:f>$B$8*SUM($E$18:E31)/A31</x:f>
        <x:v>68.57142857142857</x:v>
      </x:c>
      <x:c r="G31" s="42" t="n">
        <x:f>$B$11</x:f>
        <x:v>100.53096491487338</x:v>
      </x:c>
      <x:c r="I31" t="n">
        <x:f>A31</x:f>
        <x:v>14</x:v>
      </x:c>
      <x:c r="J31" t="n">
        <x:f>F31</x:f>
        <x:v>68.57142857142857</x:v>
      </x:c>
      <x:c r="K31" t="n">
        <x:f>G31</x:f>
        <x:v>100.53096491487338</x:v>
      </x:c>
    </x:row>
    <x:row r="32">
      <x:c r="A32" t="n">
        <x:v>15</x:v>
      </x:c>
      <x:c r="B32" s="40" t="n">
        <x:v>-0.22634320469067548</x:v>
      </x:c>
      <x:c r="C32" s="40" t="n">
        <x:v>-0.5138773680338322</x:v>
      </x:c>
      <x:c r="D32" s="40" t="n">
        <x:v>0.5211849015670973</x:v>
      </x:c>
      <x:c r="E32" t="n">
        <x:f>--((B32^2/$B$4^2+C32^2/$B$5^2+D32^2/$B$6^2)&lt;=1)</x:f>
        <x:v>1</x:v>
      </x:c>
      <x:c r="F32" s="42" t="n">
        <x:f>$B$8*SUM($E$18:E32)/A32</x:f>
        <x:v>76.8</x:v>
      </x:c>
      <x:c r="G32" s="42" t="n">
        <x:f>$B$11</x:f>
        <x:v>100.53096491487338</x:v>
      </x:c>
      <x:c r="I32" t="n">
        <x:f>A32</x:f>
        <x:v>15</x:v>
      </x:c>
      <x:c r="J32" t="n">
        <x:f>F32</x:f>
        <x:v>76.8</x:v>
      </x:c>
      <x:c r="K32" t="n">
        <x:f>G32</x:f>
        <x:v>100.53096491487338</x:v>
      </x:c>
    </x:row>
    <x:row r="33">
      <x:c r="A33" t="n">
        <x:v>16</x:v>
      </x:c>
      <x:c r="B33" s="40" t="n">
        <x:v>-1.0910451128608925</x:v>
      </x:c>
      <x:c r="C33" s="40" t="n">
        <x:v>0.13125860813313572</x:v>
      </x:c>
      <x:c r="D33" s="40" t="n">
        <x:v>0.3861107346661221</x:v>
      </x:c>
      <x:c r="E33" t="n">
        <x:f>--((B33^2/$B$4^2+C33^2/$B$5^2+D33^2/$B$6^2)&lt;=1)</x:f>
        <x:v>1</x:v>
      </x:c>
      <x:c r="F33" s="42" t="n">
        <x:f>$B$8*SUM($E$18:E33)/A33</x:f>
        <x:v>84</x:v>
      </x:c>
      <x:c r="G33" s="42" t="n">
        <x:f>$B$11</x:f>
        <x:v>100.53096491487338</x:v>
      </x:c>
      <x:c r="I33" t="n">
        <x:f>A33</x:f>
        <x:v>16</x:v>
      </x:c>
      <x:c r="J33" t="n">
        <x:f>F33</x:f>
        <x:v>84</x:v>
      </x:c>
      <x:c r="K33" t="n">
        <x:f>G33</x:f>
        <x:v>100.53096491487338</x:v>
      </x:c>
    </x:row>
    <x:row r="34">
      <x:c r="A34" t="n">
        <x:v>17</x:v>
      </x:c>
      <x:c r="B34" s="40" t="n">
        <x:v>0.2183391480633392</x:v>
      </x:c>
      <x:c r="C34" s="40" t="n">
        <x:v>-1.3221820253848187</x:v>
      </x:c>
      <x:c r="D34" s="40" t="n">
        <x:v>-1.9951290047755217</x:v>
      </x:c>
      <x:c r="E34" t="n">
        <x:f>--((B34^2/$B$4^2+C34^2/$B$5^2+D34^2/$B$6^2)&lt;=1)</x:f>
        <x:v>1</x:v>
      </x:c>
      <x:c r="F34" s="42" t="n">
        <x:f>$B$8*SUM($E$18:E34)/A34</x:f>
        <x:v>90.3529411764706</x:v>
      </x:c>
      <x:c r="G34" s="42" t="n">
        <x:f>$B$11</x:f>
        <x:v>100.53096491487338</x:v>
      </x:c>
      <x:c r="I34" t="n">
        <x:f>A34</x:f>
        <x:v>17</x:v>
      </x:c>
      <x:c r="J34" t="n">
        <x:f>F34</x:f>
        <x:v>90.3529411764706</x:v>
      </x:c>
      <x:c r="K34" t="n">
        <x:f>G34</x:f>
        <x:v>100.53096491487338</x:v>
      </x:c>
    </x:row>
    <x:row r="35">
      <x:c r="A35" t="n">
        <x:v>18</x:v>
      </x:c>
      <x:c r="B35" s="40" t="n">
        <x:v>-1.7447309755832987</x:v>
      </x:c>
      <x:c r="C35" s="40" t="n">
        <x:v>-2.807738463730937</x:v>
      </x:c>
      <x:c r="D35" s="40" t="n">
        <x:v>-0.3778260390974575</x:v>
      </x:c>
      <x:c r="E35" t="n">
        <x:f>--((B35^2/$B$4^2+C35^2/$B$5^2+D35^2/$B$6^2)&lt;=1)</x:f>
        <x:v>0</x:v>
      </x:c>
      <x:c r="F35" s="42" t="n">
        <x:f>$B$8*SUM($E$18:E35)/A35</x:f>
        <x:v>85.33333333333333</x:v>
      </x:c>
      <x:c r="G35" s="42" t="n">
        <x:f>$B$11</x:f>
        <x:v>100.53096491487338</x:v>
      </x:c>
      <x:c r="I35" t="n">
        <x:f>A35</x:f>
        <x:v>18</x:v>
      </x:c>
      <x:c r="J35" t="n">
        <x:f>F35</x:f>
        <x:v>85.33333333333333</x:v>
      </x:c>
      <x:c r="K35" t="n">
        <x:f>G35</x:f>
        <x:v>100.53096491487338</x:v>
      </x:c>
    </x:row>
    <x:row r="36">
      <x:c r="A36" t="n">
        <x:v>19</x:v>
      </x:c>
      <x:c r="B36" s="40" t="n">
        <x:v>1.3105246879703283</x:v>
      </x:c>
      <x:c r="C36" s="40" t="n">
        <x:v>0.6863166392111149</x:v>
      </x:c>
      <x:c r="D36" s="40" t="n">
        <x:v>-3.2980977353389163</x:v>
      </x:c>
      <x:c r="E36" t="n">
        <x:f>--((B36^2/$B$4^2+C36^2/$B$5^2+D36^2/$B$6^2)&lt;=1)</x:f>
        <x:v>0</x:v>
      </x:c>
      <x:c r="F36" s="42" t="n">
        <x:f>$B$8*SUM($E$18:E36)/A36</x:f>
        <x:v>80.84210526315789</x:v>
      </x:c>
      <x:c r="G36" s="42" t="n">
        <x:f>$B$11</x:f>
        <x:v>100.53096491487338</x:v>
      </x:c>
      <x:c r="I36" t="n">
        <x:f>A36</x:f>
        <x:v>19</x:v>
      </x:c>
      <x:c r="J36" t="n">
        <x:f>F36</x:f>
        <x:v>80.84210526315789</x:v>
      </x:c>
      <x:c r="K36" t="n">
        <x:f>G36</x:f>
        <x:v>100.53096491487338</x:v>
      </x:c>
    </x:row>
    <x:row r="37">
      <x:c r="A37" t="n">
        <x:v>20</x:v>
      </x:c>
      <x:c r="B37" s="40" t="n">
        <x:v>0.5266575964882594</x:v>
      </x:c>
      <x:c r="C37" s="40" t="n">
        <x:v>-0.7576919827058921</x:v>
      </x:c>
      <x:c r="D37" s="40" t="n">
        <x:v>1.7701611673910849</x:v>
      </x:c>
      <x:c r="E37" t="n">
        <x:f>--((B37^2/$B$4^2+C37^2/$B$5^2+D37^2/$B$6^2)&lt;=1)</x:f>
        <x:v>1</x:v>
      </x:c>
      <x:c r="F37" s="42" t="n">
        <x:f>$B$8*SUM($E$18:E37)/A37</x:f>
        <x:v>86.4</x:v>
      </x:c>
      <x:c r="G37" s="42" t="n">
        <x:f>$B$11</x:f>
        <x:v>100.53096491487338</x:v>
      </x:c>
      <x:c r="I37" t="n">
        <x:f>A37</x:f>
        <x:v>20</x:v>
      </x:c>
      <x:c r="J37" t="n">
        <x:f>F37</x:f>
        <x:v>86.4</x:v>
      </x:c>
      <x:c r="K37" t="n">
        <x:f>G37</x:f>
        <x:v>100.53096491487338</x:v>
      </x:c>
    </x:row>
    <x:row r="38">
      <x:c r="A38" t="n">
        <x:v>21</x:v>
      </x:c>
      <x:c r="B38" s="40" t="n">
        <x:v>1.0323509603414953</x:v>
      </x:c>
      <x:c r="C38" s="40" t="n">
        <x:v>0.9080099924402782</x:v>
      </x:c>
      <x:c r="D38" s="40" t="n">
        <x:v>-2.2264228129854144</x:v>
      </x:c>
      <x:c r="E38" t="n">
        <x:f>--((B38^2/$B$4^2+C38^2/$B$5^2+D38^2/$B$6^2)&lt;=1)</x:f>
        <x:v>1</x:v>
      </x:c>
      <x:c r="F38" s="42" t="n">
        <x:f>$B$8*SUM($E$18:E38)/A38</x:f>
        <x:v>91.42857142857143</x:v>
      </x:c>
      <x:c r="G38" s="42" t="n">
        <x:f>$B$11</x:f>
        <x:v>100.53096491487338</x:v>
      </x:c>
      <x:c r="I38" t="n">
        <x:f>A38</x:f>
        <x:v>21</x:v>
      </x:c>
      <x:c r="J38" t="n">
        <x:f>F38</x:f>
        <x:v>91.42857142857143</x:v>
      </x:c>
      <x:c r="K38" t="n">
        <x:f>G38</x:f>
        <x:v>100.53096491487338</x:v>
      </x:c>
    </x:row>
    <x:row r="39">
      <x:c r="A39" t="n">
        <x:v>22</x:v>
      </x:c>
      <x:c r="B39" s="40" t="n">
        <x:v>-0.5818961274805265</x:v>
      </x:c>
      <x:c r="C39" s="40" t="n">
        <x:v>-2.3479981751743892</x:v>
      </x:c>
      <x:c r="D39" s="40" t="n">
        <x:v>-2.4529171213875527</x:v>
      </x:c>
      <x:c r="E39" t="n">
        <x:f>--((B39^2/$B$4^2+C39^2/$B$5^2+D39^2/$B$6^2)&lt;=1)</x:f>
        <x:v>0</x:v>
      </x:c>
      <x:c r="F39" s="42" t="n">
        <x:f>$B$8*SUM($E$18:E39)/A39</x:f>
        <x:v>87.27272727272727</x:v>
      </x:c>
      <x:c r="G39" s="42" t="n">
        <x:f>$B$11</x:f>
        <x:v>100.53096491487338</x:v>
      </x:c>
      <x:c r="I39" t="n">
        <x:f>A39</x:f>
        <x:v>22</x:v>
      </x:c>
      <x:c r="J39" t="n">
        <x:f>F39</x:f>
        <x:v>87.27272727272727</x:v>
      </x:c>
      <x:c r="K39" t="n">
        <x:f>G39</x:f>
        <x:v>100.53096491487338</x:v>
      </x:c>
    </x:row>
    <x:row r="40">
      <x:c r="A40" t="n">
        <x:v>23</x:v>
      </x:c>
      <x:c r="B40" s="40" t="n">
        <x:v>1.882792097579613</x:v>
      </x:c>
      <x:c r="C40" s="40" t="n">
        <x:v>-2.917335868235698</x:v>
      </x:c>
      <x:c r="D40" s="40" t="n">
        <x:v>-1.4809721737799757</x:v>
      </x:c>
      <x:c r="E40" t="n">
        <x:f>--((B40^2/$B$4^2+C40^2/$B$5^2+D40^2/$B$6^2)&lt;=1)</x:f>
        <x:v>0</x:v>
      </x:c>
      <x:c r="F40" s="42" t="n">
        <x:f>$B$8*SUM($E$18:E40)/A40</x:f>
        <x:v>83.47826086956522</x:v>
      </x:c>
      <x:c r="G40" s="42" t="n">
        <x:f>$B$11</x:f>
        <x:v>100.53096491487338</x:v>
      </x:c>
      <x:c r="I40" t="n">
        <x:f>A40</x:f>
        <x:v>23</x:v>
      </x:c>
      <x:c r="J40" t="n">
        <x:f>F40</x:f>
        <x:v>83.47826086956522</x:v>
      </x:c>
      <x:c r="K40" t="n">
        <x:f>G40</x:f>
        <x:v>100.53096491487338</x:v>
      </x:c>
    </x:row>
    <x:row r="41">
      <x:c r="A41" t="n">
        <x:v>24</x:v>
      </x:c>
      <x:c r="B41" s="40" t="n">
        <x:v>1.5724844852887907</x:v>
      </x:c>
      <x:c r="C41" s="40" t="n">
        <x:v>-1.5102345126882435</x:v>
      </x:c>
      <x:c r="D41" s="40" t="n">
        <x:v>3.218959362105136</x:v>
      </x:c>
      <x:c r="E41" t="n">
        <x:f>--((B41^2/$B$4^2+C41^2/$B$5^2+D41^2/$B$6^2)&lt;=1)</x:f>
        <x:v>0</x:v>
      </x:c>
      <x:c r="F41" s="42" t="n">
        <x:f>$B$8*SUM($E$18:E41)/A41</x:f>
        <x:v>80</x:v>
      </x:c>
      <x:c r="G41" s="42" t="n">
        <x:f>$B$11</x:f>
        <x:v>100.53096491487338</x:v>
      </x:c>
      <x:c r="I41" t="n">
        <x:f>A41</x:f>
        <x:v>24</x:v>
      </x:c>
      <x:c r="J41" t="n">
        <x:f>F41</x:f>
        <x:v>80</x:v>
      </x:c>
      <x:c r="K41" t="n">
        <x:f>G41</x:f>
        <x:v>100.53096491487338</x:v>
      </x:c>
    </x:row>
    <x:row r="42">
      <x:c r="A42" t="n">
        <x:v>25</x:v>
      </x:c>
      <x:c r="B42" s="40" t="n">
        <x:v>1.1135339882950475</x:v>
      </x:c>
      <x:c r="C42" s="40" t="n">
        <x:v>-0.26071606203568676</x:v>
      </x:c>
      <x:c r="D42" s="40" t="n">
        <x:v>2.371733186268341</x:v>
      </x:c>
      <x:c r="E42" t="n">
        <x:f>--((B42^2/$B$4^2+C42^2/$B$5^2+D42^2/$B$6^2)&lt;=1)</x:f>
        <x:v>1</x:v>
      </x:c>
      <x:c r="F42" s="42" t="n">
        <x:f>$B$8*SUM($E$18:E42)/A42</x:f>
        <x:v>84.48</x:v>
      </x:c>
      <x:c r="G42" s="42" t="n">
        <x:f>$B$11</x:f>
        <x:v>100.53096491487338</x:v>
      </x:c>
      <x:c r="I42" t="n">
        <x:f>A42</x:f>
        <x:v>25</x:v>
      </x:c>
      <x:c r="J42" t="n">
        <x:f>F42</x:f>
        <x:v>84.48</x:v>
      </x:c>
      <x:c r="K42" t="n">
        <x:f>G42</x:f>
        <x:v>100.53096491487338</x:v>
      </x:c>
    </x:row>
    <x:row r="43">
      <x:c r="A43" t="n">
        <x:v>26</x:v>
      </x:c>
      <x:c r="B43" s="40" t="n">
        <x:v>-1.2214451685921297</x:v>
      </x:c>
      <x:c r="C43" s="40" t="n">
        <x:v>-0.6355681549891963</x:v>
      </x:c>
      <x:c r="D43" s="40" t="n">
        <x:v>3.575138329070061</x:v>
      </x:c>
      <x:c r="E43" t="n">
        <x:f>--((B43^2/$B$4^2+C43^2/$B$5^2+D43^2/$B$6^2)&lt;=1)</x:f>
        <x:v>0</x:v>
      </x:c>
      <x:c r="F43" s="42" t="n">
        <x:f>$B$8*SUM($E$18:E43)/A43</x:f>
        <x:v>81.23076923076923</x:v>
      </x:c>
      <x:c r="G43" s="42" t="n">
        <x:f>$B$11</x:f>
        <x:v>100.53096491487338</x:v>
      </x:c>
      <x:c r="I43" t="n">
        <x:f>A43</x:f>
        <x:v>26</x:v>
      </x:c>
      <x:c r="J43" t="n">
        <x:f>F43</x:f>
        <x:v>81.23076923076923</x:v>
      </x:c>
      <x:c r="K43" t="n">
        <x:f>G43</x:f>
        <x:v>100.53096491487338</x:v>
      </x:c>
    </x:row>
    <x:row r="44">
      <x:c r="A44" t="n">
        <x:v>27</x:v>
      </x:c>
      <x:c r="B44" s="40" t="n">
        <x:v>-0.1331159850918633</x:v>
      </x:c>
      <x:c r="C44" s="40" t="n">
        <x:v>1.8618153316407984</x:v>
      </x:c>
      <x:c r="D44" s="40" t="n">
        <x:v>1.2156987682646836</x:v>
      </x:c>
      <x:c r="E44" t="n">
        <x:f>--((B44^2/$B$4^2+C44^2/$B$5^2+D44^2/$B$6^2)&lt;=1)</x:f>
        <x:v>1</x:v>
      </x:c>
      <x:c r="F44" s="42" t="n">
        <x:f>$B$8*SUM($E$18:E44)/A44</x:f>
        <x:v>85.33333333333333</x:v>
      </x:c>
      <x:c r="G44" s="42" t="n">
        <x:f>$B$11</x:f>
        <x:v>100.53096491487338</x:v>
      </x:c>
      <x:c r="I44" t="n">
        <x:f>A44</x:f>
        <x:v>27</x:v>
      </x:c>
      <x:c r="J44" t="n">
        <x:f>F44</x:f>
        <x:v>85.33333333333333</x:v>
      </x:c>
      <x:c r="K44" t="n">
        <x:f>G44</x:f>
        <x:v>100.53096491487338</x:v>
      </x:c>
    </x:row>
    <x:row r="45">
      <x:c r="A45" t="n">
        <x:v>28</x:v>
      </x:c>
      <x:c r="B45" s="40" t="n">
        <x:v>-1.824784936851085</x:v>
      </x:c>
      <x:c r="C45" s="40" t="n">
        <x:v>-0.7329741348430563</x:v>
      </x:c>
      <x:c r="D45" s="40" t="n">
        <x:v>1.303372088256701</x:v>
      </x:c>
      <x:c r="E45" t="n">
        <x:f>--((B45^2/$B$4^2+C45^2/$B$5^2+D45^2/$B$6^2)&lt;=1)</x:f>
        <x:v>1</x:v>
      </x:c>
      <x:c r="F45" s="42" t="n">
        <x:f>$B$8*SUM($E$18:E45)/A45</x:f>
        <x:v>89.14285714285714</x:v>
      </x:c>
      <x:c r="G45" s="42" t="n">
        <x:f>$B$11</x:f>
        <x:v>100.53096491487338</x:v>
      </x:c>
      <x:c r="I45" t="n">
        <x:f>A45</x:f>
        <x:v>28</x:v>
      </x:c>
      <x:c r="J45" t="n">
        <x:f>F45</x:f>
        <x:v>89.14285714285714</x:v>
      </x:c>
      <x:c r="K45" t="n">
        <x:f>G45</x:f>
        <x:v>100.53096491487338</x:v>
      </x:c>
    </x:row>
    <x:row r="46">
      <x:c r="A46" t="n">
        <x:v>29</x:v>
      </x:c>
      <x:c r="B46" s="40" t="n">
        <x:v>-1.3828420317298087</x:v>
      </x:c>
      <x:c r="C46" s="40" t="n">
        <x:v>0.18264707761847365</x:v>
      </x:c>
      <x:c r="D46" s="40" t="n">
        <x:v>-0.15975200459026428</x:v>
      </x:c>
      <x:c r="E46" t="n">
        <x:f>--((B46^2/$B$4^2+C46^2/$B$5^2+D46^2/$B$6^2)&lt;=1)</x:f>
        <x:v>1</x:v>
      </x:c>
      <x:c r="F46" s="42" t="n">
        <x:f>$B$8*SUM($E$18:E46)/A46</x:f>
        <x:v>92.6896551724138</x:v>
      </x:c>
      <x:c r="G46" s="42" t="n">
        <x:f>$B$11</x:f>
        <x:v>100.53096491487338</x:v>
      </x:c>
      <x:c r="I46" t="n">
        <x:f>A46</x:f>
        <x:v>29</x:v>
      </x:c>
      <x:c r="J46" t="n">
        <x:f>F46</x:f>
        <x:v>92.6896551724138</x:v>
      </x:c>
      <x:c r="K46" t="n">
        <x:f>G46</x:f>
        <x:v>100.53096491487338</x:v>
      </x:c>
    </x:row>
    <x:row r="47">
      <x:c r="A47" t="n">
        <x:v>30</x:v>
      </x:c>
      <x:c r="B47" s="40" t="n">
        <x:v>0.7321958129698185</x:v>
      </x:c>
      <x:c r="C47" s="40" t="n">
        <x:v>0.5610935546531532</x:v>
      </x:c>
      <x:c r="D47" s="40" t="n">
        <x:v>3.2414905869358037</x:v>
      </x:c>
      <x:c r="E47" t="n">
        <x:f>--((B47^2/$B$4^2+C47^2/$B$5^2+D47^2/$B$6^2)&lt;=1)</x:f>
        <x:v>1</x:v>
      </x:c>
      <x:c r="F47" s="42" t="n">
        <x:f>$B$8*SUM($E$18:E47)/A47</x:f>
        <x:v>96</x:v>
      </x:c>
      <x:c r="G47" s="42" t="n">
        <x:f>$B$11</x:f>
        <x:v>100.53096491487338</x:v>
      </x:c>
      <x:c r="I47" t="n">
        <x:f>A47</x:f>
        <x:v>30</x:v>
      </x:c>
      <x:c r="J47" t="n">
        <x:f>F47</x:f>
        <x:v>96</x:v>
      </x:c>
      <x:c r="K47" t="n">
        <x:f>G47</x:f>
        <x:v>100.53096491487338</x:v>
      </x:c>
    </x:row>
    <x:row r="48">
      <x:c r="A48" t="n">
        <x:v>31</x:v>
      </x:c>
      <x:c r="B48" s="40" t="n">
        <x:v>0.9790486236312685</x:v>
      </x:c>
      <x:c r="C48" s="40" t="n">
        <x:v>-2.86901165012513</x:v>
      </x:c>
      <x:c r="D48" s="40" t="n">
        <x:v>0.0870171941626321</x:v>
      </x:c>
      <x:c r="E48" t="n">
        <x:f>--((B48^2/$B$4^2+C48^2/$B$5^2+D48^2/$B$6^2)&lt;=1)</x:f>
        <x:v>0</x:v>
      </x:c>
      <x:c r="F48" s="42" t="n">
        <x:f>$B$8*SUM($E$18:E48)/A48</x:f>
        <x:v>92.90322580645162</x:v>
      </x:c>
      <x:c r="G48" s="42" t="n">
        <x:f>$B$11</x:f>
        <x:v>100.53096491487338</x:v>
      </x:c>
      <x:c r="I48" t="n">
        <x:f>A48</x:f>
        <x:v>31</x:v>
      </x:c>
      <x:c r="J48" t="n">
        <x:f>F48</x:f>
        <x:v>92.90322580645162</x:v>
      </x:c>
      <x:c r="K48" t="n">
        <x:f>G48</x:f>
        <x:v>100.53096491487338</x:v>
      </x:c>
    </x:row>
    <x:row r="49">
      <x:c r="A49" t="n">
        <x:v>32</x:v>
      </x:c>
      <x:c r="B49" s="40" t="n">
        <x:v>1.87003892973684</x:v>
      </x:c>
      <x:c r="C49" s="40" t="n">
        <x:v>0.0908002610771339</x:v>
      </x:c>
      <x:c r="D49" s="40" t="n">
        <x:v>-1.1595194336398027</x:v>
      </x:c>
      <x:c r="E49" t="n">
        <x:f>--((B49^2/$B$4^2+C49^2/$B$5^2+D49^2/$B$6^2)&lt;=1)</x:f>
        <x:v>1</x:v>
      </x:c>
      <x:c r="F49" s="42" t="n">
        <x:f>$B$8*SUM($E$18:E49)/A49</x:f>
        <x:v>96</x:v>
      </x:c>
      <x:c r="G49" s="42" t="n">
        <x:f>$B$11</x:f>
        <x:v>100.53096491487338</x:v>
      </x:c>
      <x:c r="I49" t="n">
        <x:f>A49</x:f>
        <x:v>32</x:v>
      </x:c>
      <x:c r="J49" t="n">
        <x:f>F49</x:f>
        <x:v>96</x:v>
      </x:c>
      <x:c r="K49" t="n">
        <x:f>G49</x:f>
        <x:v>100.53096491487338</x:v>
      </x:c>
    </x:row>
    <x:row r="50">
      <x:c r="A50" t="n">
        <x:v>33</x:v>
      </x:c>
      <x:c r="B50" s="40" t="n">
        <x:v>-0.6966985674473922</x:v>
      </x:c>
      <x:c r="C50" s="40" t="n">
        <x:v>-0.9310124436069729</x:v>
      </x:c>
      <x:c r="D50" s="40" t="n">
        <x:v>1.1230000793413213</x:v>
      </x:c>
      <x:c r="E50" t="n">
        <x:f>--((B50^2/$B$4^2+C50^2/$B$5^2+D50^2/$B$6^2)&lt;=1)</x:f>
        <x:v>1</x:v>
      </x:c>
      <x:c r="F50" s="42" t="n">
        <x:f>$B$8*SUM($E$18:E50)/A50</x:f>
        <x:v>98.9090909090909</x:v>
      </x:c>
      <x:c r="G50" s="42" t="n">
        <x:f>$B$11</x:f>
        <x:v>100.53096491487338</x:v>
      </x:c>
      <x:c r="I50" t="n">
        <x:f>A50</x:f>
        <x:v>33</x:v>
      </x:c>
      <x:c r="J50" t="n">
        <x:f>F50</x:f>
        <x:v>98.9090909090909</x:v>
      </x:c>
      <x:c r="K50" t="n">
        <x:f>G50</x:f>
        <x:v>100.53096491487338</x:v>
      </x:c>
    </x:row>
    <x:row r="51">
      <x:c r="A51" t="n">
        <x:v>34</x:v>
      </x:c>
      <x:c r="B51" s="40" t="n">
        <x:v>-0.5181611758605245</x:v>
      </x:c>
      <x:c r="C51" s="40" t="n">
        <x:v>-0.47231923390047204</x:v>
      </x:c>
      <x:c r="D51" s="40" t="n">
        <x:v>0.3691159472077077</x:v>
      </x:c>
      <x:c r="E51" t="n">
        <x:f>--((B51^2/$B$4^2+C51^2/$B$5^2+D51^2/$B$6^2)&lt;=1)</x:f>
        <x:v>1</x:v>
      </x:c>
      <x:c r="F51" s="42" t="n">
        <x:f>$B$8*SUM($E$18:E51)/A51</x:f>
        <x:v>101.6470588235294</x:v>
      </x:c>
      <x:c r="G51" s="42" t="n">
        <x:f>$B$11</x:f>
        <x:v>100.53096491487338</x:v>
      </x:c>
      <x:c r="I51" t="n">
        <x:f>A51</x:f>
        <x:v>34</x:v>
      </x:c>
      <x:c r="J51" t="n">
        <x:f>F51</x:f>
        <x:v>101.6470588235294</x:v>
      </x:c>
      <x:c r="K51" t="n">
        <x:f>G51</x:f>
        <x:v>100.53096491487338</x:v>
      </x:c>
    </x:row>
    <x:row r="52">
      <x:c r="A52" t="n">
        <x:v>35</x:v>
      </x:c>
      <x:c r="B52" s="40" t="n">
        <x:v>-0.12177675489676831</x:v>
      </x:c>
      <x:c r="C52" s="40" t="n">
        <x:v>-2.3982756090284987</x:v>
      </x:c>
      <x:c r="D52" s="40" t="n">
        <x:v>-3.007841477520836</x:v>
      </x:c>
      <x:c r="E52" t="n">
        <x:f>--((B52^2/$B$4^2+C52^2/$B$5^2+D52^2/$B$6^2)&lt;=1)</x:f>
        <x:v>0</x:v>
      </x:c>
      <x:c r="F52" s="42" t="n">
        <x:f>$B$8*SUM($E$18:E52)/A52</x:f>
        <x:v>98.74285714285715</x:v>
      </x:c>
      <x:c r="G52" s="42" t="n">
        <x:f>$B$11</x:f>
        <x:v>100.53096491487338</x:v>
      </x:c>
      <x:c r="I52" t="n">
        <x:f>A52</x:f>
        <x:v>35</x:v>
      </x:c>
      <x:c r="J52" t="n">
        <x:f>F52</x:f>
        <x:v>98.74285714285715</x:v>
      </x:c>
      <x:c r="K52" t="n">
        <x:f>G52</x:f>
        <x:v>100.53096491487338</x:v>
      </x:c>
    </x:row>
    <x:row r="53">
      <x:c r="A53" t="n">
        <x:v>36</x:v>
      </x:c>
      <x:c r="B53" s="40" t="n">
        <x:v>-1.2421145636628572</x:v>
      </x:c>
      <x:c r="C53" s="40" t="n">
        <x:v>1.696923393891871</x:v>
      </x:c>
      <x:c r="D53" s="40" t="n">
        <x:v>-0.8581966887005636</x:v>
      </x:c>
      <x:c r="E53" t="n">
        <x:f>--((B53^2/$B$4^2+C53^2/$B$5^2+D53^2/$B$6^2)&lt;=1)</x:f>
        <x:v>1</x:v>
      </x:c>
      <x:c r="F53" s="42" t="n">
        <x:f>$B$8*SUM($E$18:E53)/A53</x:f>
        <x:v>101.33333333333333</x:v>
      </x:c>
      <x:c r="G53" s="42" t="n">
        <x:f>$B$11</x:f>
        <x:v>100.53096491487338</x:v>
      </x:c>
      <x:c r="I53" t="n">
        <x:f>A53</x:f>
        <x:v>36</x:v>
      </x:c>
      <x:c r="J53" t="n">
        <x:f>F53</x:f>
        <x:v>101.33333333333333</x:v>
      </x:c>
      <x:c r="K53" t="n">
        <x:f>G53</x:f>
        <x:v>100.53096491487338</x:v>
      </x:c>
    </x:row>
    <x:row r="54">
      <x:c r="A54" t="n">
        <x:v>37</x:v>
      </x:c>
      <x:c r="B54" s="40" t="n">
        <x:v>-1.4803139786581134</x:v>
      </x:c>
      <x:c r="C54" s="40" t="n">
        <x:v>2.654425504851135</x:v>
      </x:c>
      <x:c r="D54" s="40" t="n">
        <x:v>-1.4933967112441602</x:v>
      </x:c>
      <x:c r="E54" t="n">
        <x:f>--((B54^2/$B$4^2+C54^2/$B$5^2+D54^2/$B$6^2)&lt;=1)</x:f>
        <x:v>0</x:v>
      </x:c>
      <x:c r="F54" s="42" t="n">
        <x:f>$B$8*SUM($E$18:E54)/A54</x:f>
        <x:v>98.5945945945946</x:v>
      </x:c>
      <x:c r="G54" s="42" t="n">
        <x:f>$B$11</x:f>
        <x:v>100.53096491487338</x:v>
      </x:c>
      <x:c r="I54" t="n">
        <x:f>A54</x:f>
        <x:v>37</x:v>
      </x:c>
      <x:c r="J54" t="n">
        <x:f>F54</x:f>
        <x:v>98.5945945945946</x:v>
      </x:c>
      <x:c r="K54" t="n">
        <x:f>G54</x:f>
        <x:v>100.53096491487338</x:v>
      </x:c>
    </x:row>
    <x:row r="55">
      <x:c r="A55" t="n">
        <x:v>38</x:v>
      </x:c>
      <x:c r="B55" s="40" t="n">
        <x:v>-0.09718029509626502</x:v>
      </x:c>
      <x:c r="C55" s="40" t="n">
        <x:v>-2.8663870762224</x:v>
      </x:c>
      <x:c r="D55" s="40" t="n">
        <x:v>2.774670200089054</x:v>
      </x:c>
      <x:c r="E55" t="n">
        <x:f>--((B55^2/$B$4^2+C55^2/$B$5^2+D55^2/$B$6^2)&lt;=1)</x:f>
        <x:v>0</x:v>
      </x:c>
      <x:c r="F55" s="42" t="n">
        <x:f>$B$8*SUM($E$18:E55)/A55</x:f>
        <x:v>96</x:v>
      </x:c>
      <x:c r="G55" s="42" t="n">
        <x:f>$B$11</x:f>
        <x:v>100.53096491487338</x:v>
      </x:c>
      <x:c r="I55" t="n">
        <x:f>A55</x:f>
        <x:v>38</x:v>
      </x:c>
      <x:c r="J55" t="n">
        <x:f>F55</x:f>
        <x:v>96</x:v>
      </x:c>
      <x:c r="K55" t="n">
        <x:f>G55</x:f>
        <x:v>100.53096491487338</x:v>
      </x:c>
    </x:row>
    <x:row r="56">
      <x:c r="A56" t="n">
        <x:v>39</x:v>
      </x:c>
      <x:c r="B56" s="40" t="n">
        <x:v>-1.0923626037964635</x:v>
      </x:c>
      <x:c r="C56" s="40" t="n">
        <x:v>0.6082365768680873</x:v>
      </x:c>
      <x:c r="D56" s="40" t="n">
        <x:v>-0.9692595442151299</x:v>
      </x:c>
      <x:c r="E56" t="n">
        <x:f>--((B56^2/$B$4^2+C56^2/$B$5^2+D56^2/$B$6^2)&lt;=1)</x:f>
        <x:v>1</x:v>
      </x:c>
      <x:c r="F56" s="42" t="n">
        <x:f>$B$8*SUM($E$18:E56)/A56</x:f>
        <x:v>98.46153846153847</x:v>
      </x:c>
      <x:c r="G56" s="42" t="n">
        <x:f>$B$11</x:f>
        <x:v>100.53096491487338</x:v>
      </x:c>
      <x:c r="I56" t="n">
        <x:f>A56</x:f>
        <x:v>39</x:v>
      </x:c>
      <x:c r="J56" t="n">
        <x:f>F56</x:f>
        <x:v>98.46153846153847</x:v>
      </x:c>
      <x:c r="K56" t="n">
        <x:f>G56</x:f>
        <x:v>100.53096491487338</x:v>
      </x:c>
    </x:row>
    <x:row r="57">
      <x:c r="A57" t="n">
        <x:v>40</x:v>
      </x:c>
      <x:c r="B57" s="40" t="n">
        <x:v>0.6792559787300414</x:v>
      </x:c>
      <x:c r="C57" s="40" t="n">
        <x:v>1.5830644037301482</x:v>
      </x:c>
      <x:c r="D57" s="40" t="n">
        <x:v>2.572441861111141</x:v>
      </x:c>
      <x:c r="E57" t="n">
        <x:f>--((B57^2/$B$4^2+C57^2/$B$5^2+D57^2/$B$6^2)&lt;=1)</x:f>
        <x:v>1</x:v>
      </x:c>
      <x:c r="F57" s="42" t="n">
        <x:f>$B$8*SUM($E$18:E57)/A57</x:f>
        <x:v>100.8</x:v>
      </x:c>
      <x:c r="G57" s="42" t="n">
        <x:f>$B$11</x:f>
        <x:v>100.53096491487338</x:v>
      </x:c>
      <x:c r="I57" t="n">
        <x:f>A57</x:f>
        <x:v>40</x:v>
      </x:c>
      <x:c r="J57" t="n">
        <x:f>F57</x:f>
        <x:v>100.8</x:v>
      </x:c>
      <x:c r="K57" t="n">
        <x:f>G57</x:f>
        <x:v>100.53096491487338</x:v>
      </x:c>
    </x:row>
    <x:row r="58">
      <x:c r="A58" t="n">
        <x:v>41</x:v>
      </x:c>
      <x:c r="B58" s="40" t="n">
        <x:v>-0.25139232451067706</x:v>
      </x:c>
      <x:c r="C58" s="40" t="n">
        <x:v>-1.2911544681006635</x:v>
      </x:c>
      <x:c r="D58" s="40" t="n">
        <x:v>-0.4608832487924355</x:v>
      </x:c>
      <x:c r="E58" t="n">
        <x:f>--((B58^2/$B$4^2+C58^2/$B$5^2+D58^2/$B$6^2)&lt;=1)</x:f>
        <x:v>1</x:v>
      </x:c>
      <x:c r="F58" s="42" t="n">
        <x:f>$B$8*SUM($E$18:E58)/A58</x:f>
        <x:v>103.02439024390245</x:v>
      </x:c>
      <x:c r="G58" s="42" t="n">
        <x:f>$B$11</x:f>
        <x:v>100.53096491487338</x:v>
      </x:c>
      <x:c r="I58" t="n">
        <x:f>A58</x:f>
        <x:v>41</x:v>
      </x:c>
      <x:c r="J58" t="n">
        <x:f>F58</x:f>
        <x:v>103.02439024390245</x:v>
      </x:c>
      <x:c r="K58" t="n">
        <x:f>G58</x:f>
        <x:v>100.53096491487338</x:v>
      </x:c>
    </x:row>
    <x:row r="59">
      <x:c r="A59" t="n">
        <x:v>42</x:v>
      </x:c>
      <x:c r="B59" s="40" t="n">
        <x:v>1.3307127842313498</x:v>
      </x:c>
      <x:c r="C59" s="40" t="n">
        <x:v>1.7253335091793005</x:v>
      </x:c>
      <x:c r="D59" s="40" t="n">
        <x:v>2.02800450756488</x:v>
      </x:c>
      <x:c r="E59" t="n">
        <x:f>--((B59^2/$B$4^2+C59^2/$B$5^2+D59^2/$B$6^2)&lt;=1)</x:f>
        <x:v>0</x:v>
      </x:c>
      <x:c r="F59" s="42" t="n">
        <x:f>$B$8*SUM($E$18:E59)/A59</x:f>
        <x:v>100.57142857142857</x:v>
      </x:c>
      <x:c r="G59" s="42" t="n">
        <x:f>$B$11</x:f>
        <x:v>100.53096491487338</x:v>
      </x:c>
      <x:c r="I59" t="n">
        <x:f>A59</x:f>
        <x:v>42</x:v>
      </x:c>
      <x:c r="J59" t="n">
        <x:f>F59</x:f>
        <x:v>100.57142857142857</x:v>
      </x:c>
      <x:c r="K59" t="n">
        <x:f>G59</x:f>
        <x:v>100.53096491487338</x:v>
      </x:c>
    </x:row>
    <x:row r="60">
      <x:c r="A60" t="n">
        <x:v>43</x:v>
      </x:c>
      <x:c r="B60" s="40" t="n">
        <x:v>0.8010604080089965</x:v>
      </x:c>
      <x:c r="C60" s="40" t="n">
        <x:v>0.7941303045978074</x:v>
      </x:c>
      <x:c r="D60" s="40" t="n">
        <x:v>-2.9177445719104806</x:v>
      </x:c>
      <x:c r="E60" t="n">
        <x:f>--((B60^2/$B$4^2+C60^2/$B$5^2+D60^2/$B$6^2)&lt;=1)</x:f>
        <x:v>1</x:v>
      </x:c>
      <x:c r="F60" s="42" t="n">
        <x:f>$B$8*SUM($E$18:E60)/A60</x:f>
        <x:v>102.69767441860465</x:v>
      </x:c>
      <x:c r="G60" s="42" t="n">
        <x:f>$B$11</x:f>
        <x:v>100.53096491487338</x:v>
      </x:c>
      <x:c r="I60" t="n">
        <x:f>A60</x:f>
        <x:v>43</x:v>
      </x:c>
      <x:c r="J60" t="n">
        <x:f>F60</x:f>
        <x:v>102.69767441860465</x:v>
      </x:c>
      <x:c r="K60" t="n">
        <x:f>G60</x:f>
        <x:v>100.53096491487338</x:v>
      </x:c>
    </x:row>
    <x:row r="61">
      <x:c r="A61" t="n">
        <x:v>44</x:v>
      </x:c>
      <x:c r="B61" s="40" t="n">
        <x:v>-0.7505334344718357</x:v>
      </x:c>
      <x:c r="C61" s="40" t="n">
        <x:v>2.57497579362642</x:v>
      </x:c>
      <x:c r="D61" s="40" t="n">
        <x:v>3.397201757267699</x:v>
      </x:c>
      <x:c r="E61" t="n">
        <x:f>--((B61^2/$B$4^2+C61^2/$B$5^2+D61^2/$B$6^2)&lt;=1)</x:f>
        <x:v>0</x:v>
      </x:c>
      <x:c r="F61" s="42" t="n">
        <x:f>$B$8*SUM($E$18:E61)/A61</x:f>
        <x:v>100.36363636363636</x:v>
      </x:c>
      <x:c r="G61" s="42" t="n">
        <x:f>$B$11</x:f>
        <x:v>100.53096491487338</x:v>
      </x:c>
      <x:c r="I61" t="n">
        <x:f>A61</x:f>
        <x:v>44</x:v>
      </x:c>
      <x:c r="J61" t="n">
        <x:f>F61</x:f>
        <x:v>100.36363636363636</x:v>
      </x:c>
      <x:c r="K61" t="n">
        <x:f>G61</x:f>
        <x:v>100.53096491487338</x:v>
      </x:c>
    </x:row>
    <x:row r="62">
      <x:c r="A62" t="n">
        <x:v>45</x:v>
      </x:c>
      <x:c r="B62" s="40" t="n">
        <x:v>1.3290392055808042</x:v>
      </x:c>
      <x:c r="C62" s="40" t="n">
        <x:v>2.8860288681226365</x:v>
      </x:c>
      <x:c r="D62" s="40" t="n">
        <x:v>-0.15552087360865396</x:v>
      </x:c>
      <x:c r="E62" t="n">
        <x:f>--((B62^2/$B$4^2+C62^2/$B$5^2+D62^2/$B$6^2)&lt;=1)</x:f>
        <x:v>0</x:v>
      </x:c>
      <x:c r="F62" s="42" t="n">
        <x:f>$B$8*SUM($E$18:E62)/A62</x:f>
        <x:v>98.13333333333334</x:v>
      </x:c>
      <x:c r="G62" s="42" t="n">
        <x:f>$B$11</x:f>
        <x:v>100.53096491487338</x:v>
      </x:c>
      <x:c r="I62" t="n">
        <x:f>A62</x:f>
        <x:v>45</x:v>
      </x:c>
      <x:c r="J62" t="n">
        <x:f>F62</x:f>
        <x:v>98.13333333333334</x:v>
      </x:c>
      <x:c r="K62" t="n">
        <x:f>G62</x:f>
        <x:v>100.53096491487338</x:v>
      </x:c>
    </x:row>
    <x:row r="63">
      <x:c r="A63" t="n">
        <x:v>46</x:v>
      </x:c>
      <x:c r="B63" s="40" t="n">
        <x:v>1.2190574299872075</x:v>
      </x:c>
      <x:c r="C63" s="40" t="n">
        <x:v>-2.7459233160077714</x:v>
      </x:c>
      <x:c r="D63" s="40" t="n">
        <x:v>-1.921614034989549</x:v>
      </x:c>
      <x:c r="E63" t="n">
        <x:f>--((B63^2/$B$4^2+C63^2/$B$5^2+D63^2/$B$6^2)&lt;=1)</x:f>
        <x:v>0</x:v>
      </x:c>
      <x:c r="F63" s="42" t="n">
        <x:f>$B$8*SUM($E$18:E63)/A63</x:f>
        <x:v>96</x:v>
      </x:c>
      <x:c r="G63" s="42" t="n">
        <x:f>$B$11</x:f>
        <x:v>100.53096491487338</x:v>
      </x:c>
      <x:c r="I63" t="n">
        <x:f>A63</x:f>
        <x:v>46</x:v>
      </x:c>
      <x:c r="J63" t="n">
        <x:f>F63</x:f>
        <x:v>96</x:v>
      </x:c>
      <x:c r="K63" t="n">
        <x:f>G63</x:f>
        <x:v>100.53096491487338</x:v>
      </x:c>
    </x:row>
    <x:row r="64">
      <x:c r="A64" t="n">
        <x:v>47</x:v>
      </x:c>
      <x:c r="B64" s="40" t="n">
        <x:v>-0.45008648387930217</x:v>
      </x:c>
      <x:c r="C64" s="40" t="n">
        <x:v>-0.3303734338379627</x:v>
      </x:c>
      <x:c r="D64" s="40" t="n">
        <x:v>-2.068083149081545</x:v>
      </x:c>
      <x:c r="E64" t="n">
        <x:f>--((B64^2/$B$4^2+C64^2/$B$5^2+D64^2/$B$6^2)&lt;=1)</x:f>
        <x:v>1</x:v>
      </x:c>
      <x:c r="F64" s="42" t="n">
        <x:f>$B$8*SUM($E$18:E64)/A64</x:f>
        <x:v>98.04255319148936</x:v>
      </x:c>
      <x:c r="G64" s="42" t="n">
        <x:f>$B$11</x:f>
        <x:v>100.53096491487338</x:v>
      </x:c>
      <x:c r="I64" t="n">
        <x:f>A64</x:f>
        <x:v>47</x:v>
      </x:c>
      <x:c r="J64" t="n">
        <x:f>F64</x:f>
        <x:v>98.04255319148936</x:v>
      </x:c>
      <x:c r="K64" t="n">
        <x:f>G64</x:f>
        <x:v>100.53096491487338</x:v>
      </x:c>
    </x:row>
    <x:row r="65">
      <x:c r="A65" t="n">
        <x:v>48</x:v>
      </x:c>
      <x:c r="B65" s="40" t="n">
        <x:v>-0.8466875842790236</x:v>
      </x:c>
      <x:c r="C65" s="40" t="n">
        <x:v>0.28192672546930897</x:v>
      </x:c>
      <x:c r="D65" s="40" t="n">
        <x:v>-1.8793816914002246</x:v>
      </x:c>
      <x:c r="E65" t="n">
        <x:f>--((B65^2/$B$4^2+C65^2/$B$5^2+D65^2/$B$6^2)&lt;=1)</x:f>
        <x:v>1</x:v>
      </x:c>
      <x:c r="F65" s="42" t="n">
        <x:f>$B$8*SUM($E$18:E65)/A65</x:f>
        <x:v>100</x:v>
      </x:c>
      <x:c r="G65" s="42" t="n">
        <x:f>$B$11</x:f>
        <x:v>100.53096491487338</x:v>
      </x:c>
      <x:c r="I65" t="n">
        <x:f>A65</x:f>
        <x:v>48</x:v>
      </x:c>
      <x:c r="J65" t="n">
        <x:f>F65</x:f>
        <x:v>100</x:v>
      </x:c>
      <x:c r="K65" t="n">
        <x:f>G65</x:f>
        <x:v>100.53096491487338</x:v>
      </x:c>
    </x:row>
    <x:row r="66">
      <x:c r="A66" t="n">
        <x:v>49</x:v>
      </x:c>
      <x:c r="B66" s="40" t="n">
        <x:v>0.729982015899902</x:v>
      </x:c>
      <x:c r="C66" s="40" t="n">
        <x:v>-2.1195406007540853</x:v>
      </x:c>
      <x:c r="D66" s="40" t="n">
        <x:v>-1.0662066166562587</x:v>
      </x:c>
      <x:c r="E66" t="n">
        <x:f>--((B66^2/$B$4^2+C66^2/$B$5^2+D66^2/$B$6^2)&lt;=1)</x:f>
        <x:v>1</x:v>
      </x:c>
      <x:c r="F66" s="42" t="n">
        <x:f>$B$8*SUM($E$18:E66)/A66</x:f>
        <x:v>101.87755102040816</x:v>
      </x:c>
      <x:c r="G66" s="42" t="n">
        <x:f>$B$11</x:f>
        <x:v>100.53096491487338</x:v>
      </x:c>
      <x:c r="I66" t="n">
        <x:f>A66</x:f>
        <x:v>49</x:v>
      </x:c>
      <x:c r="J66" t="n">
        <x:f>F66</x:f>
        <x:v>101.87755102040816</x:v>
      </x:c>
      <x:c r="K66" t="n">
        <x:f>G66</x:f>
        <x:v>100.53096491487338</x:v>
      </x:c>
    </x:row>
    <x:row r="67">
      <x:c r="A67" t="n">
        <x:v>50</x:v>
      </x:c>
      <x:c r="B67" s="40" t="n">
        <x:v>-1.4409900655627608</x:v>
      </x:c>
      <x:c r="C67" s="40" t="n">
        <x:v>-0.9822850174358297</x:v>
      </x:c>
      <x:c r="D67" s="40" t="n">
        <x:v>1.740156261404934</x:v>
      </x:c>
      <x:c r="E67" t="n">
        <x:f>--((B67^2/$B$4^2+C67^2/$B$5^2+D67^2/$B$6^2)&lt;=1)</x:f>
        <x:v>1</x:v>
      </x:c>
      <x:c r="F67" s="42" t="n">
        <x:f>$B$8*SUM($E$18:E67)/A67</x:f>
        <x:v>103.68</x:v>
      </x:c>
      <x:c r="G67" s="42" t="n">
        <x:f>$B$11</x:f>
        <x:v>100.53096491487338</x:v>
      </x:c>
      <x:c r="I67" t="n">
        <x:f>A67</x:f>
        <x:v>50</x:v>
      </x:c>
      <x:c r="J67" t="n">
        <x:f>F67</x:f>
        <x:v>103.68</x:v>
      </x:c>
      <x:c r="K67" t="n">
        <x:f>G67</x:f>
        <x:v>100.53096491487338</x:v>
      </x:c>
    </x:row>
    <x:row r="68">
      <x:c r="A68" t="n">
        <x:v>51</x:v>
      </x:c>
      <x:c r="B68" s="40" t="n">
        <x:v>-1.2003671900995667</x:v>
      </x:c>
      <x:c r="C68" s="40" t="n">
        <x:v>2.9258846865387707</x:v>
      </x:c>
      <x:c r="D68" s="40" t="n">
        <x:v>3.5968243432063485</x:v>
      </x:c>
      <x:c r="E68" t="n">
        <x:f>--((B68^2/$B$4^2+C68^2/$B$5^2+D68^2/$B$6^2)&lt;=1)</x:f>
        <x:v>0</x:v>
      </x:c>
      <x:c r="F68" s="42" t="n">
        <x:f>$B$8*SUM($E$18:E68)/A68</x:f>
        <x:v>101.6470588235294</x:v>
      </x:c>
      <x:c r="G68" s="42" t="n">
        <x:f>$B$11</x:f>
        <x:v>100.53096491487338</x:v>
      </x:c>
      <x:c r="I68" t="n">
        <x:f>A68</x:f>
        <x:v>51</x:v>
      </x:c>
      <x:c r="J68" t="n">
        <x:f>F68</x:f>
        <x:v>101.6470588235294</x:v>
      </x:c>
      <x:c r="K68" t="n">
        <x:f>G68</x:f>
        <x:v>100.53096491487338</x:v>
      </x:c>
    </x:row>
    <x:row r="69">
      <x:c r="A69" t="n">
        <x:v>52</x:v>
      </x:c>
      <x:c r="B69" s="40" t="n">
        <x:v>-1.970550920995978</x:v>
      </x:c>
      <x:c r="C69" s="40" t="n">
        <x:v>-2.9026172619451716</x:v>
      </x:c>
      <x:c r="D69" s="40" t="n">
        <x:v>1.3522994409890572</x:v>
      </x:c>
      <x:c r="E69" t="n">
        <x:f>--((B69^2/$B$4^2+C69^2/$B$5^2+D69^2/$B$6^2)&lt;=1)</x:f>
        <x:v>0</x:v>
      </x:c>
      <x:c r="F69" s="42" t="n">
        <x:f>$B$8*SUM($E$18:E69)/A69</x:f>
        <x:v>99.6923076923077</x:v>
      </x:c>
      <x:c r="G69" s="42" t="n">
        <x:f>$B$11</x:f>
        <x:v>100.53096491487338</x:v>
      </x:c>
      <x:c r="I69" t="n">
        <x:f>A69</x:f>
        <x:v>52</x:v>
      </x:c>
      <x:c r="J69" t="n">
        <x:f>F69</x:f>
        <x:v>99.6923076923077</x:v>
      </x:c>
      <x:c r="K69" t="n">
        <x:f>G69</x:f>
        <x:v>100.53096491487338</x:v>
      </x:c>
    </x:row>
    <x:row r="70">
      <x:c r="A70" t="n">
        <x:v>53</x:v>
      </x:c>
      <x:c r="B70" s="40" t="n">
        <x:v>1.1476975100085536</x:v>
      </x:c>
      <x:c r="C70" s="40" t="n">
        <x:v>-0.2849524108536956</x:v>
      </x:c>
      <x:c r="D70" s="40" t="n">
        <x:v>0.377330167552806</x:v>
      </x:c>
      <x:c r="E70" t="n">
        <x:f>--((B70^2/$B$4^2+C70^2/$B$5^2+D70^2/$B$6^2)&lt;=1)</x:f>
        <x:v>1</x:v>
      </x:c>
      <x:c r="F70" s="42" t="n">
        <x:f>$B$8*SUM($E$18:E70)/A70</x:f>
        <x:v>101.43396226415095</x:v>
      </x:c>
      <x:c r="G70" s="42" t="n">
        <x:f>$B$11</x:f>
        <x:v>100.53096491487338</x:v>
      </x:c>
      <x:c r="I70" t="n">
        <x:f>A70</x:f>
        <x:v>53</x:v>
      </x:c>
      <x:c r="J70" t="n">
        <x:f>F70</x:f>
        <x:v>101.43396226415095</x:v>
      </x:c>
      <x:c r="K70" t="n">
        <x:f>G70</x:f>
        <x:v>100.53096491487338</x:v>
      </x:c>
    </x:row>
    <x:row r="71">
      <x:c r="A71" t="n">
        <x:v>54</x:v>
      </x:c>
      <x:c r="B71" s="40" t="n">
        <x:v>0.6594034263681285</x:v>
      </x:c>
      <x:c r="C71" s="40" t="n">
        <x:v>2.055927730309177</x:v>
      </x:c>
      <x:c r="D71" s="40" t="n">
        <x:v>-0.41121753586292265</x:v>
      </x:c>
      <x:c r="E71" t="n">
        <x:f>--((B71^2/$B$4^2+C71^2/$B$5^2+D71^2/$B$6^2)&lt;=1)</x:f>
        <x:v>1</x:v>
      </x:c>
      <x:c r="F71" s="42" t="n">
        <x:f>$B$8*SUM($E$18:E71)/A71</x:f>
        <x:v>103.11111111111111</x:v>
      </x:c>
      <x:c r="G71" s="42" t="n">
        <x:f>$B$11</x:f>
        <x:v>100.53096491487338</x:v>
      </x:c>
      <x:c r="I71" t="n">
        <x:f>A71</x:f>
        <x:v>54</x:v>
      </x:c>
      <x:c r="J71" t="n">
        <x:f>F71</x:f>
        <x:v>103.11111111111111</x:v>
      </x:c>
      <x:c r="K71" t="n">
        <x:f>G71</x:f>
        <x:v>100.53096491487338</x:v>
      </x:c>
    </x:row>
    <x:row r="72">
      <x:c r="A72" t="n">
        <x:v>55</x:v>
      </x:c>
      <x:c r="B72" s="40" t="n">
        <x:v>0.8206615145053404</x:v>
      </x:c>
      <x:c r="C72" s="40" t="n">
        <x:v>-1.0565924236842694</x:v>
      </x:c>
      <x:c r="D72" s="40" t="n">
        <x:v>2.6255557363009316</x:v>
      </x:c>
      <x:c r="E72" t="n">
        <x:f>--((B72^2/$B$4^2+C72^2/$B$5^2+D72^2/$B$6^2)&lt;=1)</x:f>
        <x:v>1</x:v>
      </x:c>
      <x:c r="F72" s="42" t="n">
        <x:f>$B$8*SUM($E$18:E72)/A72</x:f>
        <x:v>104.72727272727273</x:v>
      </x:c>
      <x:c r="G72" s="42" t="n">
        <x:f>$B$11</x:f>
        <x:v>100.53096491487338</x:v>
      </x:c>
      <x:c r="I72" t="n">
        <x:f>A72</x:f>
        <x:v>55</x:v>
      </x:c>
      <x:c r="J72" t="n">
        <x:f>F72</x:f>
        <x:v>104.72727272727273</x:v>
      </x:c>
      <x:c r="K72" t="n">
        <x:f>G72</x:f>
        <x:v>100.53096491487338</x:v>
      </x:c>
    </x:row>
    <x:row r="73">
      <x:c r="A73" t="n">
        <x:v>56</x:v>
      </x:c>
      <x:c r="B73" s="40" t="n">
        <x:v>1.1229161240878716</x:v>
      </x:c>
      <x:c r="C73" s="40" t="n">
        <x:v>-0.12120898346907971</x:v>
      </x:c>
      <x:c r="D73" s="40" t="n">
        <x:v>2.7972576195685592</x:v>
      </x:c>
      <x:c r="E73" t="n">
        <x:f>--((B73^2/$B$4^2+C73^2/$B$5^2+D73^2/$B$6^2)&lt;=1)</x:f>
        <x:v>1</x:v>
      </x:c>
      <x:c r="F73" s="42" t="n">
        <x:f>$B$8*SUM($E$18:E73)/A73</x:f>
        <x:v>106.28571428571429</x:v>
      </x:c>
      <x:c r="G73" s="42" t="n">
        <x:f>$B$11</x:f>
        <x:v>100.53096491487338</x:v>
      </x:c>
      <x:c r="I73" t="n">
        <x:f>A73</x:f>
        <x:v>56</x:v>
      </x:c>
      <x:c r="J73" t="n">
        <x:f>F73</x:f>
        <x:v>106.28571428571429</x:v>
      </x:c>
      <x:c r="K73" t="n">
        <x:f>G73</x:f>
        <x:v>100.53096491487338</x:v>
      </x:c>
    </x:row>
    <x:row r="74">
      <x:c r="A74" t="n">
        <x:v>57</x:v>
      </x:c>
      <x:c r="B74" s="40" t="n">
        <x:v>-0.16433689784664018</x:v>
      </x:c>
      <x:c r="C74" s="40" t="n">
        <x:v>2.8682744747278797</x:v>
      </x:c>
      <x:c r="D74" s="40" t="n">
        <x:v>-1.6556986045374513</x:v>
      </x:c>
      <x:c r="E74" t="n">
        <x:f>--((B74^2/$B$4^2+C74^2/$B$5^2+D74^2/$B$6^2)&lt;=1)</x:f>
        <x:v>0</x:v>
      </x:c>
      <x:c r="F74" s="42" t="n">
        <x:f>$B$8*SUM($E$18:E74)/A74</x:f>
        <x:v>104.42105263157895</x:v>
      </x:c>
      <x:c r="G74" s="42" t="n">
        <x:f>$B$11</x:f>
        <x:v>100.53096491487338</x:v>
      </x:c>
      <x:c r="I74" t="n">
        <x:f>A74</x:f>
        <x:v>57</x:v>
      </x:c>
      <x:c r="J74" t="n">
        <x:f>F74</x:f>
        <x:v>104.42105263157895</x:v>
      </x:c>
      <x:c r="K74" t="n">
        <x:f>G74</x:f>
        <x:v>100.53096491487338</x:v>
      </x:c>
    </x:row>
    <x:row r="75">
      <x:c r="A75" t="n">
        <x:v>58</x:v>
      </x:c>
      <x:c r="B75" s="40" t="n">
        <x:v>0.27496478381157496</x:v>
      </x:c>
      <x:c r="C75" s="40" t="n">
        <x:v>-0.15073898114577666</x:v>
      </x:c>
      <x:c r="D75" s="40" t="n">
        <x:v>3.627361989227441</x:v>
      </x:c>
      <x:c r="E75" t="n">
        <x:f>--((B75^2/$B$4^2+C75^2/$B$5^2+D75^2/$B$6^2)&lt;=1)</x:f>
        <x:v>1</x:v>
      </x:c>
      <x:c r="F75" s="42" t="n">
        <x:f>$B$8*SUM($E$18:E75)/A75</x:f>
        <x:v>105.93103448275862</x:v>
      </x:c>
      <x:c r="G75" s="42" t="n">
        <x:f>$B$11</x:f>
        <x:v>100.53096491487338</x:v>
      </x:c>
      <x:c r="I75" t="n">
        <x:f>A75</x:f>
        <x:v>58</x:v>
      </x:c>
      <x:c r="J75" t="n">
        <x:f>F75</x:f>
        <x:v>105.93103448275862</x:v>
      </x:c>
      <x:c r="K75" t="n">
        <x:f>G75</x:f>
        <x:v>100.53096491487338</x:v>
      </x:c>
    </x:row>
    <x:row r="76">
      <x:c r="A76" t="n">
        <x:v>59</x:v>
      </x:c>
      <x:c r="B76" s="40" t="n">
        <x:v>-1.4408120074893702</x:v>
      </x:c>
      <x:c r="C76" s="40" t="n">
        <x:v>-2.214472127121006</x:v>
      </x:c>
      <x:c r="D76" s="40" t="n">
        <x:v>-0.8390770943489434</x:v>
      </x:c>
      <x:c r="E76" t="n">
        <x:f>--((B76^2/$B$4^2+C76^2/$B$5^2+D76^2/$B$6^2)&lt;=1)</x:f>
        <x:v>0</x:v>
      </x:c>
      <x:c r="F76" s="42" t="n">
        <x:f>$B$8*SUM($E$18:E76)/A76</x:f>
        <x:v>104.13559322033899</x:v>
      </x:c>
      <x:c r="G76" s="42" t="n">
        <x:f>$B$11</x:f>
        <x:v>100.53096491487338</x:v>
      </x:c>
      <x:c r="I76" t="n">
        <x:f>A76</x:f>
        <x:v>59</x:v>
      </x:c>
      <x:c r="J76" t="n">
        <x:f>F76</x:f>
        <x:v>104.13559322033899</x:v>
      </x:c>
      <x:c r="K76" t="n">
        <x:f>G76</x:f>
        <x:v>100.53096491487338</x:v>
      </x:c>
    </x:row>
    <x:row r="77">
      <x:c r="A77" t="n">
        <x:v>60</x:v>
      </x:c>
      <x:c r="B77" s="40" t="n">
        <x:v>-1.5418797058561062</x:v>
      </x:c>
      <x:c r="C77" s="40" t="n">
        <x:v>-2.6896710500016536</x:v>
      </x:c>
      <x:c r="D77" s="40" t="n">
        <x:v>2.4006245535322224</x:v>
      </x:c>
      <x:c r="E77" t="n">
        <x:f>--((B77^2/$B$4^2+C77^2/$B$5^2+D77^2/$B$6^2)&lt;=1)</x:f>
        <x:v>0</x:v>
      </x:c>
      <x:c r="F77" s="42" t="n">
        <x:f>$B$8*SUM($E$18:E77)/A77</x:f>
        <x:v>102.4</x:v>
      </x:c>
      <x:c r="G77" s="42" t="n">
        <x:f>$B$11</x:f>
        <x:v>100.53096491487338</x:v>
      </x:c>
      <x:c r="I77" t="n">
        <x:f>A77</x:f>
        <x:v>60</x:v>
      </x:c>
      <x:c r="J77" t="n">
        <x:f>F77</x:f>
        <x:v>102.4</x:v>
      </x:c>
      <x:c r="K77" t="n">
        <x:f>G77</x:f>
        <x:v>100.53096491487338</x:v>
      </x:c>
    </x:row>
    <x:row r="78">
      <x:c r="A78" t="n">
        <x:v>61</x:v>
      </x:c>
      <x:c r="B78" s="40" t="n">
        <x:v>0.6736118471618866</x:v>
      </x:c>
      <x:c r="C78" s="40" t="n">
        <x:v>2.6724994346396906</x:v>
      </x:c>
      <x:c r="D78" s="40" t="n">
        <x:v>3.734559024657867</x:v>
      </x:c>
      <x:c r="E78" t="n">
        <x:f>--((B78^2/$B$4^2+C78^2/$B$5^2+D78^2/$B$6^2)&lt;=1)</x:f>
        <x:v>0</x:v>
      </x:c>
      <x:c r="F78" s="42" t="n">
        <x:f>$B$8*SUM($E$18:E78)/A78</x:f>
        <x:v>100.72131147540983</x:v>
      </x:c>
      <x:c r="G78" s="42" t="n">
        <x:f>$B$11</x:f>
        <x:v>100.53096491487338</x:v>
      </x:c>
      <x:c r="I78" t="n">
        <x:f>A78</x:f>
        <x:v>61</x:v>
      </x:c>
      <x:c r="J78" t="n">
        <x:f>F78</x:f>
        <x:v>100.72131147540983</x:v>
      </x:c>
      <x:c r="K78" t="n">
        <x:f>G78</x:f>
        <x:v>100.53096491487338</x:v>
      </x:c>
    </x:row>
    <x:row r="79">
      <x:c r="A79" t="n">
        <x:v>62</x:v>
      </x:c>
      <x:c r="B79" s="40" t="n">
        <x:v>-0.11561517542746991</x:v>
      </x:c>
      <x:c r="C79" s="40" t="n">
        <x:v>-1.4051435203496059</x:v>
      </x:c>
      <x:c r="D79" s="40" t="n">
        <x:v>1.6292648068448896</x:v>
      </x:c>
      <x:c r="E79" t="n">
        <x:f>--((B79^2/$B$4^2+C79^2/$B$5^2+D79^2/$B$6^2)&lt;=1)</x:f>
        <x:v>1</x:v>
      </x:c>
      <x:c r="F79" s="42" t="n">
        <x:f>$B$8*SUM($E$18:E79)/A79</x:f>
        <x:v>102.19354838709677</x:v>
      </x:c>
      <x:c r="G79" s="42" t="n">
        <x:f>$B$11</x:f>
        <x:v>100.53096491487338</x:v>
      </x:c>
      <x:c r="I79" t="n">
        <x:f>A79</x:f>
        <x:v>62</x:v>
      </x:c>
      <x:c r="J79" t="n">
        <x:f>F79</x:f>
        <x:v>102.19354838709677</x:v>
      </x:c>
      <x:c r="K79" t="n">
        <x:f>G79</x:f>
        <x:v>100.53096491487338</x:v>
      </x:c>
    </x:row>
    <x:row r="80">
      <x:c r="A80" t="n">
        <x:v>63</x:v>
      </x:c>
      <x:c r="B80" s="40" t="n">
        <x:v>0.2609444259247553</x:v>
      </x:c>
      <x:c r="C80" s="40" t="n">
        <x:v>0.024383439387305472</x:v>
      </x:c>
      <x:c r="D80" s="40" t="n">
        <x:v>-2.70759418839045</x:v>
      </x:c>
      <x:c r="E80" t="n">
        <x:f>--((B80^2/$B$4^2+C80^2/$B$5^2+D80^2/$B$6^2)&lt;=1)</x:f>
        <x:v>1</x:v>
      </x:c>
      <x:c r="F80" s="42" t="n">
        <x:f>$B$8*SUM($E$18:E80)/A80</x:f>
        <x:v>103.61904761904762</x:v>
      </x:c>
      <x:c r="G80" s="42" t="n">
        <x:f>$B$11</x:f>
        <x:v>100.53096491487338</x:v>
      </x:c>
      <x:c r="I80" t="n">
        <x:f>A80</x:f>
        <x:v>63</x:v>
      </x:c>
      <x:c r="J80" t="n">
        <x:f>F80</x:f>
        <x:v>103.61904761904762</x:v>
      </x:c>
      <x:c r="K80" t="n">
        <x:f>G80</x:f>
        <x:v>100.53096491487338</x:v>
      </x:c>
    </x:row>
    <x:row r="81">
      <x:c r="A81" t="n">
        <x:v>64</x:v>
      </x:c>
      <x:c r="B81" s="40" t="n">
        <x:v>1.0599954296641023</x:v>
      </x:c>
      <x:c r="C81" s="40" t="n">
        <x:v>-2.455789403460188</x:v>
      </x:c>
      <x:c r="D81" s="40" t="n">
        <x:v>0.6890956413914466</x:v>
      </x:c>
      <x:c r="E81" t="n">
        <x:f>--((B81^2/$B$4^2+C81^2/$B$5^2+D81^2/$B$6^2)&lt;=1)</x:f>
        <x:v>1</x:v>
      </x:c>
      <x:c r="F81" s="42" t="n">
        <x:f>$B$8*SUM($E$18:E81)/A81</x:f>
        <x:v>105</x:v>
      </x:c>
      <x:c r="G81" s="42" t="n">
        <x:f>$B$11</x:f>
        <x:v>100.53096491487338</x:v>
      </x:c>
      <x:c r="I81" t="n">
        <x:f>A81</x:f>
        <x:v>64</x:v>
      </x:c>
      <x:c r="J81" t="n">
        <x:f>F81</x:f>
        <x:v>105</x:v>
      </x:c>
      <x:c r="K81" t="n">
        <x:f>G81</x:f>
        <x:v>100.53096491487338</x:v>
      </x:c>
    </x:row>
    <x:row r="82">
      <x:c r="A82" t="n">
        <x:v>65</x:v>
      </x:c>
      <x:c r="B82" s="40" t="n">
        <x:v>0.5388732800023632</x:v>
      </x:c>
      <x:c r="C82" s="40" t="n">
        <x:v>-0.4580692766963699</x:v>
      </x:c>
      <x:c r="D82" s="40" t="n">
        <x:v>-3.0497830152353727</x:v>
      </x:c>
      <x:c r="E82" t="n">
        <x:f>--((B82^2/$B$4^2+C82^2/$B$5^2+D82^2/$B$6^2)&lt;=1)</x:f>
        <x:v>1</x:v>
      </x:c>
      <x:c r="F82" s="42" t="n">
        <x:f>$B$8*SUM($E$18:E82)/A82</x:f>
        <x:v>106.33846153846154</x:v>
      </x:c>
      <x:c r="G82" s="42" t="n">
        <x:f>$B$11</x:f>
        <x:v>100.53096491487338</x:v>
      </x:c>
      <x:c r="I82" t="n">
        <x:f>A82</x:f>
        <x:v>65</x:v>
      </x:c>
      <x:c r="J82" t="n">
        <x:f>F82</x:f>
        <x:v>106.33846153846154</x:v>
      </x:c>
      <x:c r="K82" t="n">
        <x:f>G82</x:f>
        <x:v>100.53096491487338</x:v>
      </x:c>
    </x:row>
    <x:row r="83">
      <x:c r="A83" t="n">
        <x:v>66</x:v>
      </x:c>
      <x:c r="B83" s="40" t="n">
        <x:v>0.2143176026319833</x:v>
      </x:c>
      <x:c r="C83" s="40" t="n">
        <x:v>2.5806331155007447</x:v>
      </x:c>
      <x:c r="D83" s="40" t="n">
        <x:v>2.3131363189514103</x:v>
      </x:c>
      <x:c r="E83" t="n">
        <x:f>--((B83^2/$B$4^2+C83^2/$B$5^2+D83^2/$B$6^2)&lt;=1)</x:f>
        <x:v>0</x:v>
      </x:c>
      <x:c r="F83" s="42" t="n">
        <x:f>$B$8*SUM($E$18:E83)/A83</x:f>
        <x:v>104.72727272727273</x:v>
      </x:c>
      <x:c r="G83" s="42" t="n">
        <x:f>$B$11</x:f>
        <x:v>100.53096491487338</x:v>
      </x:c>
      <x:c r="I83" t="n">
        <x:f>A83</x:f>
        <x:v>66</x:v>
      </x:c>
      <x:c r="J83" t="n">
        <x:f>F83</x:f>
        <x:v>104.72727272727273</x:v>
      </x:c>
      <x:c r="K83" t="n">
        <x:f>G83</x:f>
        <x:v>100.53096491487338</x:v>
      </x:c>
    </x:row>
    <x:row r="84">
      <x:c r="A84" t="n">
        <x:v>67</x:v>
      </x:c>
      <x:c r="B84" s="40" t="n">
        <x:v>0.23682864298165418</x:v>
      </x:c>
      <x:c r="C84" s="40" t="n">
        <x:v>0.0144779617856301</x:v>
      </x:c>
      <x:c r="D84" s="40" t="n">
        <x:v>-1.7494786090089365</x:v>
      </x:c>
      <x:c r="E84" t="n">
        <x:f>--((B84^2/$B$4^2+C84^2/$B$5^2+D84^2/$B$6^2)&lt;=1)</x:f>
        <x:v>1</x:v>
      </x:c>
      <x:c r="F84" s="42" t="n">
        <x:f>$B$8*SUM($E$18:E84)/A84</x:f>
        <x:v>106.02985074626865</x:v>
      </x:c>
      <x:c r="G84" s="42" t="n">
        <x:f>$B$11</x:f>
        <x:v>100.53096491487338</x:v>
      </x:c>
      <x:c r="I84" t="n">
        <x:f>A84</x:f>
        <x:v>67</x:v>
      </x:c>
      <x:c r="J84" t="n">
        <x:f>F84</x:f>
        <x:v>106.02985074626865</x:v>
      </x:c>
      <x:c r="K84" t="n">
        <x:f>G84</x:f>
        <x:v>100.53096491487338</x:v>
      </x:c>
    </x:row>
    <x:row r="85">
      <x:c r="A85" t="n">
        <x:v>68</x:v>
      </x:c>
      <x:c r="B85" s="40" t="n">
        <x:v>-0.7841996077495512</x:v>
      </x:c>
      <x:c r="C85" s="40" t="n">
        <x:v>2.8268109108139674</x:v>
      </x:c>
      <x:c r="D85" s="40" t="n">
        <x:v>1.5617185844801487</x:v>
      </x:c>
      <x:c r="E85" t="n">
        <x:f>--((B85^2/$B$4^2+C85^2/$B$5^2+D85^2/$B$6^2)&lt;=1)</x:f>
        <x:v>0</x:v>
      </x:c>
      <x:c r="F85" s="42" t="n">
        <x:f>$B$8*SUM($E$18:E85)/A85</x:f>
        <x:v>104.47058823529412</x:v>
      </x:c>
      <x:c r="G85" s="42" t="n">
        <x:f>$B$11</x:f>
        <x:v>100.53096491487338</x:v>
      </x:c>
      <x:c r="I85" t="n">
        <x:f>A85</x:f>
        <x:v>68</x:v>
      </x:c>
      <x:c r="J85" t="n">
        <x:f>F85</x:f>
        <x:v>104.47058823529412</x:v>
      </x:c>
      <x:c r="K85" t="n">
        <x:f>G85</x:f>
        <x:v>100.53096491487338</x:v>
      </x:c>
    </x:row>
    <x:row r="86">
      <x:c r="A86" t="n">
        <x:v>69</x:v>
      </x:c>
      <x:c r="B86" s="40" t="n">
        <x:v>-1.8767286617282424</x:v>
      </x:c>
      <x:c r="C86" s="40" t="n">
        <x:v>-1.446986176575602</x:v>
      </x:c>
      <x:c r="D86" s="40" t="n">
        <x:v>3.2807173930415914</x:v>
      </x:c>
      <x:c r="E86" t="n">
        <x:f>--((B86^2/$B$4^2+C86^2/$B$5^2+D86^2/$B$6^2)&lt;=1)</x:f>
        <x:v>0</x:v>
      </x:c>
      <x:c r="F86" s="42" t="n">
        <x:f>$B$8*SUM($E$18:E86)/A86</x:f>
        <x:v>102.95652173913044</x:v>
      </x:c>
      <x:c r="G86" s="42" t="n">
        <x:f>$B$11</x:f>
        <x:v>100.53096491487338</x:v>
      </x:c>
      <x:c r="I86" t="n">
        <x:f>A86</x:f>
        <x:v>69</x:v>
      </x:c>
      <x:c r="J86" t="n">
        <x:f>F86</x:f>
        <x:v>102.95652173913044</x:v>
      </x:c>
      <x:c r="K86" t="n">
        <x:f>G86</x:f>
        <x:v>100.53096491487338</x:v>
      </x:c>
    </x:row>
    <x:row r="87">
      <x:c r="A87" t="n">
        <x:v>70</x:v>
      </x:c>
      <x:c r="B87" s="40" t="n">
        <x:v>-0.25313044307055055</x:v>
      </x:c>
      <x:c r="C87" s="40" t="n">
        <x:v>0.02727143822362299</x:v>
      </x:c>
      <x:c r="D87" s="40" t="n">
        <x:v>-2.551921194638621</x:v>
      </x:c>
      <x:c r="E87" t="n">
        <x:f>--((B87^2/$B$4^2+C87^2/$B$5^2+D87^2/$B$6^2)&lt;=1)</x:f>
        <x:v>1</x:v>
      </x:c>
      <x:c r="F87" s="42" t="n">
        <x:f>$B$8*SUM($E$18:E87)/A87</x:f>
        <x:v>104.22857142857143</x:v>
      </x:c>
      <x:c r="G87" s="42" t="n">
        <x:f>$B$11</x:f>
        <x:v>100.53096491487338</x:v>
      </x:c>
      <x:c r="I87" t="n">
        <x:f>A87</x:f>
        <x:v>70</x:v>
      </x:c>
      <x:c r="J87" t="n">
        <x:f>F87</x:f>
        <x:v>104.22857142857143</x:v>
      </x:c>
      <x:c r="K87" t="n">
        <x:f>G87</x:f>
        <x:v>100.53096491487338</x:v>
      </x:c>
    </x:row>
    <x:row r="88">
      <x:c r="A88" t="n">
        <x:v>71</x:v>
      </x:c>
      <x:c r="B88" s="40" t="n">
        <x:v>-1.1416613087218832</x:v>
      </x:c>
      <x:c r="C88" s="40" t="n">
        <x:v>2.1571847508559516</x:v>
      </x:c>
      <x:c r="D88" s="40" t="n">
        <x:v>-0.8571372911906661</x:v>
      </x:c>
      <x:c r="E88" t="n">
        <x:f>--((B88^2/$B$4^2+C88^2/$B$5^2+D88^2/$B$6^2)&lt;=1)</x:f>
        <x:v>1</x:v>
      </x:c>
      <x:c r="F88" s="42" t="n">
        <x:f>$B$8*SUM($E$18:E88)/A88</x:f>
        <x:v>105.46478873239437</x:v>
      </x:c>
      <x:c r="G88" s="42" t="n">
        <x:f>$B$11</x:f>
        <x:v>100.53096491487338</x:v>
      </x:c>
      <x:c r="I88" t="n">
        <x:f>A88</x:f>
        <x:v>71</x:v>
      </x:c>
      <x:c r="J88" t="n">
        <x:f>F88</x:f>
        <x:v>105.46478873239437</x:v>
      </x:c>
      <x:c r="K88" t="n">
        <x:f>G88</x:f>
        <x:v>100.53096491487338</x:v>
      </x:c>
    </x:row>
    <x:row r="89">
      <x:c r="A89" t="n">
        <x:v>72</x:v>
      </x:c>
      <x:c r="B89" s="40" t="n">
        <x:v>-0.3658854251014554</x:v>
      </x:c>
      <x:c r="C89" s="40" t="n">
        <x:v>-0.31048587267753724</x:v>
      </x:c>
      <x:c r="D89" s="40" t="n">
        <x:v>1.1769503045885301</x:v>
      </x:c>
      <x:c r="E89" t="n">
        <x:f>--((B89^2/$B$4^2+C89^2/$B$5^2+D89^2/$B$6^2)&lt;=1)</x:f>
        <x:v>1</x:v>
      </x:c>
      <x:c r="F89" s="42" t="n">
        <x:f>$B$8*SUM($E$18:E89)/A89</x:f>
        <x:v>106.66666666666667</x:v>
      </x:c>
      <x:c r="G89" s="42" t="n">
        <x:f>$B$11</x:f>
        <x:v>100.53096491487338</x:v>
      </x:c>
      <x:c r="I89" t="n">
        <x:f>A89</x:f>
        <x:v>72</x:v>
      </x:c>
      <x:c r="J89" t="n">
        <x:f>F89</x:f>
        <x:v>106.66666666666667</x:v>
      </x:c>
      <x:c r="K89" t="n">
        <x:f>G89</x:f>
        <x:v>100.53096491487338</x:v>
      </x:c>
    </x:row>
    <x:row r="90">
      <x:c r="A90" t="n">
        <x:v>73</x:v>
      </x:c>
      <x:c r="B90" s="40" t="n">
        <x:v>1.4136122930726644</x:v>
      </x:c>
      <x:c r="C90" s="40" t="n">
        <x:v>-1.3230757585788624</x:v>
      </x:c>
      <x:c r="D90" s="40" t="n">
        <x:v>-0.642731257523991</x:v>
      </x:c>
      <x:c r="E90" t="n">
        <x:f>--((B90^2/$B$4^2+C90^2/$B$5^2+D90^2/$B$6^2)&lt;=1)</x:f>
        <x:v>1</x:v>
      </x:c>
      <x:c r="F90" s="42" t="n">
        <x:f>$B$8*SUM($E$18:E90)/A90</x:f>
        <x:v>107.83561643835617</x:v>
      </x:c>
      <x:c r="G90" s="42" t="n">
        <x:f>$B$11</x:f>
        <x:v>100.53096491487338</x:v>
      </x:c>
      <x:c r="I90" t="n">
        <x:f>A90</x:f>
        <x:v>73</x:v>
      </x:c>
      <x:c r="J90" t="n">
        <x:f>F90</x:f>
        <x:v>107.83561643835617</x:v>
      </x:c>
      <x:c r="K90" t="n">
        <x:f>G90</x:f>
        <x:v>100.53096491487338</x:v>
      </x:c>
    </x:row>
    <x:row r="91">
      <x:c r="A91" t="n">
        <x:v>74</x:v>
      </x:c>
      <x:c r="B91" s="40" t="n">
        <x:v>-1.064242056538637</x:v>
      </x:c>
      <x:c r="C91" s="40" t="n">
        <x:v>2.1328521805072898</x:v>
      </x:c>
      <x:c r="D91" s="40" t="n">
        <x:v>-2.601448467002278</x:v>
      </x:c>
      <x:c r="E91" t="n">
        <x:f>--((B91^2/$B$4^2+C91^2/$B$5^2+D91^2/$B$6^2)&lt;=1)</x:f>
        <x:v>0</x:v>
      </x:c>
      <x:c r="F91" s="42" t="n">
        <x:f>$B$8*SUM($E$18:E91)/A91</x:f>
        <x:v>106.37837837837837</x:v>
      </x:c>
      <x:c r="G91" s="42" t="n">
        <x:f>$B$11</x:f>
        <x:v>100.53096491487338</x:v>
      </x:c>
      <x:c r="I91" t="n">
        <x:f>A91</x:f>
        <x:v>74</x:v>
      </x:c>
      <x:c r="J91" t="n">
        <x:f>F91</x:f>
        <x:v>106.37837837837837</x:v>
      </x:c>
      <x:c r="K91" t="n">
        <x:f>G91</x:f>
        <x:v>100.53096491487338</x:v>
      </x:c>
    </x:row>
    <x:row r="92">
      <x:c r="A92" t="n">
        <x:v>75</x:v>
      </x:c>
      <x:c r="B92" s="40" t="n">
        <x:v>-1.766789033243736</x:v>
      </x:c>
      <x:c r="C92" s="40" t="n">
        <x:v>-0.6606631867643458</x:v>
      </x:c>
      <x:c r="D92" s="40" t="n">
        <x:v>-3.767427086649624</x:v>
      </x:c>
      <x:c r="E92" t="n">
        <x:f>--((B92^2/$B$4^2+C92^2/$B$5^2+D92^2/$B$6^2)&lt;=1)</x:f>
        <x:v>0</x:v>
      </x:c>
      <x:c r="F92" s="42" t="n">
        <x:f>$B$8*SUM($E$18:E92)/A92</x:f>
        <x:v>104.96</x:v>
      </x:c>
      <x:c r="G92" s="42" t="n">
        <x:f>$B$11</x:f>
        <x:v>100.53096491487338</x:v>
      </x:c>
      <x:c r="I92" t="n">
        <x:f>A92</x:f>
        <x:v>75</x:v>
      </x:c>
      <x:c r="J92" t="n">
        <x:f>F92</x:f>
        <x:v>104.96</x:v>
      </x:c>
      <x:c r="K92" t="n">
        <x:f>G92</x:f>
        <x:v>100.53096491487338</x:v>
      </x:c>
    </x:row>
    <x:row r="93">
      <x:c r="A93" t="n">
        <x:v>76</x:v>
      </x:c>
      <x:c r="B93" s="40" t="n">
        <x:v>-0.8744644319120138</x:v>
      </x:c>
      <x:c r="C93" s="40" t="n">
        <x:v>0.18433974636140427</x:v>
      </x:c>
      <x:c r="D93" s="40" t="n">
        <x:v>-0.7472148503842968</x:v>
      </x:c>
      <x:c r="E93" t="n">
        <x:f>--((B93^2/$B$4^2+C93^2/$B$5^2+D93^2/$B$6^2)&lt;=1)</x:f>
        <x:v>1</x:v>
      </x:c>
      <x:c r="F93" s="42" t="n">
        <x:f>$B$8*SUM($E$18:E93)/A93</x:f>
        <x:v>106.10526315789474</x:v>
      </x:c>
      <x:c r="G93" s="42" t="n">
        <x:f>$B$11</x:f>
        <x:v>100.53096491487338</x:v>
      </x:c>
      <x:c r="I93" t="n">
        <x:f>A93</x:f>
        <x:v>76</x:v>
      </x:c>
      <x:c r="J93" t="n">
        <x:f>F93</x:f>
        <x:v>106.10526315789474</x:v>
      </x:c>
      <x:c r="K93" t="n">
        <x:f>G93</x:f>
        <x:v>100.53096491487338</x:v>
      </x:c>
    </x:row>
    <x:row r="94">
      <x:c r="A94" t="n">
        <x:v>77</x:v>
      </x:c>
      <x:c r="B94" s="40" t="n">
        <x:v>-0.8256249689332655</x:v>
      </x:c>
      <x:c r="C94" s="40" t="n">
        <x:v>2.8591623984908736</x:v>
      </x:c>
      <x:c r="D94" s="40" t="n">
        <x:v>1.193672212655363</x:v>
      </x:c>
      <x:c r="E94" t="n">
        <x:f>--((B94^2/$B$4^2+C94^2/$B$5^2+D94^2/$B$6^2)&lt;=1)</x:f>
        <x:v>0</x:v>
      </x:c>
      <x:c r="F94" s="42" t="n">
        <x:f>$B$8*SUM($E$18:E94)/A94</x:f>
        <x:v>104.72727272727273</x:v>
      </x:c>
      <x:c r="G94" s="42" t="n">
        <x:f>$B$11</x:f>
        <x:v>100.53096491487338</x:v>
      </x:c>
      <x:c r="I94" t="n">
        <x:f>A94</x:f>
        <x:v>77</x:v>
      </x:c>
      <x:c r="J94" t="n">
        <x:f>F94</x:f>
        <x:v>104.72727272727273</x:v>
      </x:c>
      <x:c r="K94" t="n">
        <x:f>G94</x:f>
        <x:v>100.53096491487338</x:v>
      </x:c>
    </x:row>
    <x:row r="95">
      <x:c r="A95" t="n">
        <x:v>78</x:v>
      </x:c>
      <x:c r="B95" s="40" t="n">
        <x:v>0.6476660589075802</x:v>
      </x:c>
      <x:c r="C95" s="40" t="n">
        <x:v>-1.8811002314648166</x:v>
      </x:c>
      <x:c r="D95" s="40" t="n">
        <x:v>0.591873665219909</x:v>
      </x:c>
      <x:c r="E95" t="n">
        <x:f>--((B95^2/$B$4^2+C95^2/$B$5^2+D95^2/$B$6^2)&lt;=1)</x:f>
        <x:v>1</x:v>
      </x:c>
      <x:c r="F95" s="42" t="n">
        <x:f>$B$8*SUM($E$18:E95)/A95</x:f>
        <x:v>105.84615384615384</x:v>
      </x:c>
      <x:c r="G95" s="42" t="n">
        <x:f>$B$11</x:f>
        <x:v>100.53096491487338</x:v>
      </x:c>
      <x:c r="I95" t="n">
        <x:f>A95</x:f>
        <x:v>78</x:v>
      </x:c>
      <x:c r="J95" t="n">
        <x:f>F95</x:f>
        <x:v>105.84615384615384</x:v>
      </x:c>
      <x:c r="K95" t="n">
        <x:f>G95</x:f>
        <x:v>100.53096491487338</x:v>
      </x:c>
    </x:row>
    <x:row r="96">
      <x:c r="A96" t="n">
        <x:v>79</x:v>
      </x:c>
      <x:c r="B96" s="40" t="n">
        <x:v>0.22812860936511337</x:v>
      </x:c>
      <x:c r="C96" s="40" t="n">
        <x:v>-1.1915961796788859</x:v>
      </x:c>
      <x:c r="D96" s="40" t="n">
        <x:v>-2.7500700819148607</x:v>
      </x:c>
      <x:c r="E96" t="n">
        <x:f>--((B96^2/$B$4^2+C96^2/$B$5^2+D96^2/$B$6^2)&lt;=1)</x:f>
        <x:v>1</x:v>
      </x:c>
      <x:c r="F96" s="42" t="n">
        <x:f>$B$8*SUM($E$18:E96)/A96</x:f>
        <x:v>106.9367088607595</x:v>
      </x:c>
      <x:c r="G96" s="42" t="n">
        <x:f>$B$11</x:f>
        <x:v>100.53096491487338</x:v>
      </x:c>
      <x:c r="I96" t="n">
        <x:f>A96</x:f>
        <x:v>79</x:v>
      </x:c>
      <x:c r="J96" t="n">
        <x:f>F96</x:f>
        <x:v>106.9367088607595</x:v>
      </x:c>
      <x:c r="K96" t="n">
        <x:f>G96</x:f>
        <x:v>100.53096491487338</x:v>
      </x:c>
    </x:row>
    <x:row r="97">
      <x:c r="A97" t="n">
        <x:v>80</x:v>
      </x:c>
      <x:c r="B97" s="40" t="n">
        <x:v>1.135592836425654</x:v>
      </x:c>
      <x:c r="C97" s="40" t="n">
        <x:v>-2.8135823995809606</x:v>
      </x:c>
      <x:c r="D97" s="40" t="n">
        <x:v>-0.39445244906090693</x:v>
      </x:c>
      <x:c r="E97" t="n">
        <x:f>--((B97^2/$B$4^2+C97^2/$B$5^2+D97^2/$B$6^2)&lt;=1)</x:f>
        <x:v>0</x:v>
      </x:c>
      <x:c r="F97" s="42" t="n">
        <x:f>$B$8*SUM($E$18:E97)/A97</x:f>
        <x:v>105.6</x:v>
      </x:c>
      <x:c r="G97" s="42" t="n">
        <x:f>$B$11</x:f>
        <x:v>100.53096491487338</x:v>
      </x:c>
      <x:c r="I97" t="n">
        <x:f>A97</x:f>
        <x:v>80</x:v>
      </x:c>
      <x:c r="J97" t="n">
        <x:f>F97</x:f>
        <x:v>105.6</x:v>
      </x:c>
      <x:c r="K97" t="n">
        <x:f>G97</x:f>
        <x:v>100.53096491487338</x:v>
      </x:c>
    </x:row>
    <x:row r="98">
      <x:c r="A98" t="n">
        <x:v>81</x:v>
      </x:c>
      <x:c r="B98" s="40" t="n">
        <x:v>0.6572541613095502</x:v>
      </x:c>
      <x:c r="C98" s="40" t="n">
        <x:v>-0.6489737405396836</x:v>
      </x:c>
      <x:c r="D98" s="40" t="n">
        <x:v>-1.0442316305499775</x:v>
      </x:c>
      <x:c r="E98" t="n">
        <x:f>--((B98^2/$B$4^2+C98^2/$B$5^2+D98^2/$B$6^2)&lt;=1)</x:f>
        <x:v>1</x:v>
      </x:c>
      <x:c r="F98" s="42" t="n">
        <x:f>$B$8*SUM($E$18:E98)/A98</x:f>
        <x:v>106.66666666666667</x:v>
      </x:c>
      <x:c r="G98" s="42" t="n">
        <x:f>$B$11</x:f>
        <x:v>100.53096491487338</x:v>
      </x:c>
      <x:c r="I98" t="n">
        <x:f>A98</x:f>
        <x:v>81</x:v>
      </x:c>
      <x:c r="J98" t="n">
        <x:f>F98</x:f>
        <x:v>106.66666666666667</x:v>
      </x:c>
      <x:c r="K98" t="n">
        <x:f>G98</x:f>
        <x:v>100.53096491487338</x:v>
      </x:c>
    </x:row>
    <x:row r="99">
      <x:c r="A99" t="n">
        <x:v>82</x:v>
      </x:c>
      <x:c r="B99" s="40" t="n">
        <x:v>-0.3744525542397179</x:v>
      </x:c>
      <x:c r="C99" s="40" t="n">
        <x:v>-1.7988994164908427</x:v>
      </x:c>
      <x:c r="D99" s="40" t="n">
        <x:v>-1.806380781652801</x:v>
      </x:c>
      <x:c r="E99" t="n">
        <x:f>--((B99^2/$B$4^2+C99^2/$B$5^2+D99^2/$B$6^2)&lt;=1)</x:f>
        <x:v>1</x:v>
      </x:c>
      <x:c r="F99" s="42" t="n">
        <x:f>$B$8*SUM($E$18:E99)/A99</x:f>
        <x:v>107.70731707317073</x:v>
      </x:c>
      <x:c r="G99" s="42" t="n">
        <x:f>$B$11</x:f>
        <x:v>100.53096491487338</x:v>
      </x:c>
      <x:c r="I99" t="n">
        <x:f>A99</x:f>
        <x:v>82</x:v>
      </x:c>
      <x:c r="J99" t="n">
        <x:f>F99</x:f>
        <x:v>107.70731707317073</x:v>
      </x:c>
      <x:c r="K99" t="n">
        <x:f>G99</x:f>
        <x:v>100.53096491487338</x:v>
      </x:c>
    </x:row>
    <x:row r="100">
      <x:c r="A100" t="n">
        <x:v>83</x:v>
      </x:c>
      <x:c r="B100" s="40" t="n">
        <x:v>1.2560815386641386</x:v>
      </x:c>
      <x:c r="C100" s="40" t="n">
        <x:v>1.080209612447348</x:v>
      </x:c>
      <x:c r="D100" s="40" t="n">
        <x:v>1.8341699508831137</x:v>
      </x:c>
      <x:c r="E100" t="n">
        <x:f>--((B100^2/$B$4^2+C100^2/$B$5^2+D100^2/$B$6^2)&lt;=1)</x:f>
        <x:v>1</x:v>
      </x:c>
      <x:c r="F100" s="42" t="n">
        <x:f>$B$8*SUM($E$18:E100)/A100</x:f>
        <x:v>108.72289156626506</x:v>
      </x:c>
      <x:c r="G100" s="42" t="n">
        <x:f>$B$11</x:f>
        <x:v>100.53096491487338</x:v>
      </x:c>
      <x:c r="I100" t="n">
        <x:f>A100</x:f>
        <x:v>83</x:v>
      </x:c>
      <x:c r="J100" t="n">
        <x:f>F100</x:f>
        <x:v>108.72289156626506</x:v>
      </x:c>
      <x:c r="K100" t="n">
        <x:f>G100</x:f>
        <x:v>100.53096491487338</x:v>
      </x:c>
    </x:row>
    <x:row r="101">
      <x:c r="A101" t="n">
        <x:v>84</x:v>
      </x:c>
      <x:c r="B101" s="40" t="n">
        <x:v>-1.3321083203691844</x:v>
      </x:c>
      <x:c r="C101" s="40" t="n">
        <x:v>-1.9120712474048858</x:v>
      </x:c>
      <x:c r="D101" s="40" t="n">
        <x:v>-1.5227837597825253</x:v>
      </x:c>
      <x:c r="E101" t="n">
        <x:f>--((B101^2/$B$4^2+C101^2/$B$5^2+D101^2/$B$6^2)&lt;=1)</x:f>
        <x:v>1</x:v>
      </x:c>
      <x:c r="F101" s="42" t="n">
        <x:f>$B$8*SUM($E$18:E101)/A101</x:f>
        <x:v>109.71428571428571</x:v>
      </x:c>
      <x:c r="G101" s="42" t="n">
        <x:f>$B$11</x:f>
        <x:v>100.53096491487338</x:v>
      </x:c>
      <x:c r="I101" t="n">
        <x:f>A101</x:f>
        <x:v>84</x:v>
      </x:c>
      <x:c r="J101" t="n">
        <x:f>F101</x:f>
        <x:v>109.71428571428571</x:v>
      </x:c>
      <x:c r="K101" t="n">
        <x:f>G101</x:f>
        <x:v>100.53096491487338</x:v>
      </x:c>
    </x:row>
    <x:row r="102">
      <x:c r="A102" t="n">
        <x:v>85</x:v>
      </x:c>
      <x:c r="B102" s="40" t="n">
        <x:v>-1.909151707464558</x:v>
      </x:c>
      <x:c r="C102" s="40" t="n">
        <x:v>1.048876514435218</x:v>
      </x:c>
      <x:c r="D102" s="40" t="n">
        <x:v>0.32113561866423357</x:v>
      </x:c>
      <x:c r="E102" t="n">
        <x:f>--((B102^2/$B$4^2+C102^2/$B$5^2+D102^2/$B$6^2)&lt;=1)</x:f>
        <x:v>0</x:v>
      </x:c>
      <x:c r="F102" s="42" t="n">
        <x:f>$B$8*SUM($E$18:E102)/A102</x:f>
        <x:v>108.4235294117647</x:v>
      </x:c>
      <x:c r="G102" s="42" t="n">
        <x:f>$B$11</x:f>
        <x:v>100.53096491487338</x:v>
      </x:c>
      <x:c r="I102" t="n">
        <x:f>A102</x:f>
        <x:v>85</x:v>
      </x:c>
      <x:c r="J102" t="n">
        <x:f>F102</x:f>
        <x:v>108.4235294117647</x:v>
      </x:c>
      <x:c r="K102" t="n">
        <x:f>G102</x:f>
        <x:v>100.53096491487338</x:v>
      </x:c>
    </x:row>
    <x:row r="103">
      <x:c r="A103" t="n">
        <x:v>86</x:v>
      </x:c>
      <x:c r="B103" s="40" t="n">
        <x:v>-1.639808556897433</x:v>
      </x:c>
      <x:c r="C103" s="40" t="n">
        <x:v>-1.419147430864094</x:v>
      </x:c>
      <x:c r="D103" s="40" t="n">
        <x:v>3.3857882821569323</x:v>
      </x:c>
      <x:c r="E103" t="n">
        <x:f>--((B103^2/$B$4^2+C103^2/$B$5^2+D103^2/$B$6^2)&lt;=1)</x:f>
        <x:v>0</x:v>
      </x:c>
      <x:c r="F103" s="42" t="n">
        <x:f>$B$8*SUM($E$18:E103)/A103</x:f>
        <x:v>107.16279069767442</x:v>
      </x:c>
      <x:c r="G103" s="42" t="n">
        <x:f>$B$11</x:f>
        <x:v>100.53096491487338</x:v>
      </x:c>
      <x:c r="I103" t="n">
        <x:f>A103</x:f>
        <x:v>86</x:v>
      </x:c>
      <x:c r="J103" t="n">
        <x:f>F103</x:f>
        <x:v>107.16279069767442</x:v>
      </x:c>
      <x:c r="K103" t="n">
        <x:f>G103</x:f>
        <x:v>100.53096491487338</x:v>
      </x:c>
    </x:row>
    <x:row r="104">
      <x:c r="A104" t="n">
        <x:v>87</x:v>
      </x:c>
      <x:c r="B104" s="40" t="n">
        <x:v>0.8894374023858012</x:v>
      </x:c>
      <x:c r="C104" s="40" t="n">
        <x:v>-0.8686929952728013</x:v>
      </x:c>
      <x:c r="D104" s="40" t="n">
        <x:v>0.31420785802865936</x:v>
      </x:c>
      <x:c r="E104" t="n">
        <x:f>--((B104^2/$B$4^2+C104^2/$B$5^2+D104^2/$B$6^2)&lt;=1)</x:f>
        <x:v>1</x:v>
      </x:c>
      <x:c r="F104" s="42" t="n">
        <x:f>$B$8*SUM($E$18:E104)/A104</x:f>
        <x:v>108.13793103448276</x:v>
      </x:c>
      <x:c r="G104" s="42" t="n">
        <x:f>$B$11</x:f>
        <x:v>100.53096491487338</x:v>
      </x:c>
      <x:c r="I104" t="n">
        <x:f>A104</x:f>
        <x:v>87</x:v>
      </x:c>
      <x:c r="J104" t="n">
        <x:f>F104</x:f>
        <x:v>108.13793103448276</x:v>
      </x:c>
      <x:c r="K104" t="n">
        <x:f>G104</x:f>
        <x:v>100.53096491487338</x:v>
      </x:c>
    </x:row>
    <x:row r="105">
      <x:c r="A105" t="n">
        <x:v>88</x:v>
      </x:c>
      <x:c r="B105" s="40" t="n">
        <x:v>-0.15249107899445047</x:v>
      </x:c>
      <x:c r="C105" s="40" t="n">
        <x:v>-0.9068360877216151</x:v>
      </x:c>
      <x:c r="D105" s="40" t="n">
        <x:v>0.9361832812844861</x:v>
      </x:c>
      <x:c r="E105" t="n">
        <x:f>--((B105^2/$B$4^2+C105^2/$B$5^2+D105^2/$B$6^2)&lt;=1)</x:f>
        <x:v>1</x:v>
      </x:c>
      <x:c r="F105" s="42" t="n">
        <x:f>$B$8*SUM($E$18:E105)/A105</x:f>
        <x:v>109.0909090909091</x:v>
      </x:c>
      <x:c r="G105" s="42" t="n">
        <x:f>$B$11</x:f>
        <x:v>100.53096491487338</x:v>
      </x:c>
      <x:c r="I105" t="n">
        <x:f>A105</x:f>
        <x:v>88</x:v>
      </x:c>
      <x:c r="J105" t="n">
        <x:f>F105</x:f>
        <x:v>109.0909090909091</x:v>
      </x:c>
      <x:c r="K105" t="n">
        <x:f>G105</x:f>
        <x:v>100.53096491487338</x:v>
      </x:c>
    </x:row>
    <x:row r="106">
      <x:c r="A106" t="n">
        <x:v>89</x:v>
      </x:c>
      <x:c r="B106" s="40" t="n">
        <x:v>-1.3549128838655928</x:v>
      </x:c>
      <x:c r="C106" s="40" t="n">
        <x:v>1.3005105009816562</x:v>
      </x:c>
      <x:c r="D106" s="40" t="n">
        <x:v>-3.414032110659589</x:v>
      </x:c>
      <x:c r="E106" t="n">
        <x:f>--((B106^2/$B$4^2+C106^2/$B$5^2+D106^2/$B$6^2)&lt;=1)</x:f>
        <x:v>0</x:v>
      </x:c>
      <x:c r="F106" s="42" t="n">
        <x:f>$B$8*SUM($E$18:E106)/A106</x:f>
        <x:v>107.86516853932584</x:v>
      </x:c>
      <x:c r="G106" s="42" t="n">
        <x:f>$B$11</x:f>
        <x:v>100.53096491487338</x:v>
      </x:c>
      <x:c r="I106" t="n">
        <x:f>A106</x:f>
        <x:v>89</x:v>
      </x:c>
      <x:c r="J106" t="n">
        <x:f>F106</x:f>
        <x:v>107.86516853932584</x:v>
      </x:c>
      <x:c r="K106" t="n">
        <x:f>G106</x:f>
        <x:v>100.53096491487338</x:v>
      </x:c>
    </x:row>
    <x:row r="107">
      <x:c r="A107" t="n">
        <x:v>90</x:v>
      </x:c>
      <x:c r="B107" s="40" t="n">
        <x:v>0.004179100413454151</x:v>
      </x:c>
      <x:c r="C107" s="40" t="n">
        <x:v>-0.20094442116994138</x:v>
      </x:c>
      <x:c r="D107" s="40" t="n">
        <x:v>-2.5749268500661096</x:v>
      </x:c>
      <x:c r="E107" t="n">
        <x:f>--((B107^2/$B$4^2+C107^2/$B$5^2+D107^2/$B$6^2)&lt;=1)</x:f>
        <x:v>1</x:v>
      </x:c>
      <x:c r="F107" s="42" t="n">
        <x:f>$B$8*SUM($E$18:E107)/A107</x:f>
        <x:v>108.8</x:v>
      </x:c>
      <x:c r="G107" s="42" t="n">
        <x:f>$B$11</x:f>
        <x:v>100.53096491487338</x:v>
      </x:c>
      <x:c r="I107" t="n">
        <x:f>A107</x:f>
        <x:v>90</x:v>
      </x:c>
      <x:c r="J107" t="n">
        <x:f>F107</x:f>
        <x:v>108.8</x:v>
      </x:c>
      <x:c r="K107" t="n">
        <x:f>G107</x:f>
        <x:v>100.53096491487338</x:v>
      </x:c>
    </x:row>
    <x:row r="108">
      <x:c r="A108" t="n">
        <x:v>91</x:v>
      </x:c>
      <x:c r="B108" s="40" t="n">
        <x:v>-1.3907515891473263</x:v>
      </x:c>
      <x:c r="C108" s="40" t="n">
        <x:v>-0.8322066068839016</x:v>
      </x:c>
      <x:c r="D108" s="40" t="n">
        <x:v>-3.1923904056150922</x:v>
      </x:c>
      <x:c r="E108" t="n">
        <x:f>--((B108^2/$B$4^2+C108^2/$B$5^2+D108^2/$B$6^2)&lt;=1)</x:f>
        <x:v>0</x:v>
      </x:c>
      <x:c r="F108" s="42" t="n">
        <x:f>$B$8*SUM($E$18:E108)/A108</x:f>
        <x:v>107.6043956043956</x:v>
      </x:c>
      <x:c r="G108" s="42" t="n">
        <x:f>$B$11</x:f>
        <x:v>100.53096491487338</x:v>
      </x:c>
      <x:c r="I108" t="n">
        <x:f>A108</x:f>
        <x:v>91</x:v>
      </x:c>
      <x:c r="J108" t="n">
        <x:f>F108</x:f>
        <x:v>107.6043956043956</x:v>
      </x:c>
      <x:c r="K108" t="n">
        <x:f>G108</x:f>
        <x:v>100.53096491487338</x:v>
      </x:c>
    </x:row>
    <x:row r="109">
      <x:c r="A109" t="n">
        <x:v>92</x:v>
      </x:c>
      <x:c r="B109" s="40" t="n">
        <x:v>0.7852815003109441</x:v>
      </x:c>
      <x:c r="C109" s="40" t="n">
        <x:v>2.115736314236699</x:v>
      </x:c>
      <x:c r="D109" s="40" t="n">
        <x:v>2.118503586846721</x:v>
      </x:c>
      <x:c r="E109" t="n">
        <x:f>--((B109^2/$B$4^2+C109^2/$B$5^2+D109^2/$B$6^2)&lt;=1)</x:f>
        <x:v>1</x:v>
      </x:c>
      <x:c r="F109" s="42" t="n">
        <x:f>$B$8*SUM($E$18:E109)/A109</x:f>
        <x:v>108.52173913043478</x:v>
      </x:c>
      <x:c r="G109" s="42" t="n">
        <x:f>$B$11</x:f>
        <x:v>100.53096491487338</x:v>
      </x:c>
      <x:c r="I109" t="n">
        <x:f>A109</x:f>
        <x:v>92</x:v>
      </x:c>
      <x:c r="J109" t="n">
        <x:f>F109</x:f>
        <x:v>108.52173913043478</x:v>
      </x:c>
      <x:c r="K109" t="n">
        <x:f>G109</x:f>
        <x:v>100.53096491487338</x:v>
      </x:c>
    </x:row>
    <x:row r="110">
      <x:c r="A110" t="n">
        <x:v>93</x:v>
      </x:c>
      <x:c r="B110" s="40" t="n">
        <x:v>-0.2153748977038772</x:v>
      </x:c>
      <x:c r="C110" s="40" t="n">
        <x:v>0.4317037538472164</x:v>
      </x:c>
      <x:c r="D110" s="40" t="n">
        <x:v>2.687368647334739</x:v>
      </x:c>
      <x:c r="E110" t="n">
        <x:f>--((B110^2/$B$4^2+C110^2/$B$5^2+D110^2/$B$6^2)&lt;=1)</x:f>
        <x:v>1</x:v>
      </x:c>
      <x:c r="F110" s="42" t="n">
        <x:f>$B$8*SUM($E$18:E110)/A110</x:f>
        <x:v>109.41935483870968</x:v>
      </x:c>
      <x:c r="G110" s="42" t="n">
        <x:f>$B$11</x:f>
        <x:v>100.53096491487338</x:v>
      </x:c>
      <x:c r="I110" t="n">
        <x:f>A110</x:f>
        <x:v>93</x:v>
      </x:c>
      <x:c r="J110" t="n">
        <x:f>F110</x:f>
        <x:v>109.41935483870968</x:v>
      </x:c>
      <x:c r="K110" t="n">
        <x:f>G110</x:f>
        <x:v>100.53096491487338</x:v>
      </x:c>
    </x:row>
    <x:row r="111">
      <x:c r="A111" t="n">
        <x:v>94</x:v>
      </x:c>
      <x:c r="B111" s="40" t="n">
        <x:v>-0.4759150956140701</x:v>
      </x:c>
      <x:c r="C111" s="40" t="n">
        <x:v>-1.7170150723320132</x:v>
      </x:c>
      <x:c r="D111" s="40" t="n">
        <x:v>-2.5083576544433788</x:v>
      </x:c>
      <x:c r="E111" t="n">
        <x:f>--((B111^2/$B$4^2+C111^2/$B$5^2+D111^2/$B$6^2)&lt;=1)</x:f>
        <x:v>1</x:v>
      </x:c>
      <x:c r="F111" s="42" t="n">
        <x:f>$B$8*SUM($E$18:E111)/A111</x:f>
        <x:v>110.29787234042553</x:v>
      </x:c>
      <x:c r="G111" s="42" t="n">
        <x:f>$B$11</x:f>
        <x:v>100.53096491487338</x:v>
      </x:c>
      <x:c r="I111" t="n">
        <x:f>A111</x:f>
        <x:v>94</x:v>
      </x:c>
      <x:c r="J111" t="n">
        <x:f>F111</x:f>
        <x:v>110.29787234042553</x:v>
      </x:c>
      <x:c r="K111" t="n">
        <x:f>G111</x:f>
        <x:v>100.53096491487338</x:v>
      </x:c>
    </x:row>
    <x:row r="112">
      <x:c r="A112" t="n">
        <x:v>95</x:v>
      </x:c>
      <x:c r="B112" s="40" t="n">
        <x:v>-0.7939516434084939</x:v>
      </x:c>
      <x:c r="C112" s="40" t="n">
        <x:v>2.400547668862096</x:v>
      </x:c>
      <x:c r="D112" s="40" t="n">
        <x:v>-2.2458259926152717</x:v>
      </x:c>
      <x:c r="E112" t="n">
        <x:f>--((B112^2/$B$4^2+C112^2/$B$5^2+D112^2/$B$6^2)&lt;=1)</x:f>
        <x:v>0</x:v>
      </x:c>
      <x:c r="F112" s="42" t="n">
        <x:f>$B$8*SUM($E$18:E112)/A112</x:f>
        <x:v>109.13684210526316</x:v>
      </x:c>
      <x:c r="G112" s="42" t="n">
        <x:f>$B$11</x:f>
        <x:v>100.53096491487338</x:v>
      </x:c>
      <x:c r="I112" t="n">
        <x:f>A112</x:f>
        <x:v>95</x:v>
      </x:c>
      <x:c r="J112" t="n">
        <x:f>F112</x:f>
        <x:v>109.13684210526316</x:v>
      </x:c>
      <x:c r="K112" t="n">
        <x:f>G112</x:f>
        <x:v>100.53096491487338</x:v>
      </x:c>
    </x:row>
    <x:row r="113">
      <x:c r="A113" t="n">
        <x:v>96</x:v>
      </x:c>
      <x:c r="B113" s="40" t="n">
        <x:v>0.5211303724755538</x:v>
      </x:c>
      <x:c r="C113" s="40" t="n">
        <x:v>-0.9440982237981563</x:v>
      </x:c>
      <x:c r="D113" s="40" t="n">
        <x:v>-1.414341684057737</x:v>
      </x:c>
      <x:c r="E113" t="n">
        <x:f>--((B113^2/$B$4^2+C113^2/$B$5^2+D113^2/$B$6^2)&lt;=1)</x:f>
        <x:v>1</x:v>
      </x:c>
      <x:c r="F113" s="42" t="n">
        <x:f>$B$8*SUM($E$18:E113)/A113</x:f>
        <x:v>110</x:v>
      </x:c>
      <x:c r="G113" s="42" t="n">
        <x:f>$B$11</x:f>
        <x:v>100.53096491487338</x:v>
      </x:c>
      <x:c r="I113" t="n">
        <x:f>A113</x:f>
        <x:v>96</x:v>
      </x:c>
      <x:c r="J113" t="n">
        <x:f>F113</x:f>
        <x:v>110</x:v>
      </x:c>
      <x:c r="K113" t="n">
        <x:f>G113</x:f>
        <x:v>100.53096491487338</x:v>
      </x:c>
    </x:row>
    <x:row r="114">
      <x:c r="A114" t="n">
        <x:v>97</x:v>
      </x:c>
      <x:c r="B114" s="40" t="n">
        <x:v>-0.5527495577864383</x:v>
      </x:c>
      <x:c r="C114" s="40" t="n">
        <x:v>-2.7661237347760776</x:v>
      </x:c>
      <x:c r="D114" s="40" t="n">
        <x:v>0.7286209356306834</x:v>
      </x:c>
      <x:c r="E114" t="n">
        <x:f>--((B114^2/$B$4^2+C114^2/$B$5^2+D114^2/$B$6^2)&lt;=1)</x:f>
        <x:v>1</x:v>
      </x:c>
      <x:c r="F114" s="42" t="n">
        <x:f>$B$8*SUM($E$18:E114)/A114</x:f>
        <x:v>110.84536082474227</x:v>
      </x:c>
      <x:c r="G114" s="42" t="n">
        <x:f>$B$11</x:f>
        <x:v>100.53096491487338</x:v>
      </x:c>
      <x:c r="I114" t="n">
        <x:f>A114</x:f>
        <x:v>97</x:v>
      </x:c>
      <x:c r="J114" t="n">
        <x:f>F114</x:f>
        <x:v>110.84536082474227</x:v>
      </x:c>
      <x:c r="K114" t="n">
        <x:f>G114</x:f>
        <x:v>100.53096491487338</x:v>
      </x:c>
    </x:row>
    <x:row r="115">
      <x:c r="A115" t="n">
        <x:v>98</x:v>
      </x:c>
      <x:c r="B115" s="40" t="n">
        <x:v>-1.649400322735596</x:v>
      </x:c>
      <x:c r="C115" s="40" t="n">
        <x:v>-0.03239865615328252</x:v>
      </x:c>
      <x:c r="D115" s="40" t="n">
        <x:v>0.9743695504001559</x:v>
      </x:c>
      <x:c r="E115" t="n">
        <x:f>--((B115^2/$B$4^2+C115^2/$B$5^2+D115^2/$B$6^2)&lt;=1)</x:f>
        <x:v>1</x:v>
      </x:c>
      <x:c r="F115" s="42" t="n">
        <x:f>$B$8*SUM($E$18:E115)/A115</x:f>
        <x:v>111.6734693877551</x:v>
      </x:c>
      <x:c r="G115" s="42" t="n">
        <x:f>$B$11</x:f>
        <x:v>100.53096491487338</x:v>
      </x:c>
      <x:c r="I115" t="n">
        <x:f>A115</x:f>
        <x:v>98</x:v>
      </x:c>
      <x:c r="J115" t="n">
        <x:f>F115</x:f>
        <x:v>111.6734693877551</x:v>
      </x:c>
      <x:c r="K115" t="n">
        <x:f>G115</x:f>
        <x:v>100.53096491487338</x:v>
      </x:c>
    </x:row>
    <x:row r="116">
      <x:c r="A116" t="n">
        <x:v>99</x:v>
      </x:c>
      <x:c r="B116" s="40" t="n">
        <x:v>-1.5279763915179387</x:v>
      </x:c>
      <x:c r="C116" s="40" t="n">
        <x:v>-2.2563716733547334</x:v>
      </x:c>
      <x:c r="D116" s="40" t="n">
        <x:v>1.4940316683316608</x:v>
      </x:c>
      <x:c r="E116" t="n">
        <x:f>--((B116^2/$B$4^2+C116^2/$B$5^2+D116^2/$B$6^2)&lt;=1)</x:f>
        <x:v>0</x:v>
      </x:c>
      <x:c r="F116" s="42" t="n">
        <x:f>$B$8*SUM($E$18:E116)/A116</x:f>
        <x:v>110.54545454545455</x:v>
      </x:c>
      <x:c r="G116" s="42" t="n">
        <x:f>$B$11</x:f>
        <x:v>100.53096491487338</x:v>
      </x:c>
      <x:c r="I116" t="n">
        <x:f>A116</x:f>
        <x:v>99</x:v>
      </x:c>
      <x:c r="J116" t="n">
        <x:f>F116</x:f>
        <x:v>110.54545454545455</x:v>
      </x:c>
      <x:c r="K116" t="n">
        <x:f>G116</x:f>
        <x:v>100.53096491487338</x:v>
      </x:c>
    </x:row>
    <x:row r="117">
      <x:c r="A117" t="n">
        <x:v>100</x:v>
      </x:c>
      <x:c r="B117" s="40" t="n">
        <x:v>1.8475906581980581</x:v>
      </x:c>
      <x:c r="C117" s="40" t="n">
        <x:v>-1.5692013377055447</x:v>
      </x:c>
      <x:c r="D117" s="40" t="n">
        <x:v>3.241542049707701</x:v>
      </x:c>
      <x:c r="E117" t="n">
        <x:f>--((B117^2/$B$4^2+C117^2/$B$5^2+D117^2/$B$6^2)&lt;=1)</x:f>
        <x:v>0</x:v>
      </x:c>
      <x:c r="F117" s="42" t="n">
        <x:f>$B$8*SUM($E$18:E117)/A117</x:f>
        <x:v>109.44</x:v>
      </x:c>
      <x:c r="G117" s="42" t="n">
        <x:f>$B$11</x:f>
        <x:v>100.53096491487338</x:v>
      </x:c>
      <x:c r="I117" t="n">
        <x:f>A117</x:f>
        <x:v>100</x:v>
      </x:c>
      <x:c r="J117" t="n">
        <x:f>F117</x:f>
        <x:v>109.44</x:v>
      </x:c>
      <x:c r="K117" t="n">
        <x:f>G117</x:f>
        <x:v>100.53096491487338</x:v>
      </x:c>
    </x:row>
    <x:row r="118">
      <x:c r="A118" t="n">
        <x:v>101</x:v>
      </x:c>
      <x:c r="B118" s="40" t="n">
        <x:v>1.6343227628304282</x:v>
      </x:c>
      <x:c r="C118" s="40" t="n">
        <x:v>1.4826652361244665</x:v>
      </x:c>
      <x:c r="D118" s="40" t="n">
        <x:v>-1.6396788760276948</x:v>
      </x:c>
      <x:c r="E118" t="n">
        <x:f>--((B118^2/$B$4^2+C118^2/$B$5^2+D118^2/$B$6^2)&lt;=1)</x:f>
        <x:v>0</x:v>
      </x:c>
      <x:c r="F118" s="42" t="n">
        <x:f>$B$8*SUM($E$18:E118)/A118</x:f>
        <x:v>108.35643564356435</x:v>
      </x:c>
      <x:c r="G118" s="42" t="n">
        <x:f>$B$11</x:f>
        <x:v>100.53096491487338</x:v>
      </x:c>
      <x:c r="I118" t="n">
        <x:f>A118</x:f>
        <x:v>101</x:v>
      </x:c>
      <x:c r="J118" t="n">
        <x:f>F118</x:f>
        <x:v>108.35643564356435</x:v>
      </x:c>
      <x:c r="K118" t="n">
        <x:f>G118</x:f>
        <x:v>100.53096491487338</x:v>
      </x:c>
    </x:row>
    <x:row r="119">
      <x:c r="A119" t="n">
        <x:v>102</x:v>
      </x:c>
      <x:c r="B119" s="40" t="n">
        <x:v>0.7988285352429982</x:v>
      </x:c>
      <x:c r="C119" s="40" t="n">
        <x:v>-2.2154891197420885</x:v>
      </x:c>
      <x:c r="D119" s="40" t="n">
        <x:v>1.2700719136542054</x:v>
      </x:c>
      <x:c r="E119" t="n">
        <x:f>--((B119^2/$B$4^2+C119^2/$B$5^2+D119^2/$B$6^2)&lt;=1)</x:f>
        <x:v>1</x:v>
      </x:c>
      <x:c r="F119" s="42" t="n">
        <x:f>$B$8*SUM($E$18:E119)/A119</x:f>
        <x:v>109.17647058823529</x:v>
      </x:c>
      <x:c r="G119" s="42" t="n">
        <x:f>$B$11</x:f>
        <x:v>100.53096491487338</x:v>
      </x:c>
      <x:c r="I119" t="n">
        <x:f>A119</x:f>
        <x:v>102</x:v>
      </x:c>
      <x:c r="J119" t="n">
        <x:f>F119</x:f>
        <x:v>109.17647058823529</x:v>
      </x:c>
      <x:c r="K119" t="n">
        <x:f>G119</x:f>
        <x:v>100.53096491487338</x:v>
      </x:c>
    </x:row>
    <x:row r="120">
      <x:c r="A120" t="n">
        <x:v>103</x:v>
      </x:c>
      <x:c r="B120" s="40" t="n">
        <x:v>-0.9365201541619217</x:v>
      </x:c>
      <x:c r="C120" s="40" t="n">
        <x:v>1.8416653461242145</x:v>
      </x:c>
      <x:c r="D120" s="40" t="n">
        <x:v>0.47778276622153726</x:v>
      </x:c>
      <x:c r="E120" t="n">
        <x:f>--((B120^2/$B$4^2+C120^2/$B$5^2+D120^2/$B$6^2)&lt;=1)</x:f>
        <x:v>1</x:v>
      </x:c>
      <x:c r="F120" s="42" t="n">
        <x:f>$B$8*SUM($E$18:E120)/A120</x:f>
        <x:v>109.98058252427184</x:v>
      </x:c>
      <x:c r="G120" s="42" t="n">
        <x:f>$B$11</x:f>
        <x:v>100.53096491487338</x:v>
      </x:c>
      <x:c r="I120" t="n">
        <x:f>A120</x:f>
        <x:v>103</x:v>
      </x:c>
      <x:c r="J120" t="n">
        <x:f>F120</x:f>
        <x:v>109.98058252427184</x:v>
      </x:c>
      <x:c r="K120" t="n">
        <x:f>G120</x:f>
        <x:v>100.53096491487338</x:v>
      </x:c>
    </x:row>
    <x:row r="121">
      <x:c r="A121" t="n">
        <x:v>104</x:v>
      </x:c>
      <x:c r="B121" s="40" t="n">
        <x:v>1.8767055093908955</x:v>
      </x:c>
      <x:c r="C121" s="40" t="n">
        <x:v>2.6214437287857226</x:v>
      </x:c>
      <x:c r="D121" s="40" t="n">
        <x:v>-1.5533020766994632</x:v>
      </x:c>
      <x:c r="E121" t="n">
        <x:f>--((B121^2/$B$4^2+C121^2/$B$5^2+D121^2/$B$6^2)&lt;=1)</x:f>
        <x:v>0</x:v>
      </x:c>
      <x:c r="F121" s="42" t="n">
        <x:f>$B$8*SUM($E$18:E121)/A121</x:f>
        <x:v>108.92307692307692</x:v>
      </x:c>
      <x:c r="G121" s="42" t="n">
        <x:f>$B$11</x:f>
        <x:v>100.53096491487338</x:v>
      </x:c>
      <x:c r="I121" t="n">
        <x:f>A121</x:f>
        <x:v>104</x:v>
      </x:c>
      <x:c r="J121" t="n">
        <x:f>F121</x:f>
        <x:v>108.92307692307692</x:v>
      </x:c>
      <x:c r="K121" t="n">
        <x:f>G121</x:f>
        <x:v>100.53096491487338</x:v>
      </x:c>
    </x:row>
    <x:row r="122">
      <x:c r="A122" t="n">
        <x:v>105</x:v>
      </x:c>
      <x:c r="B122" s="40" t="n">
        <x:v>1.1150036158631784</x:v>
      </x:c>
      <x:c r="C122" s="40" t="n">
        <x:v>0.6391926024476682</x:v>
      </x:c>
      <x:c r="D122" s="40" t="n">
        <x:v>3.259321492749387</x:v>
      </x:c>
      <x:c r="E122" t="n">
        <x:f>--((B122^2/$B$4^2+C122^2/$B$5^2+D122^2/$B$6^2)&lt;=1)</x:f>
        <x:v>0</x:v>
      </x:c>
      <x:c r="F122" s="42" t="n">
        <x:f>$B$8*SUM($E$18:E122)/A122</x:f>
        <x:v>107.88571428571429</x:v>
      </x:c>
      <x:c r="G122" s="42" t="n">
        <x:f>$B$11</x:f>
        <x:v>100.53096491487338</x:v>
      </x:c>
      <x:c r="I122" t="n">
        <x:f>A122</x:f>
        <x:v>105</x:v>
      </x:c>
      <x:c r="J122" t="n">
        <x:f>F122</x:f>
        <x:v>107.88571428571429</x:v>
      </x:c>
      <x:c r="K122" t="n">
        <x:f>G122</x:f>
        <x:v>100.53096491487338</x:v>
      </x:c>
    </x:row>
    <x:row r="123">
      <x:c r="A123" t="n">
        <x:v>106</x:v>
      </x:c>
      <x:c r="B123" s="40" t="n">
        <x:v>0.8675607566359824</x:v>
      </x:c>
      <x:c r="C123" s="40" t="n">
        <x:v>1.2621551521369758</x:v>
      </x:c>
      <x:c r="D123" s="40" t="n">
        <x:v>-3.23613270432626</x:v>
      </x:c>
      <x:c r="E123" t="n">
        <x:f>--((B123^2/$B$4^2+C123^2/$B$5^2+D123^2/$B$6^2)&lt;=1)</x:f>
        <x:v>0</x:v>
      </x:c>
      <x:c r="F123" s="42" t="n">
        <x:f>$B$8*SUM($E$18:E123)/A123</x:f>
        <x:v>106.86792452830188</x:v>
      </x:c>
      <x:c r="G123" s="42" t="n">
        <x:f>$B$11</x:f>
        <x:v>100.53096491487338</x:v>
      </x:c>
      <x:c r="I123" t="n">
        <x:f>A123</x:f>
        <x:v>106</x:v>
      </x:c>
      <x:c r="J123" t="n">
        <x:f>F123</x:f>
        <x:v>106.86792452830188</x:v>
      </x:c>
      <x:c r="K123" t="n">
        <x:f>G123</x:f>
        <x:v>100.53096491487338</x:v>
      </x:c>
    </x:row>
    <x:row r="124">
      <x:c r="A124" t="n">
        <x:v>107</x:v>
      </x:c>
      <x:c r="B124" s="40" t="n">
        <x:v>-0.20255399142484531</x:v>
      </x:c>
      <x:c r="C124" s="40" t="n">
        <x:v>1.2815196594445046</x:v>
      </x:c>
      <x:c r="D124" s="40" t="n">
        <x:v>1.6960082146564117</x:v>
      </x:c>
      <x:c r="E124" t="n">
        <x:f>--((B124^2/$B$4^2+C124^2/$B$5^2+D124^2/$B$6^2)&lt;=1)</x:f>
        <x:v>1</x:v>
      </x:c>
      <x:c r="F124" s="42" t="n">
        <x:f>$B$8*SUM($E$18:E124)/A124</x:f>
        <x:v>107.66355140186916</x:v>
      </x:c>
      <x:c r="G124" s="42" t="n">
        <x:f>$B$11</x:f>
        <x:v>100.53096491487338</x:v>
      </x:c>
      <x:c r="I124" t="n">
        <x:f>A124</x:f>
        <x:v>107</x:v>
      </x:c>
      <x:c r="J124" t="n">
        <x:f>F124</x:f>
        <x:v>107.66355140186916</x:v>
      </x:c>
      <x:c r="K124" t="n">
        <x:f>G124</x:f>
        <x:v>100.53096491487338</x:v>
      </x:c>
    </x:row>
    <x:row r="125">
      <x:c r="A125" t="n">
        <x:v>108</x:v>
      </x:c>
      <x:c r="B125" s="40" t="n">
        <x:v>-0.9110337526193639</x:v>
      </x:c>
      <x:c r="C125" s="40" t="n">
        <x:v>2.956847743622669</x:v>
      </x:c>
      <x:c r="D125" s="40" t="n">
        <x:v>1.8229897041808156</x:v>
      </x:c>
      <x:c r="E125" t="n">
        <x:f>--((B125^2/$B$4^2+C125^2/$B$5^2+D125^2/$B$6^2)&lt;=1)</x:f>
        <x:v>0</x:v>
      </x:c>
      <x:c r="F125" s="42" t="n">
        <x:f>$B$8*SUM($E$18:E125)/A125</x:f>
        <x:v>106.66666666666667</x:v>
      </x:c>
      <x:c r="G125" s="42" t="n">
        <x:f>$B$11</x:f>
        <x:v>100.53096491487338</x:v>
      </x:c>
      <x:c r="I125" t="n">
        <x:f>A125</x:f>
        <x:v>108</x:v>
      </x:c>
      <x:c r="J125" t="n">
        <x:f>F125</x:f>
        <x:v>106.66666666666667</x:v>
      </x:c>
      <x:c r="K125" t="n">
        <x:f>G125</x:f>
        <x:v>100.53096491487338</x:v>
      </x:c>
    </x:row>
    <x:row r="126">
      <x:c r="A126" t="n">
        <x:v>109</x:v>
      </x:c>
      <x:c r="B126" s="40" t="n">
        <x:v>-1.6144361513860028</x:v>
      </x:c>
      <x:c r="C126" s="40" t="n">
        <x:v>-0.950770426790263</x:v>
      </x:c>
      <x:c r="D126" s="40" t="n">
        <x:v>3.3226122215196927</x:v>
      </x:c>
      <x:c r="E126" t="n">
        <x:f>--((B126^2/$B$4^2+C126^2/$B$5^2+D126^2/$B$6^2)&lt;=1)</x:f>
        <x:v>0</x:v>
      </x:c>
      <x:c r="F126" s="42" t="n">
        <x:f>$B$8*SUM($E$18:E126)/A126</x:f>
        <x:v>105.68807339449542</x:v>
      </x:c>
      <x:c r="G126" s="42" t="n">
        <x:f>$B$11</x:f>
        <x:v>100.53096491487338</x:v>
      </x:c>
      <x:c r="I126" t="n">
        <x:f>A126</x:f>
        <x:v>109</x:v>
      </x:c>
      <x:c r="J126" t="n">
        <x:f>F126</x:f>
        <x:v>105.68807339449542</x:v>
      </x:c>
      <x:c r="K126" t="n">
        <x:f>G126</x:f>
        <x:v>100.53096491487338</x:v>
      </x:c>
    </x:row>
    <x:row r="127">
      <x:c r="A127" t="n">
        <x:v>110</x:v>
      </x:c>
      <x:c r="B127" s="40" t="n">
        <x:v>1.6104095861753667</x:v>
      </x:c>
      <x:c r="C127" s="40" t="n">
        <x:v>-2.022860692543785</x:v>
      </x:c>
      <x:c r="D127" s="40" t="n">
        <x:v>0.14864473881082851</x:v>
      </x:c>
      <x:c r="E127" t="n">
        <x:f>--((B127^2/$B$4^2+C127^2/$B$5^2+D127^2/$B$6^2)&lt;=1)</x:f>
        <x:v>0</x:v>
      </x:c>
      <x:c r="F127" s="42" t="n">
        <x:f>$B$8*SUM($E$18:E127)/A127</x:f>
        <x:v>104.72727272727273</x:v>
      </x:c>
      <x:c r="G127" s="42" t="n">
        <x:f>$B$11</x:f>
        <x:v>100.53096491487338</x:v>
      </x:c>
      <x:c r="I127" t="n">
        <x:f>A127</x:f>
        <x:v>110</x:v>
      </x:c>
      <x:c r="J127" t="n">
        <x:f>F127</x:f>
        <x:v>104.72727272727273</x:v>
      </x:c>
      <x:c r="K127" t="n">
        <x:f>G127</x:f>
        <x:v>100.53096491487338</x:v>
      </x:c>
    </x:row>
    <x:row r="128">
      <x:c r="A128" t="n">
        <x:v>111</x:v>
      </x:c>
      <x:c r="B128" s="40" t="n">
        <x:v>-0.17689484066555572</x:v>
      </x:c>
      <x:c r="C128" s="40" t="n">
        <x:v>0.11500340948592891</x:v>
      </x:c>
      <x:c r="D128" s="40" t="n">
        <x:v>-1.4270212942460327</x:v>
      </x:c>
      <x:c r="E128" t="n">
        <x:f>--((B128^2/$B$4^2+C128^2/$B$5^2+D128^2/$B$6^2)&lt;=1)</x:f>
        <x:v>1</x:v>
      </x:c>
      <x:c r="F128" s="42" t="n">
        <x:f>$B$8*SUM($E$18:E128)/A128</x:f>
        <x:v>105.51351351351352</x:v>
      </x:c>
      <x:c r="G128" s="42" t="n">
        <x:f>$B$11</x:f>
        <x:v>100.53096491487338</x:v>
      </x:c>
      <x:c r="I128" t="n">
        <x:f>A128</x:f>
        <x:v>111</x:v>
      </x:c>
      <x:c r="J128" t="n">
        <x:f>F128</x:f>
        <x:v>105.51351351351352</x:v>
      </x:c>
      <x:c r="K128" t="n">
        <x:f>G128</x:f>
        <x:v>100.53096491487338</x:v>
      </x:c>
    </x:row>
    <x:row r="129">
      <x:c r="A129" t="n">
        <x:v>112</x:v>
      </x:c>
      <x:c r="B129" s="40" t="n">
        <x:v>-1.1905465408190787</x:v>
      </x:c>
      <x:c r="C129" s="40" t="n">
        <x:v>0.19949885899024933</x:v>
      </x:c>
      <x:c r="D129" s="40" t="n">
        <x:v>2.621925358880164</x:v>
      </x:c>
      <x:c r="E129" t="n">
        <x:f>--((B129^2/$B$4^2+C129^2/$B$5^2+D129^2/$B$6^2)&lt;=1)</x:f>
        <x:v>1</x:v>
      </x:c>
      <x:c r="F129" s="42" t="n">
        <x:f>$B$8*SUM($E$18:E129)/A129</x:f>
        <x:v>106.28571428571429</x:v>
      </x:c>
      <x:c r="G129" s="42" t="n">
        <x:f>$B$11</x:f>
        <x:v>100.53096491487338</x:v>
      </x:c>
      <x:c r="I129" t="n">
        <x:f>A129</x:f>
        <x:v>112</x:v>
      </x:c>
      <x:c r="J129" t="n">
        <x:f>F129</x:f>
        <x:v>106.28571428571429</x:v>
      </x:c>
      <x:c r="K129" t="n">
        <x:f>G129</x:f>
        <x:v>100.53096491487338</x:v>
      </x:c>
    </x:row>
    <x:row r="130">
      <x:c r="A130" t="n">
        <x:v>113</x:v>
      </x:c>
      <x:c r="B130" s="40" t="n">
        <x:v>-0.77617350339739</x:v>
      </x:c>
      <x:c r="C130" s="40" t="n">
        <x:v>-1.9325250702231331</x:v>
      </x:c>
      <x:c r="D130" s="40" t="n">
        <x:v>2.166482254659141</x:v>
      </x:c>
      <x:c r="E130" t="n">
        <x:f>--((B130^2/$B$4^2+C130^2/$B$5^2+D130^2/$B$6^2)&lt;=1)</x:f>
        <x:v>1</x:v>
      </x:c>
      <x:c r="F130" s="42" t="n">
        <x:f>$B$8*SUM($E$18:E130)/A130</x:f>
        <x:v>107.04424778761062</x:v>
      </x:c>
      <x:c r="G130" s="42" t="n">
        <x:f>$B$11</x:f>
        <x:v>100.53096491487338</x:v>
      </x:c>
      <x:c r="I130" t="n">
        <x:f>A130</x:f>
        <x:v>113</x:v>
      </x:c>
      <x:c r="J130" t="n">
        <x:f>F130</x:f>
        <x:v>107.04424778761062</x:v>
      </x:c>
      <x:c r="K130" t="n">
        <x:f>G130</x:f>
        <x:v>100.53096491487338</x:v>
      </x:c>
    </x:row>
    <x:row r="131">
      <x:c r="A131" t="n">
        <x:v>114</x:v>
      </x:c>
      <x:c r="B131" s="40" t="n">
        <x:v>0.3168782757675839</x:v>
      </x:c>
      <x:c r="C131" s="40" t="n">
        <x:v>0.6786565139648371</x:v>
      </x:c>
      <x:c r="D131" s="40" t="n">
        <x:v>0.0025249153557629356</x:v>
      </x:c>
      <x:c r="E131" t="n">
        <x:f>--((B131^2/$B$4^2+C131^2/$B$5^2+D131^2/$B$6^2)&lt;=1)</x:f>
        <x:v>1</x:v>
      </x:c>
      <x:c r="F131" s="42" t="n">
        <x:f>$B$8*SUM($E$18:E131)/A131</x:f>
        <x:v>107.78947368421052</x:v>
      </x:c>
      <x:c r="G131" s="42" t="n">
        <x:f>$B$11</x:f>
        <x:v>100.53096491487338</x:v>
      </x:c>
      <x:c r="I131" t="n">
        <x:f>A131</x:f>
        <x:v>114</x:v>
      </x:c>
      <x:c r="J131" t="n">
        <x:f>F131</x:f>
        <x:v>107.78947368421052</x:v>
      </x:c>
      <x:c r="K131" t="n">
        <x:f>G131</x:f>
        <x:v>100.53096491487338</x:v>
      </x:c>
    </x:row>
    <x:row r="132">
      <x:c r="A132" t="n">
        <x:v>115</x:v>
      </x:c>
      <x:c r="B132" s="40" t="n">
        <x:v>-1.2929088682430732</x:v>
      </x:c>
      <x:c r="C132" s="40" t="n">
        <x:v>-2.915251599139056</x:v>
      </x:c>
      <x:c r="D132" s="40" t="n">
        <x:v>2.1428590050704885</x:v>
      </x:c>
      <x:c r="E132" t="n">
        <x:f>--((B132^2/$B$4^2+C132^2/$B$5^2+D132^2/$B$6^2)&lt;=1)</x:f>
        <x:v>0</x:v>
      </x:c>
      <x:c r="F132" s="42" t="n">
        <x:f>$B$8*SUM($E$18:E132)/A132</x:f>
        <x:v>106.85217391304347</x:v>
      </x:c>
      <x:c r="G132" s="42" t="n">
        <x:f>$B$11</x:f>
        <x:v>100.53096491487338</x:v>
      </x:c>
      <x:c r="I132" t="n">
        <x:f>A132</x:f>
        <x:v>115</x:v>
      </x:c>
      <x:c r="J132" t="n">
        <x:f>F132</x:f>
        <x:v>106.85217391304347</x:v>
      </x:c>
      <x:c r="K132" t="n">
        <x:f>G132</x:f>
        <x:v>100.53096491487338</x:v>
      </x:c>
    </x:row>
    <x:row r="133">
      <x:c r="A133" t="n">
        <x:v>116</x:v>
      </x:c>
      <x:c r="B133" s="40" t="n">
        <x:v>1.426457136369502</x:v>
      </x:c>
      <x:c r="C133" s="40" t="n">
        <x:v>2.566010414725329</x:v>
      </x:c>
      <x:c r="D133" s="40" t="n">
        <x:v>-1.8569951833819136</x:v>
      </x:c>
      <x:c r="E133" t="n">
        <x:f>--((B133^2/$B$4^2+C133^2/$B$5^2+D133^2/$B$6^2)&lt;=1)</x:f>
        <x:v>0</x:v>
      </x:c>
      <x:c r="F133" s="42" t="n">
        <x:f>$B$8*SUM($E$18:E133)/A133</x:f>
        <x:v>105.93103448275862</x:v>
      </x:c>
      <x:c r="G133" s="42" t="n">
        <x:f>$B$11</x:f>
        <x:v>100.53096491487338</x:v>
      </x:c>
      <x:c r="I133" t="n">
        <x:f>A133</x:f>
        <x:v>116</x:v>
      </x:c>
      <x:c r="J133" t="n">
        <x:f>F133</x:f>
        <x:v>105.93103448275862</x:v>
      </x:c>
      <x:c r="K133" t="n">
        <x:f>G133</x:f>
        <x:v>100.53096491487338</x:v>
      </x:c>
    </x:row>
    <x:row r="134">
      <x:c r="A134" t="n">
        <x:v>117</x:v>
      </x:c>
      <x:c r="B134" s="40" t="n">
        <x:v>1.0340781193408404</x:v>
      </x:c>
      <x:c r="C134" s="40" t="n">
        <x:v>-1.4125543330724302</x:v>
      </x:c>
      <x:c r="D134" s="40" t="n">
        <x:v>0.7160506432277431</x:v>
      </x:c>
      <x:c r="E134" t="n">
        <x:f>--((B134^2/$B$4^2+C134^2/$B$5^2+D134^2/$B$6^2)&lt;=1)</x:f>
        <x:v>1</x:v>
      </x:c>
      <x:c r="F134" s="42" t="n">
        <x:f>$B$8*SUM($E$18:E134)/A134</x:f>
        <x:v>106.66666666666667</x:v>
      </x:c>
      <x:c r="G134" s="42" t="n">
        <x:f>$B$11</x:f>
        <x:v>100.53096491487338</x:v>
      </x:c>
      <x:c r="I134" t="n">
        <x:f>A134</x:f>
        <x:v>117</x:v>
      </x:c>
      <x:c r="J134" t="n">
        <x:f>F134</x:f>
        <x:v>106.66666666666667</x:v>
      </x:c>
      <x:c r="K134" t="n">
        <x:f>G134</x:f>
        <x:v>100.53096491487338</x:v>
      </x:c>
    </x:row>
    <x:row r="135">
      <x:c r="A135" t="n">
        <x:v>118</x:v>
      </x:c>
      <x:c r="B135" s="40" t="n">
        <x:v>0.8778518238037472</x:v>
      </x:c>
      <x:c r="C135" s="40" t="n">
        <x:v>-2.762638749658849</x:v>
      </x:c>
      <x:c r="D135" s="40" t="n">
        <x:v>2.921467638303004</x:v>
      </x:c>
      <x:c r="E135" t="n">
        <x:f>--((B135^2/$B$4^2+C135^2/$B$5^2+D135^2/$B$6^2)&lt;=1)</x:f>
        <x:v>0</x:v>
      </x:c>
      <x:c r="F135" s="42" t="n">
        <x:f>$B$8*SUM($E$18:E135)/A135</x:f>
        <x:v>105.76271186440678</x:v>
      </x:c>
      <x:c r="G135" s="42" t="n">
        <x:f>$B$11</x:f>
        <x:v>100.53096491487338</x:v>
      </x:c>
      <x:c r="I135" t="n">
        <x:f>A135</x:f>
        <x:v>118</x:v>
      </x:c>
      <x:c r="J135" t="n">
        <x:f>F135</x:f>
        <x:v>105.76271186440678</x:v>
      </x:c>
      <x:c r="K135" t="n">
        <x:f>G135</x:f>
        <x:v>100.53096491487338</x:v>
      </x:c>
    </x:row>
    <x:row r="136">
      <x:c r="A136" t="n">
        <x:v>119</x:v>
      </x:c>
      <x:c r="B136" s="40" t="n">
        <x:v>-0.27162784089958514</x:v>
      </x:c>
      <x:c r="C136" s="40" t="n">
        <x:v>-2.3505033511508575</x:v>
      </x:c>
      <x:c r="D136" s="40" t="n">
        <x:v>-1.4561239630679</x:v>
      </x:c>
      <x:c r="E136" t="n">
        <x:f>--((B136^2/$B$4^2+C136^2/$B$5^2+D136^2/$B$6^2)&lt;=1)</x:f>
        <x:v>1</x:v>
      </x:c>
      <x:c r="F136" s="42" t="n">
        <x:f>$B$8*SUM($E$18:E136)/A136</x:f>
        <x:v>106.4873949579832</x:v>
      </x:c>
      <x:c r="G136" s="42" t="n">
        <x:f>$B$11</x:f>
        <x:v>100.53096491487338</x:v>
      </x:c>
      <x:c r="I136" t="n">
        <x:f>A136</x:f>
        <x:v>119</x:v>
      </x:c>
      <x:c r="J136" t="n">
        <x:f>F136</x:f>
        <x:v>106.4873949579832</x:v>
      </x:c>
      <x:c r="K136" t="n">
        <x:f>G136</x:f>
        <x:v>100.53096491487338</x:v>
      </x:c>
    </x:row>
    <x:row r="137">
      <x:c r="A137" t="n">
        <x:v>120</x:v>
      </x:c>
      <x:c r="B137" s="40" t="n">
        <x:v>0.5092353628097728</x:v>
      </x:c>
      <x:c r="C137" s="40" t="n">
        <x:v>-1.5585063103221497</x:v>
      </x:c>
      <x:c r="D137" s="40" t="n">
        <x:v>-0.13160014055405433</x:v>
      </x:c>
      <x:c r="E137" t="n">
        <x:f>--((B137^2/$B$4^2+C137^2/$B$5^2+D137^2/$B$6^2)&lt;=1)</x:f>
        <x:v>1</x:v>
      </x:c>
      <x:c r="F137" s="42" t="n">
        <x:f>$B$8*SUM($E$18:E137)/A137</x:f>
        <x:v>107.2</x:v>
      </x:c>
      <x:c r="G137" s="42" t="n">
        <x:f>$B$11</x:f>
        <x:v>100.53096491487338</x:v>
      </x:c>
      <x:c r="I137" t="n">
        <x:f>A137</x:f>
        <x:v>120</x:v>
      </x:c>
      <x:c r="J137" t="n">
        <x:f>F137</x:f>
        <x:v>107.2</x:v>
      </x:c>
      <x:c r="K137" t="n">
        <x:f>G137</x:f>
        <x:v>100.53096491487338</x:v>
      </x:c>
    </x:row>
    <x:row r="138">
      <x:c r="A138" t="n">
        <x:v>121</x:v>
      </x:c>
      <x:c r="B138" s="40" t="n">
        <x:v>0.3363918756509423</x:v>
      </x:c>
      <x:c r="C138" s="40" t="n">
        <x:v>-1.3565629883637287</x:v>
      </x:c>
      <x:c r="D138" s="40" t="n">
        <x:v>3.6083588333831154</x:v>
      </x:c>
      <x:c r="E138" t="n">
        <x:f>--((B138^2/$B$4^2+C138^2/$B$5^2+D138^2/$B$6^2)&lt;=1)</x:f>
        <x:v>0</x:v>
      </x:c>
      <x:c r="F138" s="42" t="n">
        <x:f>$B$8*SUM($E$18:E138)/A138</x:f>
        <x:v>106.31404958677686</x:v>
      </x:c>
      <x:c r="G138" s="42" t="n">
        <x:f>$B$11</x:f>
        <x:v>100.53096491487338</x:v>
      </x:c>
      <x:c r="I138" t="n">
        <x:f>A138</x:f>
        <x:v>121</x:v>
      </x:c>
      <x:c r="J138" t="n">
        <x:f>F138</x:f>
        <x:v>106.31404958677686</x:v>
      </x:c>
      <x:c r="K138" t="n">
        <x:f>G138</x:f>
        <x:v>100.53096491487338</x:v>
      </x:c>
    </x:row>
    <x:row r="139">
      <x:c r="A139" t="n">
        <x:v>122</x:v>
      </x:c>
      <x:c r="B139" s="40" t="n">
        <x:v>0.59938640621928</x:v>
      </x:c>
      <x:c r="C139" s="40" t="n">
        <x:v>-2.803140003013628</x:v>
      </x:c>
      <x:c r="D139" s="40" t="n">
        <x:v>2.3856947357738933</x:v>
      </x:c>
      <x:c r="E139" t="n">
        <x:f>--((B139^2/$B$4^2+C139^2/$B$5^2+D139^2/$B$6^2)&lt;=1)</x:f>
        <x:v>0</x:v>
      </x:c>
      <x:c r="F139" s="42" t="n">
        <x:f>$B$8*SUM($E$18:E139)/A139</x:f>
        <x:v>105.44262295081967</x:v>
      </x:c>
      <x:c r="G139" s="42" t="n">
        <x:f>$B$11</x:f>
        <x:v>100.53096491487338</x:v>
      </x:c>
      <x:c r="I139" t="n">
        <x:f>A139</x:f>
        <x:v>122</x:v>
      </x:c>
      <x:c r="J139" t="n">
        <x:f>F139</x:f>
        <x:v>105.44262295081967</x:v>
      </x:c>
      <x:c r="K139" t="n">
        <x:f>G139</x:f>
        <x:v>100.53096491487338</x:v>
      </x:c>
    </x:row>
    <x:row r="140">
      <x:c r="A140" t="n">
        <x:v>123</x:v>
      </x:c>
      <x:c r="B140" s="40" t="n">
        <x:v>-1.6622227154404436</x:v>
      </x:c>
      <x:c r="C140" s="40" t="n">
        <x:v>-1.323871126837625</x:v>
      </x:c>
      <x:c r="D140" s="40" t="n">
        <x:v>3.0963121626444217</x:v>
      </x:c>
      <x:c r="E140" t="n">
        <x:f>--((B140^2/$B$4^2+C140^2/$B$5^2+D140^2/$B$6^2)&lt;=1)</x:f>
        <x:v>0</x:v>
      </x:c>
      <x:c r="F140" s="42" t="n">
        <x:f>$B$8*SUM($E$18:E140)/A140</x:f>
        <x:v>104.58536585365853</x:v>
      </x:c>
      <x:c r="G140" s="42" t="n">
        <x:f>$B$11</x:f>
        <x:v>100.53096491487338</x:v>
      </x:c>
      <x:c r="I140" t="n">
        <x:f>A140</x:f>
        <x:v>123</x:v>
      </x:c>
      <x:c r="J140" t="n">
        <x:f>F140</x:f>
        <x:v>104.58536585365853</x:v>
      </x:c>
      <x:c r="K140" t="n">
        <x:f>G140</x:f>
        <x:v>100.53096491487338</x:v>
      </x:c>
    </x:row>
    <x:row r="141">
      <x:c r="A141" t="n">
        <x:v>124</x:v>
      </x:c>
      <x:c r="B141" s="40" t="n">
        <x:v>-0.3367703913175615</x:v>
      </x:c>
      <x:c r="C141" s="40" t="n">
        <x:v>-1.8423495810391073</x:v>
      </x:c>
      <x:c r="D141" s="40" t="n">
        <x:v>-0.9180235128764291</x:v>
      </x:c>
      <x:c r="E141" t="n">
        <x:f>--((B141^2/$B$4^2+C141^2/$B$5^2+D141^2/$B$6^2)&lt;=1)</x:f>
        <x:v>1</x:v>
      </x:c>
      <x:c r="F141" s="42" t="n">
        <x:f>$B$8*SUM($E$18:E141)/A141</x:f>
        <x:v>105.29032258064517</x:v>
      </x:c>
      <x:c r="G141" s="42" t="n">
        <x:f>$B$11</x:f>
        <x:v>100.53096491487338</x:v>
      </x:c>
      <x:c r="I141" t="n">
        <x:f>A141</x:f>
        <x:v>124</x:v>
      </x:c>
      <x:c r="J141" t="n">
        <x:f>F141</x:f>
        <x:v>105.29032258064517</x:v>
      </x:c>
      <x:c r="K141" t="n">
        <x:f>G141</x:f>
        <x:v>100.53096491487338</x:v>
      </x:c>
    </x:row>
    <x:row r="142">
      <x:c r="A142" t="n">
        <x:v>125</x:v>
      </x:c>
      <x:c r="B142" s="40" t="n">
        <x:v>-1.83354330455243</x:v>
      </x:c>
      <x:c r="C142" s="40" t="n">
        <x:v>-0.7282744353928887</x:v>
      </x:c>
      <x:c r="D142" s="40" t="n">
        <x:v>3.9720420770764706</x:v>
      </x:c>
      <x:c r="E142" t="n">
        <x:f>--((B142^2/$B$4^2+C142^2/$B$5^2+D142^2/$B$6^2)&lt;=1)</x:f>
        <x:v>0</x:v>
      </x:c>
      <x:c r="F142" s="42" t="n">
        <x:f>$B$8*SUM($E$18:E142)/A142</x:f>
        <x:v>104.448</x:v>
      </x:c>
      <x:c r="G142" s="42" t="n">
        <x:f>$B$11</x:f>
        <x:v>100.53096491487338</x:v>
      </x:c>
      <x:c r="I142" t="n">
        <x:f>A142</x:f>
        <x:v>125</x:v>
      </x:c>
      <x:c r="J142" t="n">
        <x:f>F142</x:f>
        <x:v>104.448</x:v>
      </x:c>
      <x:c r="K142" t="n">
        <x:f>G142</x:f>
        <x:v>100.53096491487338</x:v>
      </x:c>
    </x:row>
    <x:row r="143">
      <x:c r="A143" t="n">
        <x:v>126</x:v>
      </x:c>
      <x:c r="B143" s="40" t="n">
        <x:v>-0.024036723021924278</x:v>
      </x:c>
      <x:c r="C143" s="40" t="n">
        <x:v>-0.6889935758641847</x:v>
      </x:c>
      <x:c r="D143" s="40" t="n">
        <x:v>-2.7794751625294962</x:v>
      </x:c>
      <x:c r="E143" t="n">
        <x:f>--((B143^2/$B$4^2+C143^2/$B$5^2+D143^2/$B$6^2)&lt;=1)</x:f>
        <x:v>1</x:v>
      </x:c>
      <x:c r="F143" s="42" t="n">
        <x:f>$B$8*SUM($E$18:E143)/A143</x:f>
        <x:v>105.14285714285714</x:v>
      </x:c>
      <x:c r="G143" s="42" t="n">
        <x:f>$B$11</x:f>
        <x:v>100.53096491487338</x:v>
      </x:c>
      <x:c r="I143" t="n">
        <x:f>A143</x:f>
        <x:v>126</x:v>
      </x:c>
      <x:c r="J143" t="n">
        <x:f>F143</x:f>
        <x:v>105.14285714285714</x:v>
      </x:c>
      <x:c r="K143" t="n">
        <x:f>G143</x:f>
        <x:v>100.53096491487338</x:v>
      </x:c>
    </x:row>
    <x:row r="144">
      <x:c r="A144" t="n">
        <x:v>127</x:v>
      </x:c>
      <x:c r="B144" s="40" t="n">
        <x:v>-0.6805551506688587</x:v>
      </x:c>
      <x:c r="C144" s="40" t="n">
        <x:v>-0.9659535563827255</x:v>
      </x:c>
      <x:c r="D144" s="40" t="n">
        <x:v>0.15016466573047182</x:v>
      </x:c>
      <x:c r="E144" t="n">
        <x:f>--((B144^2/$B$4^2+C144^2/$B$5^2+D144^2/$B$6^2)&lt;=1)</x:f>
        <x:v>1</x:v>
      </x:c>
      <x:c r="F144" s="42" t="n">
        <x:f>$B$8*SUM($E$18:E144)/A144</x:f>
        <x:v>105.8267716535433</x:v>
      </x:c>
      <x:c r="G144" s="42" t="n">
        <x:f>$B$11</x:f>
        <x:v>100.53096491487338</x:v>
      </x:c>
      <x:c r="I144" t="n">
        <x:f>A144</x:f>
        <x:v>127</x:v>
      </x:c>
      <x:c r="J144" t="n">
        <x:f>F144</x:f>
        <x:v>105.8267716535433</x:v>
      </x:c>
      <x:c r="K144" t="n">
        <x:f>G144</x:f>
        <x:v>100.53096491487338</x:v>
      </x:c>
    </x:row>
    <x:row r="145">
      <x:c r="A145" t="n">
        <x:v>128</x:v>
      </x:c>
      <x:c r="B145" s="40" t="n">
        <x:v>-1.4219032445358124</x:v>
      </x:c>
      <x:c r="C145" s="40" t="n">
        <x:v>-1.032456698815776</x:v>
      </x:c>
      <x:c r="D145" s="40" t="n">
        <x:v>-0.16581294163000493</x:v>
      </x:c>
      <x:c r="E145" t="n">
        <x:f>--((B145^2/$B$4^2+C145^2/$B$5^2+D145^2/$B$6^2)&lt;=1)</x:f>
        <x:v>1</x:v>
      </x:c>
      <x:c r="F145" s="42" t="n">
        <x:f>$B$8*SUM($E$18:E145)/A145</x:f>
        <x:v>106.5</x:v>
      </x:c>
      <x:c r="G145" s="42" t="n">
        <x:f>$B$11</x:f>
        <x:v>100.53096491487338</x:v>
      </x:c>
      <x:c r="I145" t="n">
        <x:f>A145</x:f>
        <x:v>128</x:v>
      </x:c>
      <x:c r="J145" t="n">
        <x:f>F145</x:f>
        <x:v>106.5</x:v>
      </x:c>
      <x:c r="K145" t="n">
        <x:f>G145</x:f>
        <x:v>100.53096491487338</x:v>
      </x:c>
    </x:row>
    <x:row r="146">
      <x:c r="A146" t="n">
        <x:v>129</x:v>
      </x:c>
      <x:c r="B146" s="40" t="n">
        <x:v>-1.5863881291097934</x:v>
      </x:c>
      <x:c r="C146" s="40" t="n">
        <x:v>-2.461612333552493</x:v>
      </x:c>
      <x:c r="D146" s="40" t="n">
        <x:v>2.387457526401076</x:v>
      </x:c>
      <x:c r="E146" t="n">
        <x:f>--((B146^2/$B$4^2+C146^2/$B$5^2+D146^2/$B$6^2)&lt;=1)</x:f>
        <x:v>0</x:v>
      </x:c>
      <x:c r="F146" s="42" t="n">
        <x:f>$B$8*SUM($E$18:E146)/A146</x:f>
        <x:v>105.67441860465117</x:v>
      </x:c>
      <x:c r="G146" s="42" t="n">
        <x:f>$B$11</x:f>
        <x:v>100.53096491487338</x:v>
      </x:c>
      <x:c r="I146" t="n">
        <x:f>A146</x:f>
        <x:v>129</x:v>
      </x:c>
      <x:c r="J146" t="n">
        <x:f>F146</x:f>
        <x:v>105.67441860465117</x:v>
      </x:c>
      <x:c r="K146" t="n">
        <x:f>G146</x:f>
        <x:v>100.53096491487338</x:v>
      </x:c>
    </x:row>
    <x:row r="147">
      <x:c r="A147" t="n">
        <x:v>130</x:v>
      </x:c>
      <x:c r="B147" s="40" t="n">
        <x:v>0.3505782887108482</x:v>
      </x:c>
      <x:c r="C147" s="40" t="n">
        <x:v>-2.848770317243027</x:v>
      </x:c>
      <x:c r="D147" s="40" t="n">
        <x:v>3.2689421801200957</x:v>
      </x:c>
      <x:c r="E147" t="n">
        <x:f>--((B147^2/$B$4^2+C147^2/$B$5^2+D147^2/$B$6^2)&lt;=1)</x:f>
        <x:v>0</x:v>
      </x:c>
      <x:c r="F147" s="42" t="n">
        <x:f>$B$8*SUM($E$18:E147)/A147</x:f>
        <x:v>104.86153846153846</x:v>
      </x:c>
      <x:c r="G147" s="42" t="n">
        <x:f>$B$11</x:f>
        <x:v>100.53096491487338</x:v>
      </x:c>
      <x:c r="I147" t="n">
        <x:f>A147</x:f>
        <x:v>130</x:v>
      </x:c>
      <x:c r="J147" t="n">
        <x:f>F147</x:f>
        <x:v>104.86153846153846</x:v>
      </x:c>
      <x:c r="K147" t="n">
        <x:f>G147</x:f>
        <x:v>100.53096491487338</x:v>
      </x:c>
    </x:row>
    <x:row r="148">
      <x:c r="A148" t="n">
        <x:v>131</x:v>
      </x:c>
      <x:c r="B148" s="40" t="n">
        <x:v>-1.3176281258524556</x:v>
      </x:c>
      <x:c r="C148" s="40" t="n">
        <x:v>-1.7873141990612005</x:v>
      </x:c>
      <x:c r="D148" s="40" t="n">
        <x:v>1.849115015264478</x:v>
      </x:c>
      <x:c r="E148" t="n">
        <x:f>--((B148^2/$B$4^2+C148^2/$B$5^2+D148^2/$B$6^2)&lt;=1)</x:f>
        <x:v>0</x:v>
      </x:c>
      <x:c r="F148" s="42" t="n">
        <x:f>$B$8*SUM($E$18:E148)/A148</x:f>
        <x:v>104.06106870229007</x:v>
      </x:c>
      <x:c r="G148" s="42" t="n">
        <x:f>$B$11</x:f>
        <x:v>100.53096491487338</x:v>
      </x:c>
      <x:c r="I148" t="n">
        <x:f>A148</x:f>
        <x:v>131</x:v>
      </x:c>
      <x:c r="J148" t="n">
        <x:f>F148</x:f>
        <x:v>104.06106870229007</x:v>
      </x:c>
      <x:c r="K148" t="n">
        <x:f>G148</x:f>
        <x:v>100.53096491487338</x:v>
      </x:c>
    </x:row>
    <x:row r="149">
      <x:c r="A149" t="n">
        <x:v>132</x:v>
      </x:c>
      <x:c r="B149" s="40" t="n">
        <x:v>1.7004804735071888</x:v>
      </x:c>
      <x:c r="C149" s="40" t="n">
        <x:v>1.539896564499692</x:v>
      </x:c>
      <x:c r="D149" s="40" t="n">
        <x:v>1.0145298890424224</x:v>
      </x:c>
      <x:c r="E149" t="n">
        <x:f>--((B149^2/$B$4^2+C149^2/$B$5^2+D149^2/$B$6^2)&lt;=1)</x:f>
        <x:v>0</x:v>
      </x:c>
      <x:c r="F149" s="42" t="n">
        <x:f>$B$8*SUM($E$18:E149)/A149</x:f>
        <x:v>103.27272727272727</x:v>
      </x:c>
      <x:c r="G149" s="42" t="n">
        <x:f>$B$11</x:f>
        <x:v>100.53096491487338</x:v>
      </x:c>
      <x:c r="I149" t="n">
        <x:f>A149</x:f>
        <x:v>132</x:v>
      </x:c>
      <x:c r="J149" t="n">
        <x:f>F149</x:f>
        <x:v>103.27272727272727</x:v>
      </x:c>
      <x:c r="K149" t="n">
        <x:f>G149</x:f>
        <x:v>100.53096491487338</x:v>
      </x:c>
    </x:row>
    <x:row r="150">
      <x:c r="A150" t="n">
        <x:v>133</x:v>
      </x:c>
      <x:c r="B150" s="40" t="n">
        <x:v>0.3242445588015799</x:v>
      </x:c>
      <x:c r="C150" s="40" t="n">
        <x:v>2.9448585933067326</x:v>
      </x:c>
      <x:c r="D150" s="40" t="n">
        <x:v>-0.5805664732119702</x:v>
      </x:c>
      <x:c r="E150" t="n">
        <x:f>--((B150^2/$B$4^2+C150^2/$B$5^2+D150^2/$B$6^2)&lt;=1)</x:f>
        <x:v>0</x:v>
      </x:c>
      <x:c r="F150" s="42" t="n">
        <x:f>$B$8*SUM($E$18:E150)/A150</x:f>
        <x:v>102.49624060150376</x:v>
      </x:c>
      <x:c r="G150" s="42" t="n">
        <x:f>$B$11</x:f>
        <x:v>100.53096491487338</x:v>
      </x:c>
      <x:c r="I150" t="n">
        <x:f>A150</x:f>
        <x:v>133</x:v>
      </x:c>
      <x:c r="J150" t="n">
        <x:f>F150</x:f>
        <x:v>102.49624060150376</x:v>
      </x:c>
      <x:c r="K150" t="n">
        <x:f>G150</x:f>
        <x:v>100.53096491487338</x:v>
      </x:c>
    </x:row>
    <x:row r="151">
      <x:c r="A151" t="n">
        <x:v>134</x:v>
      </x:c>
      <x:c r="B151" s="40" t="n">
        <x:v>-0.6125207818606517</x:v>
      </x:c>
      <x:c r="C151" s="40" t="n">
        <x:v>2.571157050343974</x:v>
      </x:c>
      <x:c r="D151" s="40" t="n">
        <x:v>0.08260733660587327</x:v>
      </x:c>
      <x:c r="E151" t="n">
        <x:f>--((B151^2/$B$4^2+C151^2/$B$5^2+D151^2/$B$6^2)&lt;=1)</x:f>
        <x:v>1</x:v>
      </x:c>
      <x:c r="F151" s="42" t="n">
        <x:f>$B$8*SUM($E$18:E151)/A151</x:f>
        <x:v>103.16417910447761</x:v>
      </x:c>
      <x:c r="G151" s="42" t="n">
        <x:f>$B$11</x:f>
        <x:v>100.53096491487338</x:v>
      </x:c>
      <x:c r="I151" t="n">
        <x:f>A151</x:f>
        <x:v>134</x:v>
      </x:c>
      <x:c r="J151" t="n">
        <x:f>F151</x:f>
        <x:v>103.16417910447761</x:v>
      </x:c>
      <x:c r="K151" t="n">
        <x:f>G151</x:f>
        <x:v>100.53096491487338</x:v>
      </x:c>
    </x:row>
    <x:row r="152">
      <x:c r="A152" t="n">
        <x:v>135</x:v>
      </x:c>
      <x:c r="B152" s="40" t="n">
        <x:v>0.363661965925667</x:v>
      </x:c>
      <x:c r="C152" s="40" t="n">
        <x:v>0.02531613322661208</x:v>
      </x:c>
      <x:c r="D152" s="40" t="n">
        <x:v>0.07440250579857466</x:v>
      </x:c>
      <x:c r="E152" t="n">
        <x:f>--((B152^2/$B$4^2+C152^2/$B$5^2+D152^2/$B$6^2)&lt;=1)</x:f>
        <x:v>1</x:v>
      </x:c>
      <x:c r="F152" s="42" t="n">
        <x:f>$B$8*SUM($E$18:E152)/A152</x:f>
        <x:v>103.82222222222222</x:v>
      </x:c>
      <x:c r="G152" s="42" t="n">
        <x:f>$B$11</x:f>
        <x:v>100.53096491487338</x:v>
      </x:c>
      <x:c r="I152" t="n">
        <x:f>A152</x:f>
        <x:v>135</x:v>
      </x:c>
      <x:c r="J152" t="n">
        <x:f>F152</x:f>
        <x:v>103.82222222222222</x:v>
      </x:c>
      <x:c r="K152" t="n">
        <x:f>G152</x:f>
        <x:v>100.53096491487338</x:v>
      </x:c>
    </x:row>
    <x:row r="153">
      <x:c r="A153" t="n">
        <x:v>136</x:v>
      </x:c>
      <x:c r="B153" s="40" t="n">
        <x:v>-1.90878451588121</x:v>
      </x:c>
      <x:c r="C153" s="40" t="n">
        <x:v>0.19094313466760537</x:v>
      </x:c>
      <x:c r="D153" s="40" t="n">
        <x:v>-3.8370522105249787</x:v>
      </x:c>
      <x:c r="E153" t="n">
        <x:f>--((B153^2/$B$4^2+C153^2/$B$5^2+D153^2/$B$6^2)&lt;=1)</x:f>
        <x:v>0</x:v>
      </x:c>
      <x:c r="F153" s="42" t="n">
        <x:f>$B$8*SUM($E$18:E153)/A153</x:f>
        <x:v>103.05882352941177</x:v>
      </x:c>
      <x:c r="G153" s="42" t="n">
        <x:f>$B$11</x:f>
        <x:v>100.53096491487338</x:v>
      </x:c>
      <x:c r="I153" t="n">
        <x:f>A153</x:f>
        <x:v>136</x:v>
      </x:c>
      <x:c r="J153" t="n">
        <x:f>F153</x:f>
        <x:v>103.05882352941177</x:v>
      </x:c>
      <x:c r="K153" t="n">
        <x:f>G153</x:f>
        <x:v>100.53096491487338</x:v>
      </x:c>
    </x:row>
    <x:row r="154">
      <x:c r="A154" t="n">
        <x:v>137</x:v>
      </x:c>
      <x:c r="B154" s="40" t="n">
        <x:v>1.8342368529657813</x:v>
      </x:c>
      <x:c r="C154" s="40" t="n">
        <x:v>-1.1125105857849447</x:v>
      </x:c>
      <x:c r="D154" s="40" t="n">
        <x:v>0.024366438621421516</x:v>
      </x:c>
      <x:c r="E154" t="n">
        <x:f>--((B154^2/$B$4^2+C154^2/$B$5^2+D154^2/$B$6^2)&lt;=1)</x:f>
        <x:v>1</x:v>
      </x:c>
      <x:c r="F154" s="42" t="n">
        <x:f>$B$8*SUM($E$18:E154)/A154</x:f>
        <x:v>103.7080291970803</x:v>
      </x:c>
      <x:c r="G154" s="42" t="n">
        <x:f>$B$11</x:f>
        <x:v>100.53096491487338</x:v>
      </x:c>
      <x:c r="I154" t="n">
        <x:f>A154</x:f>
        <x:v>137</x:v>
      </x:c>
      <x:c r="J154" t="n">
        <x:f>F154</x:f>
        <x:v>103.7080291970803</x:v>
      </x:c>
      <x:c r="K154" t="n">
        <x:f>G154</x:f>
        <x:v>100.53096491487338</x:v>
      </x:c>
    </x:row>
    <x:row r="155">
      <x:c r="A155" t="n">
        <x:v>138</x:v>
      </x:c>
      <x:c r="B155" s="40" t="n">
        <x:v>-0.07078625222839907</x:v>
      </x:c>
      <x:c r="C155" s="40" t="n">
        <x:v>1.6436366318259372</x:v>
      </x:c>
      <x:c r="D155" s="40" t="n">
        <x:v>2.847766401392999</x:v>
      </x:c>
      <x:c r="E155" t="n">
        <x:f>--((B155^2/$B$4^2+C155^2/$B$5^2+D155^2/$B$6^2)&lt;=1)</x:f>
        <x:v>1</x:v>
      </x:c>
      <x:c r="F155" s="42" t="n">
        <x:f>$B$8*SUM($E$18:E155)/A155</x:f>
        <x:v>104.34782608695652</x:v>
      </x:c>
      <x:c r="G155" s="42" t="n">
        <x:f>$B$11</x:f>
        <x:v>100.53096491487338</x:v>
      </x:c>
      <x:c r="I155" t="n">
        <x:f>A155</x:f>
        <x:v>138</x:v>
      </x:c>
      <x:c r="J155" t="n">
        <x:f>F155</x:f>
        <x:v>104.34782608695652</x:v>
      </x:c>
      <x:c r="K155" t="n">
        <x:f>G155</x:f>
        <x:v>100.53096491487338</x:v>
      </x:c>
    </x:row>
    <x:row r="156">
      <x:c r="A156" t="n">
        <x:v>139</x:v>
      </x:c>
      <x:c r="B156" s="40" t="n">
        <x:v>1.1309409090011449</x:v>
      </x:c>
      <x:c r="C156" s="40" t="n">
        <x:v>1.5885401275958912</x:v>
      </x:c>
      <x:c r="D156" s="40" t="n">
        <x:v>1.6741920891379856</x:v>
      </x:c>
      <x:c r="E156" t="n">
        <x:f>--((B156^2/$B$4^2+C156^2/$B$5^2+D156^2/$B$6^2)&lt;=1)</x:f>
        <x:v>1</x:v>
      </x:c>
      <x:c r="F156" s="42" t="n">
        <x:f>$B$8*SUM($E$18:E156)/A156</x:f>
        <x:v>104.97841726618705</x:v>
      </x:c>
      <x:c r="G156" s="42" t="n">
        <x:f>$B$11</x:f>
        <x:v>100.53096491487338</x:v>
      </x:c>
      <x:c r="I156" t="n">
        <x:f>A156</x:f>
        <x:v>139</x:v>
      </x:c>
      <x:c r="J156" t="n">
        <x:f>F156</x:f>
        <x:v>104.97841726618705</x:v>
      </x:c>
      <x:c r="K156" t="n">
        <x:f>G156</x:f>
        <x:v>100.53096491487338</x:v>
      </x:c>
    </x:row>
    <x:row r="157">
      <x:c r="A157" t="n">
        <x:v>140</x:v>
      </x:c>
      <x:c r="B157" s="40" t="n">
        <x:v>-1.6690800003102457</x:v>
      </x:c>
      <x:c r="C157" s="40" t="n">
        <x:v>2.065634145494667</x:v>
      </x:c>
      <x:c r="D157" s="40" t="n">
        <x:v>2.3656689770000385</x:v>
      </x:c>
      <x:c r="E157" t="n">
        <x:f>--((B157^2/$B$4^2+C157^2/$B$5^2+D157^2/$B$6^2)&lt;=1)</x:f>
        <x:v>0</x:v>
      </x:c>
      <x:c r="F157" s="42" t="n">
        <x:f>$B$8*SUM($E$18:E157)/A157</x:f>
        <x:v>104.22857142857143</x:v>
      </x:c>
      <x:c r="G157" s="42" t="n">
        <x:f>$B$11</x:f>
        <x:v>100.53096491487338</x:v>
      </x:c>
      <x:c r="I157" t="n">
        <x:f>A157</x:f>
        <x:v>140</x:v>
      </x:c>
      <x:c r="J157" t="n">
        <x:f>F157</x:f>
        <x:v>104.22857142857143</x:v>
      </x:c>
      <x:c r="K157" t="n">
        <x:f>G157</x:f>
        <x:v>100.53096491487338</x:v>
      </x:c>
    </x:row>
    <x:row r="158">
      <x:c r="A158" t="n">
        <x:v>141</x:v>
      </x:c>
      <x:c r="B158" s="40" t="n">
        <x:v>-0.05336667664735861</x:v>
      </x:c>
      <x:c r="C158" s="40" t="n">
        <x:v>2.373027463181306</x:v>
      </x:c>
      <x:c r="D158" s="40" t="n">
        <x:v>-0.8761200818518322</x:v>
      </x:c>
      <x:c r="E158" t="n">
        <x:f>--((B158^2/$B$4^2+C158^2/$B$5^2+D158^2/$B$6^2)&lt;=1)</x:f>
        <x:v>1</x:v>
      </x:c>
      <x:c r="F158" s="42" t="n">
        <x:f>$B$8*SUM($E$18:E158)/A158</x:f>
        <x:v>104.85106382978724</x:v>
      </x:c>
      <x:c r="G158" s="42" t="n">
        <x:f>$B$11</x:f>
        <x:v>100.53096491487338</x:v>
      </x:c>
      <x:c r="I158" t="n">
        <x:f>A158</x:f>
        <x:v>141</x:v>
      </x:c>
      <x:c r="J158" t="n">
        <x:f>F158</x:f>
        <x:v>104.85106382978724</x:v>
      </x:c>
      <x:c r="K158" t="n">
        <x:f>G158</x:f>
        <x:v>100.53096491487338</x:v>
      </x:c>
    </x:row>
    <x:row r="159">
      <x:c r="A159" t="n">
        <x:v>142</x:v>
      </x:c>
      <x:c r="B159" s="40" t="n">
        <x:v>-0.03717202258191632</x:v>
      </x:c>
      <x:c r="C159" s="40" t="n">
        <x:v>-0.3939045106482255</x:v>
      </x:c>
      <x:c r="D159" s="40" t="n">
        <x:v>0.23178589530366445</x:v>
      </x:c>
      <x:c r="E159" t="n">
        <x:f>--((B159^2/$B$4^2+C159^2/$B$5^2+D159^2/$B$6^2)&lt;=1)</x:f>
        <x:v>1</x:v>
      </x:c>
      <x:c r="F159" s="42" t="n">
        <x:f>$B$8*SUM($E$18:E159)/A159</x:f>
        <x:v>105.46478873239437</x:v>
      </x:c>
      <x:c r="G159" s="42" t="n">
        <x:f>$B$11</x:f>
        <x:v>100.53096491487338</x:v>
      </x:c>
      <x:c r="I159" t="n">
        <x:f>A159</x:f>
        <x:v>142</x:v>
      </x:c>
      <x:c r="J159" t="n">
        <x:f>F159</x:f>
        <x:v>105.46478873239437</x:v>
      </x:c>
      <x:c r="K159" t="n">
        <x:f>G159</x:f>
        <x:v>100.53096491487338</x:v>
      </x:c>
    </x:row>
    <x:row r="160">
      <x:c r="A160" t="n">
        <x:v>143</x:v>
      </x:c>
      <x:c r="B160" s="40" t="n">
        <x:v>1.7513058198999314</x:v>
      </x:c>
      <x:c r="C160" s="40" t="n">
        <x:v>1.6012534086431858</x:v>
      </x:c>
      <x:c r="D160" s="40" t="n">
        <x:v>-3.732131448023196</x:v>
      </x:c>
      <x:c r="E160" t="n">
        <x:f>--((B160^2/$B$4^2+C160^2/$B$5^2+D160^2/$B$6^2)&lt;=1)</x:f>
        <x:v>0</x:v>
      </x:c>
      <x:c r="F160" s="42" t="n">
        <x:f>$B$8*SUM($E$18:E160)/A160</x:f>
        <x:v>104.72727272727273</x:v>
      </x:c>
      <x:c r="G160" s="42" t="n">
        <x:f>$B$11</x:f>
        <x:v>100.53096491487338</x:v>
      </x:c>
      <x:c r="I160" t="n">
        <x:f>A160</x:f>
        <x:v>143</x:v>
      </x:c>
      <x:c r="J160" t="n">
        <x:f>F160</x:f>
        <x:v>104.72727272727273</x:v>
      </x:c>
      <x:c r="K160" t="n">
        <x:f>G160</x:f>
        <x:v>100.53096491487338</x:v>
      </x:c>
    </x:row>
    <x:row r="161">
      <x:c r="A161" t="n">
        <x:v>144</x:v>
      </x:c>
      <x:c r="B161" s="40" t="n">
        <x:v>0.2869122095043015</x:v>
      </x:c>
      <x:c r="C161" s="40" t="n">
        <x:v>1.8383923727752718</x:v>
      </x:c>
      <x:c r="D161" s="40" t="n">
        <x:v>-0.9360164626452514</x:v>
      </x:c>
      <x:c r="E161" t="n">
        <x:f>--((B161^2/$B$4^2+C161^2/$B$5^2+D161^2/$B$6^2)&lt;=1)</x:f>
        <x:v>1</x:v>
      </x:c>
      <x:c r="F161" s="42" t="n">
        <x:f>$B$8*SUM($E$18:E161)/A161</x:f>
        <x:v>105.33333333333333</x:v>
      </x:c>
      <x:c r="G161" s="42" t="n">
        <x:f>$B$11</x:f>
        <x:v>100.53096491487338</x:v>
      </x:c>
      <x:c r="I161" t="n">
        <x:f>A161</x:f>
        <x:v>144</x:v>
      </x:c>
      <x:c r="J161" t="n">
        <x:f>F161</x:f>
        <x:v>105.33333333333333</x:v>
      </x:c>
      <x:c r="K161" t="n">
        <x:f>G161</x:f>
        <x:v>100.53096491487338</x:v>
      </x:c>
    </x:row>
    <x:row r="162">
      <x:c r="A162" t="n">
        <x:v>145</x:v>
      </x:c>
      <x:c r="B162" s="40" t="n">
        <x:v>-0.10604239577218477</x:v>
      </x:c>
      <x:c r="C162" s="40" t="n">
        <x:v>-1.149242265013499</x:v>
      </x:c>
      <x:c r="D162" s="40" t="n">
        <x:v>-0.20467164085884804</x:v>
      </x:c>
      <x:c r="E162" t="n">
        <x:f>--((B162^2/$B$4^2+C162^2/$B$5^2+D162^2/$B$6^2)&lt;=1)</x:f>
        <x:v>1</x:v>
      </x:c>
      <x:c r="F162" s="42" t="n">
        <x:f>$B$8*SUM($E$18:E162)/A162</x:f>
        <x:v>105.93103448275862</x:v>
      </x:c>
      <x:c r="G162" s="42" t="n">
        <x:f>$B$11</x:f>
        <x:v>100.53096491487338</x:v>
      </x:c>
      <x:c r="I162" t="n">
        <x:f>A162</x:f>
        <x:v>145</x:v>
      </x:c>
      <x:c r="J162" t="n">
        <x:f>F162</x:f>
        <x:v>105.93103448275862</x:v>
      </x:c>
      <x:c r="K162" t="n">
        <x:f>G162</x:f>
        <x:v>100.53096491487338</x:v>
      </x:c>
    </x:row>
    <x:row r="163">
      <x:c r="A163" t="n">
        <x:v>146</x:v>
      </x:c>
      <x:c r="B163" s="40" t="n">
        <x:v>-0.9320973476324257</x:v>
      </x:c>
      <x:c r="C163" s="40" t="n">
        <x:v>2.5754534640369</x:v>
      </x:c>
      <x:c r="D163" s="40" t="n">
        <x:v>-1.9583288032073467</x:v>
      </x:c>
      <x:c r="E163" t="n">
        <x:f>--((B163^2/$B$4^2+C163^2/$B$5^2+D163^2/$B$6^2)&lt;=1)</x:f>
        <x:v>0</x:v>
      </x:c>
      <x:c r="F163" s="42" t="n">
        <x:f>$B$8*SUM($E$18:E163)/A163</x:f>
        <x:v>105.20547945205479</x:v>
      </x:c>
      <x:c r="G163" s="42" t="n">
        <x:f>$B$11</x:f>
        <x:v>100.53096491487338</x:v>
      </x:c>
      <x:c r="I163" t="n">
        <x:f>A163</x:f>
        <x:v>146</x:v>
      </x:c>
      <x:c r="J163" t="n">
        <x:f>F163</x:f>
        <x:v>105.20547945205479</x:v>
      </x:c>
      <x:c r="K163" t="n">
        <x:f>G163</x:f>
        <x:v>100.53096491487338</x:v>
      </x:c>
    </x:row>
    <x:row r="164">
      <x:c r="A164" t="n">
        <x:v>147</x:v>
      </x:c>
      <x:c r="B164" s="40" t="n">
        <x:v>-0.6737240106297913</x:v>
      </x:c>
      <x:c r="C164" s="40" t="n">
        <x:v>-2.4339509841620672</x:v>
      </x:c>
      <x:c r="D164" s="40" t="n">
        <x:v>-3.7500721680748015</x:v>
      </x:c>
      <x:c r="E164" t="n">
        <x:f>--((B164^2/$B$4^2+C164^2/$B$5^2+D164^2/$B$6^2)&lt;=1)</x:f>
        <x:v>0</x:v>
      </x:c>
      <x:c r="F164" s="42" t="n">
        <x:f>$B$8*SUM($E$18:E164)/A164</x:f>
        <x:v>104.48979591836735</x:v>
      </x:c>
      <x:c r="G164" s="42" t="n">
        <x:f>$B$11</x:f>
        <x:v>100.53096491487338</x:v>
      </x:c>
      <x:c r="I164" t="n">
        <x:f>A164</x:f>
        <x:v>147</x:v>
      </x:c>
      <x:c r="J164" t="n">
        <x:f>F164</x:f>
        <x:v>104.48979591836735</x:v>
      </x:c>
      <x:c r="K164" t="n">
        <x:f>G164</x:f>
        <x:v>100.53096491487338</x:v>
      </x:c>
    </x:row>
    <x:row r="165">
      <x:c r="A165" t="n">
        <x:v>148</x:v>
      </x:c>
      <x:c r="B165" s="40" t="n">
        <x:v>0.08268960988615115</x:v>
      </x:c>
      <x:c r="C165" s="40" t="n">
        <x:v>2.965615074979697</x:v>
      </x:c>
      <x:c r="D165" s="40" t="n">
        <x:v>1.5232648702316167</x:v>
      </x:c>
      <x:c r="E165" t="n">
        <x:f>--((B165^2/$B$4^2+C165^2/$B$5^2+D165^2/$B$6^2)&lt;=1)</x:f>
        <x:v>0</x:v>
      </x:c>
      <x:c r="F165" s="42" t="n">
        <x:f>$B$8*SUM($E$18:E165)/A165</x:f>
        <x:v>103.78378378378379</x:v>
      </x:c>
      <x:c r="G165" s="42" t="n">
        <x:f>$B$11</x:f>
        <x:v>100.53096491487338</x:v>
      </x:c>
      <x:c r="I165" t="n">
        <x:f>A165</x:f>
        <x:v>148</x:v>
      </x:c>
      <x:c r="J165" t="n">
        <x:f>F165</x:f>
        <x:v>103.78378378378379</x:v>
      </x:c>
      <x:c r="K165" t="n">
        <x:f>G165</x:f>
        <x:v>100.53096491487338</x:v>
      </x:c>
    </x:row>
    <x:row r="166">
      <x:c r="A166" t="n">
        <x:v>149</x:v>
      </x:c>
      <x:c r="B166" s="40" t="n">
        <x:v>-0.24435415877981326</x:v>
      </x:c>
      <x:c r="C166" s="40" t="n">
        <x:v>1.6205443089532166</x:v>
      </x:c>
      <x:c r="D166" s="40" t="n">
        <x:v>-0.5192979932092543</x:v>
      </x:c>
      <x:c r="E166" t="n">
        <x:f>--((B166^2/$B$4^2+C166^2/$B$5^2+D166^2/$B$6^2)&lt;=1)</x:f>
        <x:v>1</x:v>
      </x:c>
      <x:c r="F166" s="42" t="n">
        <x:f>$B$8*SUM($E$18:E166)/A166</x:f>
        <x:v>104.3758389261745</x:v>
      </x:c>
      <x:c r="G166" s="42" t="n">
        <x:f>$B$11</x:f>
        <x:v>100.53096491487338</x:v>
      </x:c>
      <x:c r="I166" t="n">
        <x:f>A166</x:f>
        <x:v>149</x:v>
      </x:c>
      <x:c r="J166" t="n">
        <x:f>F166</x:f>
        <x:v>104.3758389261745</x:v>
      </x:c>
      <x:c r="K166" t="n">
        <x:f>G166</x:f>
        <x:v>100.53096491487338</x:v>
      </x:c>
    </x:row>
    <x:row r="167">
      <x:c r="A167" t="n">
        <x:v>150</x:v>
      </x:c>
      <x:c r="B167" s="40" t="n">
        <x:v>-1.9135516804786783</x:v>
      </x:c>
      <x:c r="C167" s="40" t="n">
        <x:v>-2.4403745680540365</x:v>
      </x:c>
      <x:c r="D167" s="40" t="n">
        <x:v>-0.6745744551021264</x:v>
      </x:c>
      <x:c r="E167" t="n">
        <x:f>--((B167^2/$B$4^2+C167^2/$B$5^2+D167^2/$B$6^2)&lt;=1)</x:f>
        <x:v>0</x:v>
      </x:c>
      <x:c r="F167" s="42" t="n">
        <x:f>$B$8*SUM($E$18:E167)/A167</x:f>
        <x:v>103.68</x:v>
      </x:c>
      <x:c r="G167" s="42" t="n">
        <x:f>$B$11</x:f>
        <x:v>100.53096491487338</x:v>
      </x:c>
      <x:c r="I167" t="n">
        <x:f>A167</x:f>
        <x:v>150</x:v>
      </x:c>
      <x:c r="J167" t="n">
        <x:f>F167</x:f>
        <x:v>103.68</x:v>
      </x:c>
      <x:c r="K167" t="n">
        <x:f>G167</x:f>
        <x:v>100.53096491487338</x:v>
      </x:c>
    </x:row>
    <x:row r="168">
      <x:c r="A168" t="n">
        <x:v>151</x:v>
      </x:c>
      <x:c r="B168" s="40" t="n">
        <x:v>1.3051676967774313</x:v>
      </x:c>
      <x:c r="C168" s="40" t="n">
        <x:v>0.9373778886300039</x:v>
      </x:c>
      <x:c r="D168" s="40" t="n">
        <x:v>-2.000105967771929</x:v>
      </x:c>
      <x:c r="E168" t="n">
        <x:f>--((B168^2/$B$4^2+C168^2/$B$5^2+D168^2/$B$6^2)&lt;=1)</x:f>
        <x:v>1</x:v>
      </x:c>
      <x:c r="F168" s="42" t="n">
        <x:f>$B$8*SUM($E$18:E168)/A168</x:f>
        <x:v>104.26490066225166</x:v>
      </x:c>
      <x:c r="G168" s="42" t="n">
        <x:f>$B$11</x:f>
        <x:v>100.53096491487338</x:v>
      </x:c>
      <x:c r="I168" t="n">
        <x:f>A168</x:f>
        <x:v>151</x:v>
      </x:c>
      <x:c r="J168" t="n">
        <x:f>F168</x:f>
        <x:v>104.26490066225166</x:v>
      </x:c>
      <x:c r="K168" t="n">
        <x:f>G168</x:f>
        <x:v>100.53096491487338</x:v>
      </x:c>
    </x:row>
    <x:row r="169">
      <x:c r="A169" t="n">
        <x:v>152</x:v>
      </x:c>
      <x:c r="B169" s="40" t="n">
        <x:v>1.584643087359067</x:v>
      </x:c>
      <x:c r="C169" s="40" t="n">
        <x:v>-2.7949235344304393</x:v>
      </x:c>
      <x:c r="D169" s="40" t="n">
        <x:v>0.3026431919841368</x:v>
      </x:c>
      <x:c r="E169" t="n">
        <x:f>--((B169^2/$B$4^2+C169^2/$B$5^2+D169^2/$B$6^2)&lt;=1)</x:f>
        <x:v>0</x:v>
      </x:c>
      <x:c r="F169" s="42" t="n">
        <x:f>$B$8*SUM($E$18:E169)/A169</x:f>
        <x:v>103.57894736842105</x:v>
      </x:c>
      <x:c r="G169" s="42" t="n">
        <x:f>$B$11</x:f>
        <x:v>100.53096491487338</x:v>
      </x:c>
      <x:c r="I169" t="n">
        <x:f>A169</x:f>
        <x:v>152</x:v>
      </x:c>
      <x:c r="J169" t="n">
        <x:f>F169</x:f>
        <x:v>103.57894736842105</x:v>
      </x:c>
      <x:c r="K169" t="n">
        <x:f>G169</x:f>
        <x:v>100.53096491487338</x:v>
      </x:c>
    </x:row>
    <x:row r="170">
      <x:c r="A170" t="n">
        <x:v>153</x:v>
      </x:c>
      <x:c r="B170" s="40" t="n">
        <x:v>-1.439003644005557</x:v>
      </x:c>
      <x:c r="C170" s="40" t="n">
        <x:v>1.6211216966650976</x:v>
      </x:c>
      <x:c r="D170" s="40" t="n">
        <x:v>-0.49578574983414825</x:v>
      </x:c>
      <x:c r="E170" t="n">
        <x:f>--((B170^2/$B$4^2+C170^2/$B$5^2+D170^2/$B$6^2)&lt;=1)</x:f>
        <x:v>1</x:v>
      </x:c>
      <x:c r="F170" s="42" t="n">
        <x:f>$B$8*SUM($E$18:E170)/A170</x:f>
        <x:v>104.15686274509804</x:v>
      </x:c>
      <x:c r="G170" s="42" t="n">
        <x:f>$B$11</x:f>
        <x:v>100.53096491487338</x:v>
      </x:c>
      <x:c r="I170" t="n">
        <x:f>A170</x:f>
        <x:v>153</x:v>
      </x:c>
      <x:c r="J170" t="n">
        <x:f>F170</x:f>
        <x:v>104.15686274509804</x:v>
      </x:c>
      <x:c r="K170" t="n">
        <x:f>G170</x:f>
        <x:v>100.53096491487338</x:v>
      </x:c>
    </x:row>
    <x:row r="171">
      <x:c r="A171" t="n">
        <x:v>154</x:v>
      </x:c>
      <x:c r="B171" s="40" t="n">
        <x:v>0.2161445741561976</x:v>
      </x:c>
      <x:c r="C171" s="40" t="n">
        <x:v>1.795337529954332</x:v>
      </x:c>
      <x:c r="D171" s="40" t="n">
        <x:v>-0.20812421576727225</x:v>
      </x:c>
      <x:c r="E171" t="n">
        <x:f>--((B171^2/$B$4^2+C171^2/$B$5^2+D171^2/$B$6^2)&lt;=1)</x:f>
        <x:v>1</x:v>
      </x:c>
      <x:c r="F171" s="42" t="n">
        <x:f>$B$8*SUM($E$18:E171)/A171</x:f>
        <x:v>104.72727272727273</x:v>
      </x:c>
      <x:c r="G171" s="42" t="n">
        <x:f>$B$11</x:f>
        <x:v>100.53096491487338</x:v>
      </x:c>
      <x:c r="I171" t="n">
        <x:f>A171</x:f>
        <x:v>154</x:v>
      </x:c>
      <x:c r="J171" t="n">
        <x:f>F171</x:f>
        <x:v>104.72727272727273</x:v>
      </x:c>
      <x:c r="K171" t="n">
        <x:f>G171</x:f>
        <x:v>100.53096491487338</x:v>
      </x:c>
    </x:row>
    <x:row r="172">
      <x:c r="A172" t="n">
        <x:v>155</x:v>
      </x:c>
      <x:c r="B172" s="40" t="n">
        <x:v>-1.5656970354582258</x:v>
      </x:c>
      <x:c r="C172" s="40" t="n">
        <x:v>0.6144615185486861</x:v>
      </x:c>
      <x:c r="D172" s="40" t="n">
        <x:v>0.646970787491056</x:v>
      </x:c>
      <x:c r="E172" t="n">
        <x:f>--((B172^2/$B$4^2+C172^2/$B$5^2+D172^2/$B$6^2)&lt;=1)</x:f>
        <x:v>1</x:v>
      </x:c>
      <x:c r="F172" s="42" t="n">
        <x:f>$B$8*SUM($E$18:E172)/A172</x:f>
        <x:v>105.29032258064517</x:v>
      </x:c>
      <x:c r="G172" s="42" t="n">
        <x:f>$B$11</x:f>
        <x:v>100.53096491487338</x:v>
      </x:c>
      <x:c r="I172" t="n">
        <x:f>A172</x:f>
        <x:v>155</x:v>
      </x:c>
      <x:c r="J172" t="n">
        <x:f>F172</x:f>
        <x:v>105.29032258064517</x:v>
      </x:c>
      <x:c r="K172" t="n">
        <x:f>G172</x:f>
        <x:v>100.53096491487338</x:v>
      </x:c>
    </x:row>
    <x:row r="173">
      <x:c r="A173" t="n">
        <x:v>156</x:v>
      </x:c>
      <x:c r="B173" s="40" t="n">
        <x:v>0.6889603721592468</x:v>
      </x:c>
      <x:c r="C173" s="40" t="n">
        <x:v>2.141162351499423</x:v>
      </x:c>
      <x:c r="D173" s="40" t="n">
        <x:v>-3.949402822082117</x:v>
      </x:c>
      <x:c r="E173" t="n">
        <x:f>--((B173^2/$B$4^2+C173^2/$B$5^2+D173^2/$B$6^2)&lt;=1)</x:f>
        <x:v>0</x:v>
      </x:c>
      <x:c r="F173" s="42" t="n">
        <x:f>$B$8*SUM($E$18:E173)/A173</x:f>
        <x:v>104.61538461538461</x:v>
      </x:c>
      <x:c r="G173" s="42" t="n">
        <x:f>$B$11</x:f>
        <x:v>100.53096491487338</x:v>
      </x:c>
      <x:c r="I173" t="n">
        <x:f>A173</x:f>
        <x:v>156</x:v>
      </x:c>
      <x:c r="J173" t="n">
        <x:f>F173</x:f>
        <x:v>104.61538461538461</x:v>
      </x:c>
      <x:c r="K173" t="n">
        <x:f>G173</x:f>
        <x:v>100.53096491487338</x:v>
      </x:c>
    </x:row>
    <x:row r="174">
      <x:c r="A174" t="n">
        <x:v>157</x:v>
      </x:c>
      <x:c r="B174" s="40" t="n">
        <x:v>-0.8750648646439667</x:v>
      </x:c>
      <x:c r="C174" s="40" t="n">
        <x:v>-2.412700318710842</x:v>
      </x:c>
      <x:c r="D174" s="40" t="n">
        <x:v>3.2615672283073804</x:v>
      </x:c>
      <x:c r="E174" t="n">
        <x:f>--((B174^2/$B$4^2+C174^2/$B$5^2+D174^2/$B$6^2)&lt;=1)</x:f>
        <x:v>0</x:v>
      </x:c>
      <x:c r="F174" s="42" t="n">
        <x:f>$B$8*SUM($E$18:E174)/A174</x:f>
        <x:v>103.94904458598727</x:v>
      </x:c>
      <x:c r="G174" s="42" t="n">
        <x:f>$B$11</x:f>
        <x:v>100.53096491487338</x:v>
      </x:c>
      <x:c r="I174" t="n">
        <x:f>A174</x:f>
        <x:v>157</x:v>
      </x:c>
      <x:c r="J174" t="n">
        <x:f>F174</x:f>
        <x:v>103.94904458598727</x:v>
      </x:c>
      <x:c r="K174" t="n">
        <x:f>G174</x:f>
        <x:v>100.53096491487338</x:v>
      </x:c>
    </x:row>
    <x:row r="175">
      <x:c r="A175" t="n">
        <x:v>158</x:v>
      </x:c>
      <x:c r="B175" s="40" t="n">
        <x:v>0.6376905387676071</x:v>
      </x:c>
      <x:c r="C175" s="40" t="n">
        <x:v>-1.3444569477551207</x:v>
      </x:c>
      <x:c r="D175" s="40" t="n">
        <x:v>-3.43130082443935</x:v>
      </x:c>
      <x:c r="E175" t="n">
        <x:f>--((B175^2/$B$4^2+C175^2/$B$5^2+D175^2/$B$6^2)&lt;=1)</x:f>
        <x:v>0</x:v>
      </x:c>
      <x:c r="F175" s="42" t="n">
        <x:f>$B$8*SUM($E$18:E175)/A175</x:f>
        <x:v>103.29113924050633</x:v>
      </x:c>
      <x:c r="G175" s="42" t="n">
        <x:f>$B$11</x:f>
        <x:v>100.53096491487338</x:v>
      </x:c>
      <x:c r="I175" t="n">
        <x:f>A175</x:f>
        <x:v>158</x:v>
      </x:c>
      <x:c r="J175" t="n">
        <x:f>F175</x:f>
        <x:v>103.29113924050633</x:v>
      </x:c>
      <x:c r="K175" t="n">
        <x:f>G175</x:f>
        <x:v>100.53096491487338</x:v>
      </x:c>
    </x:row>
    <x:row r="176">
      <x:c r="A176" t="n">
        <x:v>159</x:v>
      </x:c>
      <x:c r="B176" s="40" t="n">
        <x:v>0.9079784571475304</x:v>
      </x:c>
      <x:c r="C176" s="40" t="n">
        <x:v>-0.5149348704439767</x:v>
      </x:c>
      <x:c r="D176" s="40" t="n">
        <x:v>-0.3926020214720438</x:v>
      </x:c>
      <x:c r="E176" t="n">
        <x:f>--((B176^2/$B$4^2+C176^2/$B$5^2+D176^2/$B$6^2)&lt;=1)</x:f>
        <x:v>1</x:v>
      </x:c>
      <x:c r="F176" s="42" t="n">
        <x:f>$B$8*SUM($E$18:E176)/A176</x:f>
        <x:v>103.84905660377359</x:v>
      </x:c>
      <x:c r="G176" s="42" t="n">
        <x:f>$B$11</x:f>
        <x:v>100.53096491487338</x:v>
      </x:c>
      <x:c r="I176" t="n">
        <x:f>A176</x:f>
        <x:v>159</x:v>
      </x:c>
      <x:c r="J176" t="n">
        <x:f>F176</x:f>
        <x:v>103.84905660377359</x:v>
      </x:c>
      <x:c r="K176" t="n">
        <x:f>G176</x:f>
        <x:v>100.53096491487338</x:v>
      </x:c>
    </x:row>
    <x:row r="177">
      <x:c r="A177" t="n">
        <x:v>160</x:v>
      </x:c>
      <x:c r="B177" s="40" t="n">
        <x:v>1.074589967670628</x:v>
      </x:c>
      <x:c r="C177" s="40" t="n">
        <x:v>-2.7452522830314106</x:v>
      </x:c>
      <x:c r="D177" s="40" t="n">
        <x:v>-2.3410169980849487</x:v>
      </x:c>
      <x:c r="E177" t="n">
        <x:f>--((B177^2/$B$4^2+C177^2/$B$5^2+D177^2/$B$6^2)&lt;=1)</x:f>
        <x:v>0</x:v>
      </x:c>
      <x:c r="F177" s="42" t="n">
        <x:f>$B$8*SUM($E$18:E177)/A177</x:f>
        <x:v>103.2</x:v>
      </x:c>
      <x:c r="G177" s="42" t="n">
        <x:f>$B$11</x:f>
        <x:v>100.53096491487338</x:v>
      </x:c>
      <x:c r="I177" t="n">
        <x:f>A177</x:f>
        <x:v>160</x:v>
      </x:c>
      <x:c r="J177" t="n">
        <x:f>F177</x:f>
        <x:v>103.2</x:v>
      </x:c>
      <x:c r="K177" t="n">
        <x:f>G177</x:f>
        <x:v>100.53096491487338</x:v>
      </x:c>
    </x:row>
    <x:row r="178">
      <x:c r="A178" t="n">
        <x:v>161</x:v>
      </x:c>
      <x:c r="B178" s="40" t="n">
        <x:v>-1.5690362161764138</x:v>
      </x:c>
      <x:c r="C178" s="40" t="n">
        <x:v>-0.3107034745730033</x:v>
      </x:c>
      <x:c r="D178" s="40" t="n">
        <x:v>0.19025895495900258</x:v>
      </x:c>
      <x:c r="E178" t="n">
        <x:f>--((B178^2/$B$4^2+C178^2/$B$5^2+D178^2/$B$6^2)&lt;=1)</x:f>
        <x:v>1</x:v>
      </x:c>
      <x:c r="F178" s="42" t="n">
        <x:f>$B$8*SUM($E$18:E178)/A178</x:f>
        <x:v>103.75155279503106</x:v>
      </x:c>
      <x:c r="G178" s="42" t="n">
        <x:f>$B$11</x:f>
        <x:v>100.53096491487338</x:v>
      </x:c>
      <x:c r="I178" t="n">
        <x:f>A178</x:f>
        <x:v>161</x:v>
      </x:c>
      <x:c r="J178" t="n">
        <x:f>F178</x:f>
        <x:v>103.75155279503106</x:v>
      </x:c>
      <x:c r="K178" t="n">
        <x:f>G178</x:f>
        <x:v>100.53096491487338</x:v>
      </x:c>
    </x:row>
    <x:row r="179">
      <x:c r="A179" t="n">
        <x:v>162</x:v>
      </x:c>
      <x:c r="B179" s="40" t="n">
        <x:v>1.6640473805504317</x:v>
      </x:c>
      <x:c r="C179" s="40" t="n">
        <x:v>-1.4087192633246042</x:v>
      </x:c>
      <x:c r="D179" s="40" t="n">
        <x:v>-1.7581591296228973</x:v>
      </x:c>
      <x:c r="E179" t="n">
        <x:f>--((B179^2/$B$4^2+C179^2/$B$5^2+D179^2/$B$6^2)&lt;=1)</x:f>
        <x:v>0</x:v>
      </x:c>
      <x:c r="F179" s="42" t="n">
        <x:f>$B$8*SUM($E$18:E179)/A179</x:f>
        <x:v>103.11111111111111</x:v>
      </x:c>
      <x:c r="G179" s="42" t="n">
        <x:f>$B$11</x:f>
        <x:v>100.53096491487338</x:v>
      </x:c>
      <x:c r="I179" t="n">
        <x:f>A179</x:f>
        <x:v>162</x:v>
      </x:c>
      <x:c r="J179" t="n">
        <x:f>F179</x:f>
        <x:v>103.11111111111111</x:v>
      </x:c>
      <x:c r="K179" t="n">
        <x:f>G179</x:f>
        <x:v>100.53096491487338</x:v>
      </x:c>
    </x:row>
    <x:row r="180">
      <x:c r="A180" t="n">
        <x:v>163</x:v>
      </x:c>
      <x:c r="B180" s="40" t="n">
        <x:v>-1.0791440364204767</x:v>
      </x:c>
      <x:c r="C180" s="40" t="n">
        <x:v>-0.6435899273894821</x:v>
      </x:c>
      <x:c r="D180" s="40" t="n">
        <x:v>2.880051984500831</x:v>
      </x:c>
      <x:c r="E180" t="n">
        <x:f>--((B180^2/$B$4^2+C180^2/$B$5^2+D180^2/$B$6^2)&lt;=1)</x:f>
        <x:v>1</x:v>
      </x:c>
      <x:c r="F180" s="42" t="n">
        <x:f>$B$8*SUM($E$18:E180)/A180</x:f>
        <x:v>103.65644171779141</x:v>
      </x:c>
      <x:c r="G180" s="42" t="n">
        <x:f>$B$11</x:f>
        <x:v>100.53096491487338</x:v>
      </x:c>
      <x:c r="I180" t="n">
        <x:f>A180</x:f>
        <x:v>163</x:v>
      </x:c>
      <x:c r="J180" t="n">
        <x:f>F180</x:f>
        <x:v>103.65644171779141</x:v>
      </x:c>
      <x:c r="K180" t="n">
        <x:f>G180</x:f>
        <x:v>100.53096491487338</x:v>
      </x:c>
    </x:row>
    <x:row r="181">
      <x:c r="A181" t="n">
        <x:v>164</x:v>
      </x:c>
      <x:c r="B181" s="40" t="n">
        <x:v>-1.8503497752952809</x:v>
      </x:c>
      <x:c r="C181" s="40" t="n">
        <x:v>-0.44938420804616097</x:v>
      </x:c>
      <x:c r="D181" s="40" t="n">
        <x:v>-0.829121328300638</x:v>
      </x:c>
      <x:c r="E181" t="n">
        <x:f>--((B181^2/$B$4^2+C181^2/$B$5^2+D181^2/$B$6^2)&lt;=1)</x:f>
        <x:v>1</x:v>
      </x:c>
      <x:c r="F181" s="42" t="n">
        <x:f>$B$8*SUM($E$18:E181)/A181</x:f>
        <x:v>104.1951219512195</x:v>
      </x:c>
      <x:c r="G181" s="42" t="n">
        <x:f>$B$11</x:f>
        <x:v>100.53096491487338</x:v>
      </x:c>
      <x:c r="I181" t="n">
        <x:f>A181</x:f>
        <x:v>164</x:v>
      </x:c>
      <x:c r="J181" t="n">
        <x:f>F181</x:f>
        <x:v>104.1951219512195</x:v>
      </x:c>
      <x:c r="K181" t="n">
        <x:f>G181</x:f>
        <x:v>100.53096491487338</x:v>
      </x:c>
    </x:row>
    <x:row r="182">
      <x:c r="A182" t="n">
        <x:v>165</x:v>
      </x:c>
      <x:c r="B182" s="40" t="n">
        <x:v>0.21940987756593344</x:v>
      </x:c>
      <x:c r="C182" s="40" t="n">
        <x:v>2.2764704009261107</x:v>
      </x:c>
      <x:c r="D182" s="40" t="n">
        <x:v>1.1100444461474988</x:v>
      </x:c>
      <x:c r="E182" t="n">
        <x:f>--((B182^2/$B$4^2+C182^2/$B$5^2+D182^2/$B$6^2)&lt;=1)</x:f>
        <x:v>1</x:v>
      </x:c>
      <x:c r="F182" s="42" t="n">
        <x:f>$B$8*SUM($E$18:E182)/A182</x:f>
        <x:v>104.72727272727273</x:v>
      </x:c>
      <x:c r="G182" s="42" t="n">
        <x:f>$B$11</x:f>
        <x:v>100.53096491487338</x:v>
      </x:c>
      <x:c r="I182" t="n">
        <x:f>A182</x:f>
        <x:v>165</x:v>
      </x:c>
      <x:c r="J182" t="n">
        <x:f>F182</x:f>
        <x:v>104.72727272727273</x:v>
      </x:c>
      <x:c r="K182" t="n">
        <x:f>G182</x:f>
        <x:v>100.53096491487338</x:v>
      </x:c>
    </x:row>
    <x:row r="183">
      <x:c r="A183" t="n">
        <x:v>166</x:v>
      </x:c>
      <x:c r="B183" s="40" t="n">
        <x:v>-0.516310864550245</x:v>
      </x:c>
      <x:c r="C183" s="40" t="n">
        <x:v>-1.3779541768341657</x:v>
      </x:c>
      <x:c r="D183" s="40" t="n">
        <x:v>-2.0089621748169684</x:v>
      </x:c>
      <x:c r="E183" t="n">
        <x:f>--((B183^2/$B$4^2+C183^2/$B$5^2+D183^2/$B$6^2)&lt;=1)</x:f>
        <x:v>1</x:v>
      </x:c>
      <x:c r="F183" s="42" t="n">
        <x:f>$B$8*SUM($E$18:E183)/A183</x:f>
        <x:v>105.25301204819277</x:v>
      </x:c>
      <x:c r="G183" s="42" t="n">
        <x:f>$B$11</x:f>
        <x:v>100.53096491487338</x:v>
      </x:c>
      <x:c r="I183" t="n">
        <x:f>A183</x:f>
        <x:v>166</x:v>
      </x:c>
      <x:c r="J183" t="n">
        <x:f>F183</x:f>
        <x:v>105.25301204819277</x:v>
      </x:c>
      <x:c r="K183" t="n">
        <x:f>G183</x:f>
        <x:v>100.53096491487338</x:v>
      </x:c>
    </x:row>
    <x:row r="184">
      <x:c r="A184" t="n">
        <x:v>167</x:v>
      </x:c>
      <x:c r="B184" s="40" t="n">
        <x:v>1.3191589725296526</x:v>
      </x:c>
      <x:c r="C184" s="40" t="n">
        <x:v>2.3624587722976322</x:v>
      </x:c>
      <x:c r="D184" s="40" t="n">
        <x:v>-3.84475079604786</x:v>
      </x:c>
      <x:c r="E184" t="n">
        <x:f>--((B184^2/$B$4^2+C184^2/$B$5^2+D184^2/$B$6^2)&lt;=1)</x:f>
        <x:v>0</x:v>
      </x:c>
      <x:c r="F184" s="42" t="n">
        <x:f>$B$8*SUM($E$18:E184)/A184</x:f>
        <x:v>104.62275449101796</x:v>
      </x:c>
      <x:c r="G184" s="42" t="n">
        <x:f>$B$11</x:f>
        <x:v>100.53096491487338</x:v>
      </x:c>
      <x:c r="I184" t="n">
        <x:f>A184</x:f>
        <x:v>167</x:v>
      </x:c>
      <x:c r="J184" t="n">
        <x:f>F184</x:f>
        <x:v>104.62275449101796</x:v>
      </x:c>
      <x:c r="K184" t="n">
        <x:f>G184</x:f>
        <x:v>100.53096491487338</x:v>
      </x:c>
    </x:row>
    <x:row r="185">
      <x:c r="A185" t="n">
        <x:v>168</x:v>
      </x:c>
      <x:c r="B185" s="40" t="n">
        <x:v>1.2330058882572072</x:v>
      </x:c>
      <x:c r="C185" s="40" t="n">
        <x:v>-0.44417421112290434</x:v>
      </x:c>
      <x:c r="D185" s="40" t="n">
        <x:v>-0.7667637150937914</x:v>
      </x:c>
      <x:c r="E185" t="n">
        <x:f>--((B185^2/$B$4^2+C185^2/$B$5^2+D185^2/$B$6^2)&lt;=1)</x:f>
        <x:v>1</x:v>
      </x:c>
      <x:c r="F185" s="42" t="n">
        <x:f>$B$8*SUM($E$18:E185)/A185</x:f>
        <x:v>105.14285714285714</x:v>
      </x:c>
      <x:c r="G185" s="42" t="n">
        <x:f>$B$11</x:f>
        <x:v>100.53096491487338</x:v>
      </x:c>
      <x:c r="I185" t="n">
        <x:f>A185</x:f>
        <x:v>168</x:v>
      </x:c>
      <x:c r="J185" t="n">
        <x:f>F185</x:f>
        <x:v>105.14285714285714</x:v>
      </x:c>
      <x:c r="K185" t="n">
        <x:f>G185</x:f>
        <x:v>100.53096491487338</x:v>
      </x:c>
    </x:row>
    <x:row r="186">
      <x:c r="A186" t="n">
        <x:v>169</x:v>
      </x:c>
      <x:c r="B186" s="40" t="n">
        <x:v>-0.7314444287091386</x:v>
      </x:c>
      <x:c r="C186" s="40" t="n">
        <x:v>-1.033153675836084</x:v>
      </x:c>
      <x:c r="D186" s="40" t="n">
        <x:v>0.2918919164663212</x:v>
      </x:c>
      <x:c r="E186" t="n">
        <x:f>--((B186^2/$B$4^2+C186^2/$B$5^2+D186^2/$B$6^2)&lt;=1)</x:f>
        <x:v>1</x:v>
      </x:c>
      <x:c r="F186" s="42" t="n">
        <x:f>$B$8*SUM($E$18:E186)/A186</x:f>
        <x:v>105.65680473372781</x:v>
      </x:c>
      <x:c r="G186" s="42" t="n">
        <x:f>$B$11</x:f>
        <x:v>100.53096491487338</x:v>
      </x:c>
      <x:c r="I186" t="n">
        <x:f>A186</x:f>
        <x:v>169</x:v>
      </x:c>
      <x:c r="J186" t="n">
        <x:f>F186</x:f>
        <x:v>105.65680473372781</x:v>
      </x:c>
      <x:c r="K186" t="n">
        <x:f>G186</x:f>
        <x:v>100.53096491487338</x:v>
      </x:c>
    </x:row>
    <x:row r="187">
      <x:c r="A187" t="n">
        <x:v>170</x:v>
      </x:c>
      <x:c r="B187" s="40" t="n">
        <x:v>1.8115975802789799</x:v>
      </x:c>
      <x:c r="C187" s="40" t="n">
        <x:v>0.01507229601087623</x:v>
      </x:c>
      <x:c r="D187" s="40" t="n">
        <x:v>-0.3236227899059978</x:v>
      </x:c>
      <x:c r="E187" t="n">
        <x:f>--((B187^2/$B$4^2+C187^2/$B$5^2+D187^2/$B$6^2)&lt;=1)</x:f>
        <x:v>1</x:v>
      </x:c>
      <x:c r="F187" s="42" t="n">
        <x:f>$B$8*SUM($E$18:E187)/A187</x:f>
        <x:v>106.16470588235295</x:v>
      </x:c>
      <x:c r="G187" s="42" t="n">
        <x:f>$B$11</x:f>
        <x:v>100.53096491487338</x:v>
      </x:c>
      <x:c r="I187" t="n">
        <x:f>A187</x:f>
        <x:v>170</x:v>
      </x:c>
      <x:c r="J187" t="n">
        <x:f>F187</x:f>
        <x:v>106.16470588235295</x:v>
      </x:c>
      <x:c r="K187" t="n">
        <x:f>G187</x:f>
        <x:v>100.53096491487338</x:v>
      </x:c>
    </x:row>
    <x:row r="188">
      <x:c r="A188" t="n">
        <x:v>171</x:v>
      </x:c>
      <x:c r="B188" s="40" t="n">
        <x:v>-0.8363286474395255</x:v>
      </x:c>
      <x:c r="C188" s="40" t="n">
        <x:v>-0.49354028182296217</x:v>
      </x:c>
      <x:c r="D188" s="40" t="n">
        <x:v>3.6961149105508797</x:v>
      </x:c>
      <x:c r="E188" t="n">
        <x:f>--((B188^2/$B$4^2+C188^2/$B$5^2+D188^2/$B$6^2)&lt;=1)</x:f>
        <x:v>0</x:v>
      </x:c>
      <x:c r="F188" s="42" t="n">
        <x:f>$B$8*SUM($E$18:E188)/A188</x:f>
        <x:v>105.54385964912281</x:v>
      </x:c>
      <x:c r="G188" s="42" t="n">
        <x:f>$B$11</x:f>
        <x:v>100.53096491487338</x:v>
      </x:c>
      <x:c r="I188" t="n">
        <x:f>A188</x:f>
        <x:v>171</x:v>
      </x:c>
      <x:c r="J188" t="n">
        <x:f>F188</x:f>
        <x:v>105.54385964912281</x:v>
      </x:c>
      <x:c r="K188" t="n">
        <x:f>G188</x:f>
        <x:v>100.53096491487338</x:v>
      </x:c>
    </x:row>
    <x:row r="189">
      <x:c r="A189" t="n">
        <x:v>172</x:v>
      </x:c>
      <x:c r="B189" s="40" t="n">
        <x:v>0.060228516926858156</x:v>
      </x:c>
      <x:c r="C189" s="40" t="n">
        <x:v>-1.4557661216691236</x:v>
      </x:c>
      <x:c r="D189" s="40" t="n">
        <x:v>1.6547133907682268</x:v>
      </x:c>
      <x:c r="E189" t="n">
        <x:f>--((B189^2/$B$4^2+C189^2/$B$5^2+D189^2/$B$6^2)&lt;=1)</x:f>
        <x:v>1</x:v>
      </x:c>
      <x:c r="F189" s="42" t="n">
        <x:f>$B$8*SUM($E$18:E189)/A189</x:f>
        <x:v>106.04651162790698</x:v>
      </x:c>
      <x:c r="G189" s="42" t="n">
        <x:f>$B$11</x:f>
        <x:v>100.53096491487338</x:v>
      </x:c>
      <x:c r="I189" t="n">
        <x:f>A189</x:f>
        <x:v>172</x:v>
      </x:c>
      <x:c r="J189" t="n">
        <x:f>F189</x:f>
        <x:v>106.04651162790698</x:v>
      </x:c>
      <x:c r="K189" t="n">
        <x:f>G189</x:f>
        <x:v>100.53096491487338</x:v>
      </x:c>
    </x:row>
    <x:row r="190">
      <x:c r="A190" t="n">
        <x:v>173</x:v>
      </x:c>
      <x:c r="B190" s="40" t="n">
        <x:v>-0.976139637729589</x:v>
      </x:c>
      <x:c r="C190" s="40" t="n">
        <x:v>0.016075948776401283</x:v>
      </x:c>
      <x:c r="D190" s="40" t="n">
        <x:v>3.965358405003162</x:v>
      </x:c>
      <x:c r="E190" t="n">
        <x:f>--((B190^2/$B$4^2+C190^2/$B$5^2+D190^2/$B$6^2)&lt;=1)</x:f>
        <x:v>0</x:v>
      </x:c>
      <x:c r="F190" s="42" t="n">
        <x:f>$B$8*SUM($E$18:E190)/A190</x:f>
        <x:v>105.43352601156069</x:v>
      </x:c>
      <x:c r="G190" s="42" t="n">
        <x:f>$B$11</x:f>
        <x:v>100.53096491487338</x:v>
      </x:c>
      <x:c r="I190" t="n">
        <x:f>A190</x:f>
        <x:v>173</x:v>
      </x:c>
      <x:c r="J190" t="n">
        <x:f>F190</x:f>
        <x:v>105.43352601156069</x:v>
      </x:c>
      <x:c r="K190" t="n">
        <x:f>G190</x:f>
        <x:v>100.53096491487338</x:v>
      </x:c>
    </x:row>
    <x:row r="191">
      <x:c r="A191" t="n">
        <x:v>174</x:v>
      </x:c>
      <x:c r="B191" s="40" t="n">
        <x:v>1.7441742801958533</x:v>
      </x:c>
      <x:c r="C191" s="40" t="n">
        <x:v>-2.0891896015270124</x:v>
      </x:c>
      <x:c r="D191" s="40" t="n">
        <x:v>-1.6395192774882243</x:v>
      </x:c>
      <x:c r="E191" t="n">
        <x:f>--((B191^2/$B$4^2+C191^2/$B$5^2+D191^2/$B$6^2)&lt;=1)</x:f>
        <x:v>0</x:v>
      </x:c>
      <x:c r="F191" s="42" t="n">
        <x:f>$B$8*SUM($E$18:E191)/A191</x:f>
        <x:v>104.82758620689656</x:v>
      </x:c>
      <x:c r="G191" s="42" t="n">
        <x:f>$B$11</x:f>
        <x:v>100.53096491487338</x:v>
      </x:c>
      <x:c r="I191" t="n">
        <x:f>A191</x:f>
        <x:v>174</x:v>
      </x:c>
      <x:c r="J191" t="n">
        <x:f>F191</x:f>
        <x:v>104.82758620689656</x:v>
      </x:c>
      <x:c r="K191" t="n">
        <x:f>G191</x:f>
        <x:v>100.53096491487338</x:v>
      </x:c>
    </x:row>
    <x:row r="192">
      <x:c r="A192" t="n">
        <x:v>175</x:v>
      </x:c>
      <x:c r="B192" s="40" t="n">
        <x:v>-1.3415687296719274</x:v>
      </x:c>
      <x:c r="C192" s="40" t="n">
        <x:v>-0.8884203418622034</x:v>
      </x:c>
      <x:c r="D192" s="40" t="n">
        <x:v>2.3124262368571724</x:v>
      </x:c>
      <x:c r="E192" t="n">
        <x:f>--((B192^2/$B$4^2+C192^2/$B$5^2+D192^2/$B$6^2)&lt;=1)</x:f>
        <x:v>1</x:v>
      </x:c>
      <x:c r="F192" s="42" t="n">
        <x:f>$B$8*SUM($E$18:E192)/A192</x:f>
        <x:v>105.32571428571428</x:v>
      </x:c>
      <x:c r="G192" s="42" t="n">
        <x:f>$B$11</x:f>
        <x:v>100.53096491487338</x:v>
      </x:c>
      <x:c r="I192" t="n">
        <x:f>A192</x:f>
        <x:v>175</x:v>
      </x:c>
      <x:c r="J192" t="n">
        <x:f>F192</x:f>
        <x:v>105.32571428571428</x:v>
      </x:c>
      <x:c r="K192" t="n">
        <x:f>G192</x:f>
        <x:v>100.53096491487338</x:v>
      </x:c>
    </x:row>
    <x:row r="193">
      <x:c r="A193" t="n">
        <x:v>176</x:v>
      </x:c>
      <x:c r="B193" s="40" t="n">
        <x:v>-1.820357522430684</x:v>
      </x:c>
      <x:c r="C193" s="40" t="n">
        <x:v>0.3947413162445432</x:v>
      </x:c>
      <x:c r="D193" s="40" t="n">
        <x:v>0.4444677403729109</x:v>
      </x:c>
      <x:c r="E193" t="n">
        <x:f>--((B193^2/$B$4^2+C193^2/$B$5^2+D193^2/$B$6^2)&lt;=1)</x:f>
        <x:v>1</x:v>
      </x:c>
      <x:c r="F193" s="42" t="n">
        <x:f>$B$8*SUM($E$18:E193)/A193</x:f>
        <x:v>105.81818181818181</x:v>
      </x:c>
      <x:c r="G193" s="42" t="n">
        <x:f>$B$11</x:f>
        <x:v>100.53096491487338</x:v>
      </x:c>
      <x:c r="I193" t="n">
        <x:f>A193</x:f>
        <x:v>176</x:v>
      </x:c>
      <x:c r="J193" t="n">
        <x:f>F193</x:f>
        <x:v>105.81818181818181</x:v>
      </x:c>
      <x:c r="K193" t="n">
        <x:f>G193</x:f>
        <x:v>100.53096491487338</x:v>
      </x:c>
    </x:row>
    <x:row r="194">
      <x:c r="A194" t="n">
        <x:v>177</x:v>
      </x:c>
      <x:c r="B194" s="40" t="n">
        <x:v>-0.25961175998784825</x:v>
      </x:c>
      <x:c r="C194" s="40" t="n">
        <x:v>-0.5195505336608486</x:v>
      </x:c>
      <x:c r="D194" s="40" t="n">
        <x:v>0.8940828355879953</x:v>
      </x:c>
      <x:c r="E194" t="n">
        <x:f>--((B194^2/$B$4^2+C194^2/$B$5^2+D194^2/$B$6^2)&lt;=1)</x:f>
        <x:v>1</x:v>
      </x:c>
      <x:c r="F194" s="42" t="n">
        <x:f>$B$8*SUM($E$18:E194)/A194</x:f>
        <x:v>106.30508474576271</x:v>
      </x:c>
      <x:c r="G194" s="42" t="n">
        <x:f>$B$11</x:f>
        <x:v>100.53096491487338</x:v>
      </x:c>
      <x:c r="I194" t="n">
        <x:f>A194</x:f>
        <x:v>177</x:v>
      </x:c>
      <x:c r="J194" t="n">
        <x:f>F194</x:f>
        <x:v>106.30508474576271</x:v>
      </x:c>
      <x:c r="K194" t="n">
        <x:f>G194</x:f>
        <x:v>100.53096491487338</x:v>
      </x:c>
    </x:row>
    <x:row r="195">
      <x:c r="A195" t="n">
        <x:v>178</x:v>
      </x:c>
      <x:c r="B195" s="40" t="n">
        <x:v>1.9695022562233482</x:v>
      </x:c>
      <x:c r="C195" s="40" t="n">
        <x:v>1.943474166304779</x:v>
      </x:c>
      <x:c r="D195" s="40" t="n">
        <x:v>3.8868256035386217</x:v>
      </x:c>
      <x:c r="E195" t="n">
        <x:f>--((B195^2/$B$4^2+C195^2/$B$5^2+D195^2/$B$6^2)&lt;=1)</x:f>
        <x:v>0</x:v>
      </x:c>
      <x:c r="F195" s="42" t="n">
        <x:f>$B$8*SUM($E$18:E195)/A195</x:f>
        <x:v>105.70786516853933</x:v>
      </x:c>
      <x:c r="G195" s="42" t="n">
        <x:f>$B$11</x:f>
        <x:v>100.53096491487338</x:v>
      </x:c>
      <x:c r="I195" t="n">
        <x:f>A195</x:f>
        <x:v>178</x:v>
      </x:c>
      <x:c r="J195" t="n">
        <x:f>F195</x:f>
        <x:v>105.70786516853933</x:v>
      </x:c>
      <x:c r="K195" t="n">
        <x:f>G195</x:f>
        <x:v>100.53096491487338</x:v>
      </x:c>
    </x:row>
    <x:row r="196">
      <x:c r="A196" t="n">
        <x:v>179</x:v>
      </x:c>
      <x:c r="B196" s="40" t="n">
        <x:v>1.5667090650196558</x:v>
      </x:c>
      <x:c r="C196" s="40" t="n">
        <x:v>-1.4596694307890026</x:v>
      </x:c>
      <x:c r="D196" s="40" t="n">
        <x:v>1.2318975980089357</x:v>
      </x:c>
      <x:c r="E196" t="n">
        <x:f>--((B196^2/$B$4^2+C196^2/$B$5^2+D196^2/$B$6^2)&lt;=1)</x:f>
        <x:v>1</x:v>
      </x:c>
      <x:c r="F196" s="42" t="n">
        <x:f>$B$8*SUM($E$18:E196)/A196</x:f>
        <x:v>106.18994413407822</x:v>
      </x:c>
      <x:c r="G196" s="42" t="n">
        <x:f>$B$11</x:f>
        <x:v>100.53096491487338</x:v>
      </x:c>
      <x:c r="I196" t="n">
        <x:f>A196</x:f>
        <x:v>179</x:v>
      </x:c>
      <x:c r="J196" t="n">
        <x:f>F196</x:f>
        <x:v>106.18994413407822</x:v>
      </x:c>
      <x:c r="K196" t="n">
        <x:f>G196</x:f>
        <x:v>100.53096491487338</x:v>
      </x:c>
    </x:row>
    <x:row r="197">
      <x:c r="A197" t="n">
        <x:v>180</x:v>
      </x:c>
      <x:c r="B197" s="40" t="n">
        <x:v>0.9944320778277969</x:v>
      </x:c>
      <x:c r="C197" s="40" t="n">
        <x:v>2.8186294729860606</x:v>
      </x:c>
      <x:c r="D197" s="40" t="n">
        <x:v>3.190535138695343</x:v>
      </x:c>
      <x:c r="E197" t="n">
        <x:f>--((B197^2/$B$4^2+C197^2/$B$5^2+D197^2/$B$6^2)&lt;=1)</x:f>
        <x:v>0</x:v>
      </x:c>
      <x:c r="F197" s="42" t="n">
        <x:f>$B$8*SUM($E$18:E197)/A197</x:f>
        <x:v>105.6</x:v>
      </x:c>
      <x:c r="G197" s="42" t="n">
        <x:f>$B$11</x:f>
        <x:v>100.53096491487338</x:v>
      </x:c>
      <x:c r="I197" t="n">
        <x:f>A197</x:f>
        <x:v>180</x:v>
      </x:c>
      <x:c r="J197" t="n">
        <x:f>F197</x:f>
        <x:v>105.6</x:v>
      </x:c>
      <x:c r="K197" t="n">
        <x:f>G197</x:f>
        <x:v>100.53096491487338</x:v>
      </x:c>
    </x:row>
    <x:row r="198">
      <x:c r="A198" t="n">
        <x:v>181</x:v>
      </x:c>
      <x:c r="B198" s="40" t="n">
        <x:v>1.5631699635140994</x:v>
      </x:c>
      <x:c r="C198" s="40" t="n">
        <x:v>1.7083321251081083</x:v>
      </x:c>
      <x:c r="D198" s="40" t="n">
        <x:v>1.8060018777539764</x:v>
      </x:c>
      <x:c r="E198" t="n">
        <x:f>--((B198^2/$B$4^2+C198^2/$B$5^2+D198^2/$B$6^2)&lt;=1)</x:f>
        <x:v>0</x:v>
      </x:c>
      <x:c r="F198" s="42" t="n">
        <x:f>$B$8*SUM($E$18:E198)/A198</x:f>
        <x:v>105.01657458563535</x:v>
      </x:c>
      <x:c r="G198" s="42" t="n">
        <x:f>$B$11</x:f>
        <x:v>100.53096491487338</x:v>
      </x:c>
      <x:c r="I198" t="n">
        <x:f>A198</x:f>
        <x:v>181</x:v>
      </x:c>
      <x:c r="J198" t="n">
        <x:f>F198</x:f>
        <x:v>105.01657458563535</x:v>
      </x:c>
      <x:c r="K198" t="n">
        <x:f>G198</x:f>
        <x:v>100.53096491487338</x:v>
      </x:c>
    </x:row>
    <x:row r="199">
      <x:c r="A199" t="n">
        <x:v>182</x:v>
      </x:c>
      <x:c r="B199" s="40" t="n">
        <x:v>1.5737865587914528</x:v>
      </x:c>
      <x:c r="C199" s="40" t="n">
        <x:v>2.8055581559848335</x:v>
      </x:c>
      <x:c r="D199" s="40" t="n">
        <x:v>-2.9809110262019995</x:v>
      </x:c>
      <x:c r="E199" t="n">
        <x:f>--((B199^2/$B$4^2+C199^2/$B$5^2+D199^2/$B$6^2)&lt;=1)</x:f>
        <x:v>0</x:v>
      </x:c>
      <x:c r="F199" s="42" t="n">
        <x:f>$B$8*SUM($E$18:E199)/A199</x:f>
        <x:v>104.43956043956044</x:v>
      </x:c>
      <x:c r="G199" s="42" t="n">
        <x:f>$B$11</x:f>
        <x:v>100.53096491487338</x:v>
      </x:c>
      <x:c r="I199" t="n">
        <x:f>A199</x:f>
        <x:v>182</x:v>
      </x:c>
      <x:c r="J199" t="n">
        <x:f>F199</x:f>
        <x:v>104.43956043956044</x:v>
      </x:c>
      <x:c r="K199" t="n">
        <x:f>G199</x:f>
        <x:v>100.53096491487338</x:v>
      </x:c>
    </x:row>
    <x:row r="200">
      <x:c r="A200" t="n">
        <x:v>183</x:v>
      </x:c>
      <x:c r="B200" s="40" t="n">
        <x:v>0.07543344154579623</x:v>
      </x:c>
      <x:c r="C200" s="40" t="n">
        <x:v>2.0288193289818253</x:v>
      </x:c>
      <x:c r="D200" s="40" t="n">
        <x:v>1.5953896825785003</x:v>
      </x:c>
      <x:c r="E200" t="n">
        <x:f>--((B200^2/$B$4^2+C200^2/$B$5^2+D200^2/$B$6^2)&lt;=1)</x:f>
        <x:v>1</x:v>
      </x:c>
      <x:c r="F200" s="42" t="n">
        <x:f>$B$8*SUM($E$18:E200)/A200</x:f>
        <x:v>104.91803278688525</x:v>
      </x:c>
      <x:c r="G200" s="42" t="n">
        <x:f>$B$11</x:f>
        <x:v>100.53096491487338</x:v>
      </x:c>
      <x:c r="I200" t="n">
        <x:f>A200</x:f>
        <x:v>183</x:v>
      </x:c>
      <x:c r="J200" t="n">
        <x:f>F200</x:f>
        <x:v>104.91803278688525</x:v>
      </x:c>
      <x:c r="K200" t="n">
        <x:f>G200</x:f>
        <x:v>100.53096491487338</x:v>
      </x:c>
    </x:row>
    <x:row r="201">
      <x:c r="A201" t="n">
        <x:v>184</x:v>
      </x:c>
      <x:c r="B201" s="40" t="n">
        <x:v>-0.736283792676828</x:v>
      </x:c>
      <x:c r="C201" s="40" t="n">
        <x:v>-2.147376444890144</x:v>
      </x:c>
      <x:c r="D201" s="40" t="n">
        <x:v>-0.12547529051614426</x:v>
      </x:c>
      <x:c r="E201" t="n">
        <x:f>--((B201^2/$B$4^2+C201^2/$B$5^2+D201^2/$B$6^2)&lt;=1)</x:f>
        <x:v>1</x:v>
      </x:c>
      <x:c r="F201" s="42" t="n">
        <x:f>$B$8*SUM($E$18:E201)/A201</x:f>
        <x:v>105.3913043478261</x:v>
      </x:c>
      <x:c r="G201" s="42" t="n">
        <x:f>$B$11</x:f>
        <x:v>100.53096491487338</x:v>
      </x:c>
      <x:c r="I201" t="n">
        <x:f>A201</x:f>
        <x:v>184</x:v>
      </x:c>
      <x:c r="J201" t="n">
        <x:f>F201</x:f>
        <x:v>105.3913043478261</x:v>
      </x:c>
      <x:c r="K201" t="n">
        <x:f>G201</x:f>
        <x:v>100.53096491487338</x:v>
      </x:c>
    </x:row>
    <x:row r="202">
      <x:c r="A202" t="n">
        <x:v>185</x:v>
      </x:c>
      <x:c r="B202" s="40" t="n">
        <x:v>1.088049728443952</x:v>
      </x:c>
      <x:c r="C202" s="40" t="n">
        <x:v>0.1587605438100823</x:v>
      </x:c>
      <x:c r="D202" s="40" t="n">
        <x:v>3.3503839438587395</x:v>
      </x:c>
      <x:c r="E202" t="n">
        <x:f>--((B202^2/$B$4^2+C202^2/$B$5^2+D202^2/$B$6^2)&lt;=1)</x:f>
        <x:v>0</x:v>
      </x:c>
      <x:c r="F202" s="42" t="n">
        <x:f>$B$8*SUM($E$18:E202)/A202</x:f>
        <x:v>104.82162162162162</x:v>
      </x:c>
      <x:c r="G202" s="42" t="n">
        <x:f>$B$11</x:f>
        <x:v>100.53096491487338</x:v>
      </x:c>
      <x:c r="I202" t="n">
        <x:f>A202</x:f>
        <x:v>185</x:v>
      </x:c>
      <x:c r="J202" t="n">
        <x:f>F202</x:f>
        <x:v>104.82162162162162</x:v>
      </x:c>
      <x:c r="K202" t="n">
        <x:f>G202</x:f>
        <x:v>100.53096491487338</x:v>
      </x:c>
    </x:row>
    <x:row r="203">
      <x:c r="A203" t="n">
        <x:v>186</x:v>
      </x:c>
      <x:c r="B203" s="40" t="n">
        <x:v>0.6466450526710443</x:v>
      </x:c>
      <x:c r="C203" s="40" t="n">
        <x:v>-1.9801288728252857</x:v>
      </x:c>
      <x:c r="D203" s="40" t="n">
        <x:v>2.4546755775236413</x:v>
      </x:c>
      <x:c r="E203" t="n">
        <x:f>--((B203^2/$B$4^2+C203^2/$B$5^2+D203^2/$B$6^2)&lt;=1)</x:f>
        <x:v>1</x:v>
      </x:c>
      <x:c r="F203" s="42" t="n">
        <x:f>$B$8*SUM($E$18:E203)/A203</x:f>
        <x:v>105.29032258064517</x:v>
      </x:c>
      <x:c r="G203" s="42" t="n">
        <x:f>$B$11</x:f>
        <x:v>100.53096491487338</x:v>
      </x:c>
      <x:c r="I203" t="n">
        <x:f>A203</x:f>
        <x:v>186</x:v>
      </x:c>
      <x:c r="J203" t="n">
        <x:f>F203</x:f>
        <x:v>105.29032258064517</x:v>
      </x:c>
      <x:c r="K203" t="n">
        <x:f>G203</x:f>
        <x:v>100.53096491487338</x:v>
      </x:c>
    </x:row>
    <x:row r="204">
      <x:c r="A204" t="n">
        <x:v>187</x:v>
      </x:c>
      <x:c r="B204" s="40" t="n">
        <x:v>-0.5053690845051597</x:v>
      </x:c>
      <x:c r="C204" s="40" t="n">
        <x:v>1.9093641157635437</x:v>
      </x:c>
      <x:c r="D204" s="40" t="n">
        <x:v>-3.1669224991421983</x:v>
      </x:c>
      <x:c r="E204" t="n">
        <x:f>--((B204^2/$B$4^2+C204^2/$B$5^2+D204^2/$B$6^2)&lt;=1)</x:f>
        <x:v>0</x:v>
      </x:c>
      <x:c r="F204" s="42" t="n">
        <x:f>$B$8*SUM($E$18:E204)/A204</x:f>
        <x:v>104.72727272727273</x:v>
      </x:c>
      <x:c r="G204" s="42" t="n">
        <x:f>$B$11</x:f>
        <x:v>100.53096491487338</x:v>
      </x:c>
      <x:c r="I204" t="n">
        <x:f>A204</x:f>
        <x:v>187</x:v>
      </x:c>
      <x:c r="J204" t="n">
        <x:f>F204</x:f>
        <x:v>104.72727272727273</x:v>
      </x:c>
      <x:c r="K204" t="n">
        <x:f>G204</x:f>
        <x:v>100.53096491487338</x:v>
      </x:c>
    </x:row>
    <x:row r="205">
      <x:c r="A205" t="n">
        <x:v>188</x:v>
      </x:c>
      <x:c r="B205" s="40" t="n">
        <x:v>-1.622133327753939</x:v>
      </x:c>
      <x:c r="C205" s="40" t="n">
        <x:v>0.5049728950997752</x:v>
      </x:c>
      <x:c r="D205" s="40" t="n">
        <x:v>-2.9286748507715323</x:v>
      </x:c>
      <x:c r="E205" t="n">
        <x:f>--((B205^2/$B$4^2+C205^2/$B$5^2+D205^2/$B$6^2)&lt;=1)</x:f>
        <x:v>0</x:v>
      </x:c>
      <x:c r="F205" s="42" t="n">
        <x:f>$B$8*SUM($E$18:E205)/A205</x:f>
        <x:v>104.17021276595744</x:v>
      </x:c>
      <x:c r="G205" s="42" t="n">
        <x:f>$B$11</x:f>
        <x:v>100.53096491487338</x:v>
      </x:c>
      <x:c r="I205" t="n">
        <x:f>A205</x:f>
        <x:v>188</x:v>
      </x:c>
      <x:c r="J205" t="n">
        <x:f>F205</x:f>
        <x:v>104.17021276595744</x:v>
      </x:c>
      <x:c r="K205" t="n">
        <x:f>G205</x:f>
        <x:v>100.53096491487338</x:v>
      </x:c>
    </x:row>
    <x:row r="206">
      <x:c r="A206" t="n">
        <x:v>189</x:v>
      </x:c>
      <x:c r="B206" s="40" t="n">
        <x:v>0.987158445396104</x:v>
      </x:c>
      <x:c r="C206" s="40" t="n">
        <x:v>-1.4193041138585654</x:v>
      </x:c>
      <x:c r="D206" s="40" t="n">
        <x:v>-3.4431119856111554</x:v>
      </x:c>
      <x:c r="E206" t="n">
        <x:f>--((B206^2/$B$4^2+C206^2/$B$5^2+D206^2/$B$6^2)&lt;=1)</x:f>
        <x:v>0</x:v>
      </x:c>
      <x:c r="F206" s="42" t="n">
        <x:f>$B$8*SUM($E$18:E206)/A206</x:f>
        <x:v>103.61904761904762</x:v>
      </x:c>
      <x:c r="G206" s="42" t="n">
        <x:f>$B$11</x:f>
        <x:v>100.53096491487338</x:v>
      </x:c>
      <x:c r="I206" t="n">
        <x:f>A206</x:f>
        <x:v>189</x:v>
      </x:c>
      <x:c r="J206" t="n">
        <x:f>F206</x:f>
        <x:v>103.61904761904762</x:v>
      </x:c>
      <x:c r="K206" t="n">
        <x:f>G206</x:f>
        <x:v>100.53096491487338</x:v>
      </x:c>
    </x:row>
    <x:row r="207">
      <x:c r="A207" t="n">
        <x:v>190</x:v>
      </x:c>
      <x:c r="B207" s="40" t="n">
        <x:v>-0.9501579363085413</x:v>
      </x:c>
      <x:c r="C207" s="40" t="n">
        <x:v>2.5775938320430285</x:v>
      </x:c>
      <x:c r="D207" s="40" t="n">
        <x:v>-0.054041002043060615</x:v>
      </x:c>
      <x:c r="E207" t="n">
        <x:f>--((B207^2/$B$4^2+C207^2/$B$5^2+D207^2/$B$6^2)&lt;=1)</x:f>
        <x:v>1</x:v>
      </x:c>
      <x:c r="F207" s="42" t="n">
        <x:f>$B$8*SUM($E$18:E207)/A207</x:f>
        <x:v>104.08421052631579</x:v>
      </x:c>
      <x:c r="G207" s="42" t="n">
        <x:f>$B$11</x:f>
        <x:v>100.53096491487338</x:v>
      </x:c>
      <x:c r="I207" t="n">
        <x:f>A207</x:f>
        <x:v>190</x:v>
      </x:c>
      <x:c r="J207" t="n">
        <x:f>F207</x:f>
        <x:v>104.08421052631579</x:v>
      </x:c>
      <x:c r="K207" t="n">
        <x:f>G207</x:f>
        <x:v>100.53096491487338</x:v>
      </x:c>
    </x:row>
    <x:row r="208">
      <x:c r="A208" t="n">
        <x:v>191</x:v>
      </x:c>
      <x:c r="B208" s="40" t="n">
        <x:v>1.747252602135117</x:v>
      </x:c>
      <x:c r="C208" s="40" t="n">
        <x:v>-2.3088836801144357</x:v>
      </x:c>
      <x:c r="D208" s="40" t="n">
        <x:v>-3.353825926341176</x:v>
      </x:c>
      <x:c r="E208" t="n">
        <x:f>--((B208^2/$B$4^2+C208^2/$B$5^2+D208^2/$B$6^2)&lt;=1)</x:f>
        <x:v>0</x:v>
      </x:c>
      <x:c r="F208" s="42" t="n">
        <x:f>$B$8*SUM($E$18:E208)/A208</x:f>
        <x:v>103.53926701570681</x:v>
      </x:c>
      <x:c r="G208" s="42" t="n">
        <x:f>$B$11</x:f>
        <x:v>100.53096491487338</x:v>
      </x:c>
      <x:c r="I208" t="n">
        <x:f>A208</x:f>
        <x:v>191</x:v>
      </x:c>
      <x:c r="J208" t="n">
        <x:f>F208</x:f>
        <x:v>103.53926701570681</x:v>
      </x:c>
      <x:c r="K208" t="n">
        <x:f>G208</x:f>
        <x:v>100.53096491487338</x:v>
      </x:c>
    </x:row>
    <x:row r="209">
      <x:c r="A209" t="n">
        <x:v>192</x:v>
      </x:c>
      <x:c r="B209" s="40" t="n">
        <x:v>-1.036117699977261</x:v>
      </x:c>
      <x:c r="C209" s="40" t="n">
        <x:v>0.383174420827884</x:v>
      </x:c>
      <x:c r="D209" s="40" t="n">
        <x:v>1.7894266925975524</x:v>
      </x:c>
      <x:c r="E209" t="n">
        <x:f>--((B209^2/$B$4^2+C209^2/$B$5^2+D209^2/$B$6^2)&lt;=1)</x:f>
        <x:v>1</x:v>
      </x:c>
      <x:c r="F209" s="42" t="n">
        <x:f>$B$8*SUM($E$18:E209)/A209</x:f>
        <x:v>104</x:v>
      </x:c>
      <x:c r="G209" s="42" t="n">
        <x:f>$B$11</x:f>
        <x:v>100.53096491487338</x:v>
      </x:c>
      <x:c r="I209" t="n">
        <x:f>A209</x:f>
        <x:v>192</x:v>
      </x:c>
      <x:c r="J209" t="n">
        <x:f>F209</x:f>
        <x:v>104</x:v>
      </x:c>
      <x:c r="K209" t="n">
        <x:f>G209</x:f>
        <x:v>100.53096491487338</x:v>
      </x:c>
    </x:row>
    <x:row r="210">
      <x:c r="A210" t="n">
        <x:v>193</x:v>
      </x:c>
      <x:c r="B210" s="40" t="n">
        <x:v>-1.508968270354056</x:v>
      </x:c>
      <x:c r="C210" s="40" t="n">
        <x:v>1.326243328000353</x:v>
      </x:c>
      <x:c r="D210" s="40" t="n">
        <x:v>0.41886865160346165</x:v>
      </x:c>
      <x:c r="E210" t="n">
        <x:f>--((B210^2/$B$4^2+C210^2/$B$5^2+D210^2/$B$6^2)&lt;=1)</x:f>
        <x:v>1</x:v>
      </x:c>
      <x:c r="F210" s="42" t="n">
        <x:f>$B$8*SUM($E$18:E210)/A210</x:f>
        <x:v>104.4559585492228</x:v>
      </x:c>
      <x:c r="G210" s="42" t="n">
        <x:f>$B$11</x:f>
        <x:v>100.53096491487338</x:v>
      </x:c>
      <x:c r="I210" t="n">
        <x:f>A210</x:f>
        <x:v>193</x:v>
      </x:c>
      <x:c r="J210" t="n">
        <x:f>F210</x:f>
        <x:v>104.4559585492228</x:v>
      </x:c>
      <x:c r="K210" t="n">
        <x:f>G210</x:f>
        <x:v>100.53096491487338</x:v>
      </x:c>
    </x:row>
    <x:row r="211">
      <x:c r="A211" t="n">
        <x:v>194</x:v>
      </x:c>
      <x:c r="B211" s="40" t="n">
        <x:v>1.3244506884996246</x:v>
      </x:c>
      <x:c r="C211" s="40" t="n">
        <x:v>-2.646908776005409</x:v>
      </x:c>
      <x:c r="D211" s="40" t="n">
        <x:v>2.687080140425139</x:v>
      </x:c>
      <x:c r="E211" t="n">
        <x:f>--((B211^2/$B$4^2+C211^2/$B$5^2+D211^2/$B$6^2)&lt;=1)</x:f>
        <x:v>0</x:v>
      </x:c>
      <x:c r="F211" s="42" t="n">
        <x:f>$B$8*SUM($E$18:E211)/A211</x:f>
        <x:v>103.91752577319588</x:v>
      </x:c>
      <x:c r="G211" s="42" t="n">
        <x:f>$B$11</x:f>
        <x:v>100.53096491487338</x:v>
      </x:c>
      <x:c r="I211" t="n">
        <x:f>A211</x:f>
        <x:v>194</x:v>
      </x:c>
      <x:c r="J211" t="n">
        <x:f>F211</x:f>
        <x:v>103.91752577319588</x:v>
      </x:c>
      <x:c r="K211" t="n">
        <x:f>G211</x:f>
        <x:v>100.53096491487338</x:v>
      </x:c>
    </x:row>
    <x:row r="212">
      <x:c r="A212" t="n">
        <x:v>195</x:v>
      </x:c>
      <x:c r="B212" s="40" t="n">
        <x:v>-1.3868627335020238</x:v>
      </x:c>
      <x:c r="C212" s="40" t="n">
        <x:v>0.5871361992372215</x:v>
      </x:c>
      <x:c r="D212" s="40" t="n">
        <x:v>-1.7616336906294698</x:v>
      </x:c>
      <x:c r="E212" t="n">
        <x:f>--((B212^2/$B$4^2+C212^2/$B$5^2+D212^2/$B$6^2)&lt;=1)</x:f>
        <x:v>1</x:v>
      </x:c>
      <x:c r="F212" s="42" t="n">
        <x:f>$B$8*SUM($E$18:E212)/A212</x:f>
        <x:v>104.36923076923077</x:v>
      </x:c>
      <x:c r="G212" s="42" t="n">
        <x:f>$B$11</x:f>
        <x:v>100.53096491487338</x:v>
      </x:c>
      <x:c r="I212" t="n">
        <x:f>A212</x:f>
        <x:v>195</x:v>
      </x:c>
      <x:c r="J212" t="n">
        <x:f>F212</x:f>
        <x:v>104.36923076923077</x:v>
      </x:c>
      <x:c r="K212" t="n">
        <x:f>G212</x:f>
        <x:v>100.53096491487338</x:v>
      </x:c>
    </x:row>
    <x:row r="213">
      <x:c r="A213" t="n">
        <x:v>196</x:v>
      </x:c>
      <x:c r="B213" s="40" t="n">
        <x:v>-1.2829267673690437</x:v>
      </x:c>
      <x:c r="C213" s="40" t="n">
        <x:v>1.8954072927785646</x:v>
      </x:c>
      <x:c r="D213" s="40" t="n">
        <x:v>0.15312627328912587</x:v>
      </x:c>
      <x:c r="E213" t="n">
        <x:f>--((B213^2/$B$4^2+C213^2/$B$5^2+D213^2/$B$6^2)&lt;=1)</x:f>
        <x:v>1</x:v>
      </x:c>
      <x:c r="F213" s="42" t="n">
        <x:f>$B$8*SUM($E$18:E213)/A213</x:f>
        <x:v>104.81632653061224</x:v>
      </x:c>
      <x:c r="G213" s="42" t="n">
        <x:f>$B$11</x:f>
        <x:v>100.53096491487338</x:v>
      </x:c>
      <x:c r="I213" t="n">
        <x:f>A213</x:f>
        <x:v>196</x:v>
      </x:c>
      <x:c r="J213" t="n">
        <x:f>F213</x:f>
        <x:v>104.81632653061224</x:v>
      </x:c>
      <x:c r="K213" t="n">
        <x:f>G213</x:f>
        <x:v>100.53096491487338</x:v>
      </x:c>
    </x:row>
    <x:row r="214">
      <x:c r="A214" t="n">
        <x:v>197</x:v>
      </x:c>
      <x:c r="B214" s="40" t="n">
        <x:v>0.397531166083374</x:v>
      </x:c>
      <x:c r="C214" s="40" t="n">
        <x:v>-2.59483611349168</x:v>
      </x:c>
      <x:c r="D214" s="40" t="n">
        <x:v>-3.060162512715645</x:v>
      </x:c>
      <x:c r="E214" t="n">
        <x:f>--((B214^2/$B$4^2+C214^2/$B$5^2+D214^2/$B$6^2)&lt;=1)</x:f>
        <x:v>0</x:v>
      </x:c>
      <x:c r="F214" s="42" t="n">
        <x:f>$B$8*SUM($E$18:E214)/A214</x:f>
        <x:v>104.28426395939087</x:v>
      </x:c>
      <x:c r="G214" s="42" t="n">
        <x:f>$B$11</x:f>
        <x:v>100.53096491487338</x:v>
      </x:c>
      <x:c r="I214" t="n">
        <x:f>A214</x:f>
        <x:v>197</x:v>
      </x:c>
      <x:c r="J214" t="n">
        <x:f>F214</x:f>
        <x:v>104.28426395939087</x:v>
      </x:c>
      <x:c r="K214" t="n">
        <x:f>G214</x:f>
        <x:v>100.53096491487338</x:v>
      </x:c>
    </x:row>
    <x:row r="215">
      <x:c r="A215" t="n">
        <x:v>198</x:v>
      </x:c>
      <x:c r="B215" s="40" t="n">
        <x:v>1.4982481633498579</x:v>
      </x:c>
      <x:c r="C215" s="40" t="n">
        <x:v>0.0734578266397623</x:v>
      </x:c>
      <x:c r="D215" s="40" t="n">
        <x:v>3.0768800212022436</x:v>
      </x:c>
      <x:c r="E215" t="n">
        <x:f>--((B215^2/$B$4^2+C215^2/$B$5^2+D215^2/$B$6^2)&lt;=1)</x:f>
        <x:v>0</x:v>
      </x:c>
      <x:c r="F215" s="42" t="n">
        <x:f>$B$8*SUM($E$18:E215)/A215</x:f>
        <x:v>103.75757575757575</x:v>
      </x:c>
      <x:c r="G215" s="42" t="n">
        <x:f>$B$11</x:f>
        <x:v>100.53096491487338</x:v>
      </x:c>
      <x:c r="I215" t="n">
        <x:f>A215</x:f>
        <x:v>198</x:v>
      </x:c>
      <x:c r="J215" t="n">
        <x:f>F215</x:f>
        <x:v>103.75757575757575</x:v>
      </x:c>
      <x:c r="K215" t="n">
        <x:f>G215</x:f>
        <x:v>100.53096491487338</x:v>
      </x:c>
    </x:row>
    <x:row r="216">
      <x:c r="A216" t="n">
        <x:v>199</x:v>
      </x:c>
      <x:c r="B216" s="40" t="n">
        <x:v>-1.214261337141707</x:v>
      </x:c>
      <x:c r="C216" s="40" t="n">
        <x:v>-1.4486569311075599</x:v>
      </x:c>
      <x:c r="D216" s="40" t="n">
        <x:v>-2.5999603016812936</x:v>
      </x:c>
      <x:c r="E216" t="n">
        <x:f>--((B216^2/$B$4^2+C216^2/$B$5^2+D216^2/$B$6^2)&lt;=1)</x:f>
        <x:v>0</x:v>
      </x:c>
      <x:c r="F216" s="42" t="n">
        <x:f>$B$8*SUM($E$18:E216)/A216</x:f>
        <x:v>103.23618090452261</x:v>
      </x:c>
      <x:c r="G216" s="42" t="n">
        <x:f>$B$11</x:f>
        <x:v>100.53096491487338</x:v>
      </x:c>
      <x:c r="I216" t="n">
        <x:f>A216</x:f>
        <x:v>199</x:v>
      </x:c>
      <x:c r="J216" t="n">
        <x:f>F216</x:f>
        <x:v>103.23618090452261</x:v>
      </x:c>
      <x:c r="K216" t="n">
        <x:f>G216</x:f>
        <x:v>100.53096491487338</x:v>
      </x:c>
    </x:row>
    <x:row r="217">
      <x:c r="A217" t="n">
        <x:v>200</x:v>
      </x:c>
      <x:c r="B217" s="40" t="n">
        <x:v>-0.7587053083996209</x:v>
      </x:c>
      <x:c r="C217" s="40" t="n">
        <x:v>0.9775467092215249</x:v>
      </x:c>
      <x:c r="D217" s="40" t="n">
        <x:v>-3.18110198919676</x:v>
      </x:c>
      <x:c r="E217" t="n">
        <x:f>--((B217^2/$B$4^2+C217^2/$B$5^2+D217^2/$B$6^2)&lt;=1)</x:f>
        <x:v>1</x:v>
      </x:c>
      <x:c r="F217" s="42" t="n">
        <x:f>$B$8*SUM($E$18:E217)/A217</x:f>
        <x:v>103.68</x:v>
      </x:c>
      <x:c r="G217" s="42" t="n">
        <x:f>$B$11</x:f>
        <x:v>100.53096491487338</x:v>
      </x:c>
      <x:c r="I217" t="n">
        <x:f>A217</x:f>
        <x:v>200</x:v>
      </x:c>
      <x:c r="J217" t="n">
        <x:f>F217</x:f>
        <x:v>103.68</x:v>
      </x:c>
      <x:c r="K217" t="n">
        <x:f>G217</x:f>
        <x:v>100.53096491487338</x:v>
      </x:c>
    </x:row>
    <x:row r="218">
      <x:c r="A218" t="n">
        <x:v>201</x:v>
      </x:c>
      <x:c r="B218" s="40" t="n">
        <x:v>1.1096193529647103</x:v>
      </x:c>
      <x:c r="C218" s="40" t="n">
        <x:v>-2.2879357975269308</x:v>
      </x:c>
      <x:c r="D218" s="40" t="n">
        <x:v>-2.3595952118145336</x:v>
      </x:c>
      <x:c r="E218" t="n">
        <x:f>--((B218^2/$B$4^2+C218^2/$B$5^2+D218^2/$B$6^2)&lt;=1)</x:f>
        <x:v>0</x:v>
      </x:c>
      <x:c r="F218" s="42" t="n">
        <x:f>$B$8*SUM($E$18:E218)/A218</x:f>
        <x:v>103.16417910447761</x:v>
      </x:c>
      <x:c r="G218" s="42" t="n">
        <x:f>$B$11</x:f>
        <x:v>100.53096491487338</x:v>
      </x:c>
      <x:c r="I218" t="n">
        <x:f>A218</x:f>
        <x:v>201</x:v>
      </x:c>
      <x:c r="J218" t="n">
        <x:f>F218</x:f>
        <x:v>103.16417910447761</x:v>
      </x:c>
      <x:c r="K218" t="n">
        <x:f>G218</x:f>
        <x:v>100.53096491487338</x:v>
      </x:c>
    </x:row>
    <x:row r="219">
      <x:c r="A219" t="n">
        <x:v>202</x:v>
      </x:c>
      <x:c r="B219" s="40" t="n">
        <x:v>1.8873057042438695</x:v>
      </x:c>
      <x:c r="C219" s="40" t="n">
        <x:v>2.622308584023042</x:v>
      </x:c>
      <x:c r="D219" s="40" t="n">
        <x:v>2.4498519097838516</x:v>
      </x:c>
      <x:c r="E219" t="n">
        <x:f>--((B219^2/$B$4^2+C219^2/$B$5^2+D219^2/$B$6^2)&lt;=1)</x:f>
        <x:v>0</x:v>
      </x:c>
      <x:c r="F219" s="42" t="n">
        <x:f>$B$8*SUM($E$18:E219)/A219</x:f>
        <x:v>102.65346534653466</x:v>
      </x:c>
      <x:c r="G219" s="42" t="n">
        <x:f>$B$11</x:f>
        <x:v>100.53096491487338</x:v>
      </x:c>
      <x:c r="I219" t="n">
        <x:f>A219</x:f>
        <x:v>202</x:v>
      </x:c>
      <x:c r="J219" t="n">
        <x:f>F219</x:f>
        <x:v>102.65346534653466</x:v>
      </x:c>
      <x:c r="K219" t="n">
        <x:f>G219</x:f>
        <x:v>100.53096491487338</x:v>
      </x:c>
    </x:row>
    <x:row r="220">
      <x:c r="A220" t="n">
        <x:v>203</x:v>
      </x:c>
      <x:c r="B220" s="40" t="n">
        <x:v>0.0029647448093692574</x:v>
      </x:c>
      <x:c r="C220" s="40" t="n">
        <x:v>2.368371490288391</x:v>
      </x:c>
      <x:c r="D220" s="40" t="n">
        <x:v>-3.1534837785225376</x:v>
      </x:c>
      <x:c r="E220" t="n">
        <x:f>--((B220^2/$B$4^2+C220^2/$B$5^2+D220^2/$B$6^2)&lt;=1)</x:f>
        <x:v>0</x:v>
      </x:c>
      <x:c r="F220" s="42" t="n">
        <x:f>$B$8*SUM($E$18:E220)/A220</x:f>
        <x:v>102.14778325123153</x:v>
      </x:c>
      <x:c r="G220" s="42" t="n">
        <x:f>$B$11</x:f>
        <x:v>100.53096491487338</x:v>
      </x:c>
      <x:c r="I220" t="n">
        <x:f>A220</x:f>
        <x:v>203</x:v>
      </x:c>
      <x:c r="J220" t="n">
        <x:f>F220</x:f>
        <x:v>102.14778325123153</x:v>
      </x:c>
      <x:c r="K220" t="n">
        <x:f>G220</x:f>
        <x:v>100.53096491487338</x:v>
      </x:c>
    </x:row>
    <x:row r="221">
      <x:c r="A221" t="n">
        <x:v>204</x:v>
      </x:c>
      <x:c r="B221" s="40" t="n">
        <x:v>-1.424409989794997</x:v>
      </x:c>
      <x:c r="C221" s="40" t="n">
        <x:v>-1.884153480745745</x:v>
      </x:c>
      <x:c r="D221" s="40" t="n">
        <x:v>0.9154199587053276</x:v>
      </x:c>
      <x:c r="E221" t="n">
        <x:f>--((B221^2/$B$4^2+C221^2/$B$5^2+D221^2/$B$6^2)&lt;=1)</x:f>
        <x:v>1</x:v>
      </x:c>
      <x:c r="F221" s="42" t="n">
        <x:f>$B$8*SUM($E$18:E221)/A221</x:f>
        <x:v>102.58823529411765</x:v>
      </x:c>
      <x:c r="G221" s="42" t="n">
        <x:f>$B$11</x:f>
        <x:v>100.53096491487338</x:v>
      </x:c>
      <x:c r="I221" t="n">
        <x:f>A221</x:f>
        <x:v>204</x:v>
      </x:c>
      <x:c r="J221" t="n">
        <x:f>F221</x:f>
        <x:v>102.58823529411765</x:v>
      </x:c>
      <x:c r="K221" t="n">
        <x:f>G221</x:f>
        <x:v>100.53096491487338</x:v>
      </x:c>
    </x:row>
    <x:row r="222">
      <x:c r="A222" t="n">
        <x:v>205</x:v>
      </x:c>
      <x:c r="B222" s="40" t="n">
        <x:v>-1.9442548491671938</x:v>
      </x:c>
      <x:c r="C222" s="40" t="n">
        <x:v>-1.0604046938093723</x:v>
      </x:c>
      <x:c r="D222" s="40" t="n">
        <x:v>1.9694504049210053</x:v>
      </x:c>
      <x:c r="E222" t="n">
        <x:f>--((B222^2/$B$4^2+C222^2/$B$5^2+D222^2/$B$6^2)&lt;=1)</x:f>
        <x:v>0</x:v>
      </x:c>
      <x:c r="F222" s="42" t="n">
        <x:f>$B$8*SUM($E$18:E222)/A222</x:f>
        <x:v>102.08780487804879</x:v>
      </x:c>
      <x:c r="G222" s="42" t="n">
        <x:f>$B$11</x:f>
        <x:v>100.53096491487338</x:v>
      </x:c>
      <x:c r="I222" t="n">
        <x:f>A222</x:f>
        <x:v>205</x:v>
      </x:c>
      <x:c r="J222" t="n">
        <x:f>F222</x:f>
        <x:v>102.08780487804879</x:v>
      </x:c>
      <x:c r="K222" t="n">
        <x:f>G222</x:f>
        <x:v>100.53096491487338</x:v>
      </x:c>
    </x:row>
    <x:row r="223">
      <x:c r="A223" t="n">
        <x:v>206</x:v>
      </x:c>
      <x:c r="B223" s="40" t="n">
        <x:v>-1.081375880004579</x:v>
      </x:c>
      <x:c r="C223" s="40" t="n">
        <x:v>0.525809847918258</x:v>
      </x:c>
      <x:c r="D223" s="40" t="n">
        <x:v>2.008649283862969</x:v>
      </x:c>
      <x:c r="E223" t="n">
        <x:f>--((B223^2/$B$4^2+C223^2/$B$5^2+D223^2/$B$6^2)&lt;=1)</x:f>
        <x:v>1</x:v>
      </x:c>
      <x:c r="F223" s="42" t="n">
        <x:f>$B$8*SUM($E$18:E223)/A223</x:f>
        <x:v>102.52427184466019</x:v>
      </x:c>
      <x:c r="G223" s="42" t="n">
        <x:f>$B$11</x:f>
        <x:v>100.53096491487338</x:v>
      </x:c>
      <x:c r="I223" t="n">
        <x:f>A223</x:f>
        <x:v>206</x:v>
      </x:c>
      <x:c r="J223" t="n">
        <x:f>F223</x:f>
        <x:v>102.52427184466019</x:v>
      </x:c>
      <x:c r="K223" t="n">
        <x:f>G223</x:f>
        <x:v>100.53096491487338</x:v>
      </x:c>
    </x:row>
    <x:row r="224">
      <x:c r="A224" t="n">
        <x:v>207</x:v>
      </x:c>
      <x:c r="B224" s="40" t="n">
        <x:v>-1.4727111288539159</x:v>
      </x:c>
      <x:c r="C224" s="40" t="n">
        <x:v>1.3083740198055027</x:v>
      </x:c>
      <x:c r="D224" s="40" t="n">
        <x:v>-2.479512907134951</x:v>
      </x:c>
      <x:c r="E224" t="n">
        <x:f>--((B224^2/$B$4^2+C224^2/$B$5^2+D224^2/$B$6^2)&lt;=1)</x:f>
        <x:v>0</x:v>
      </x:c>
      <x:c r="F224" s="42" t="n">
        <x:f>$B$8*SUM($E$18:E224)/A224</x:f>
        <x:v>102.02898550724638</x:v>
      </x:c>
      <x:c r="G224" s="42" t="n">
        <x:f>$B$11</x:f>
        <x:v>100.53096491487338</x:v>
      </x:c>
      <x:c r="I224" t="n">
        <x:f>A224</x:f>
        <x:v>207</x:v>
      </x:c>
      <x:c r="J224" t="n">
        <x:f>F224</x:f>
        <x:v>102.02898550724638</x:v>
      </x:c>
      <x:c r="K224" t="n">
        <x:f>G224</x:f>
        <x:v>100.53096491487338</x:v>
      </x:c>
    </x:row>
    <x:row r="225">
      <x:c r="A225" t="n">
        <x:v>208</x:v>
      </x:c>
      <x:c r="B225" s="40" t="n">
        <x:v>0.7106346944514299</x:v>
      </x:c>
      <x:c r="C225" s="40" t="n">
        <x:v>-0.34406390903845097</x:v>
      </x:c>
      <x:c r="D225" s="40" t="n">
        <x:v>-3.507008012979104</x:v>
      </x:c>
      <x:c r="E225" t="n">
        <x:f>--((B225^2/$B$4^2+C225^2/$B$5^2+D225^2/$B$6^2)&lt;=1)</x:f>
        <x:v>1</x:v>
      </x:c>
      <x:c r="F225" s="42" t="n">
        <x:f>$B$8*SUM($E$18:E225)/A225</x:f>
        <x:v>102.46153846153847</x:v>
      </x:c>
      <x:c r="G225" s="42" t="n">
        <x:f>$B$11</x:f>
        <x:v>100.53096491487338</x:v>
      </x:c>
      <x:c r="I225" t="n">
        <x:f>A225</x:f>
        <x:v>208</x:v>
      </x:c>
      <x:c r="J225" t="n">
        <x:f>F225</x:f>
        <x:v>102.46153846153847</x:v>
      </x:c>
      <x:c r="K225" t="n">
        <x:f>G225</x:f>
        <x:v>100.53096491487338</x:v>
      </x:c>
    </x:row>
    <x:row r="226">
      <x:c r="A226" t="n">
        <x:v>209</x:v>
      </x:c>
      <x:c r="B226" s="40" t="n">
        <x:v>-1.5126699814858755</x:v>
      </x:c>
      <x:c r="C226" s="40" t="n">
        <x:v>-2.06225206823415</x:v>
      </x:c>
      <x:c r="D226" s="40" t="n">
        <x:v>-0.4095489298222592</x:v>
      </x:c>
      <x:c r="E226" t="n">
        <x:f>--((B226^2/$B$4^2+C226^2/$B$5^2+D226^2/$B$6^2)&lt;=1)</x:f>
        <x:v>0</x:v>
      </x:c>
      <x:c r="F226" s="42" t="n">
        <x:f>$B$8*SUM($E$18:E226)/A226</x:f>
        <x:v>101.97129186602871</x:v>
      </x:c>
      <x:c r="G226" s="42" t="n">
        <x:f>$B$11</x:f>
        <x:v>100.53096491487338</x:v>
      </x:c>
      <x:c r="I226" t="n">
        <x:f>A226</x:f>
        <x:v>209</x:v>
      </x:c>
      <x:c r="J226" t="n">
        <x:f>F226</x:f>
        <x:v>101.97129186602871</x:v>
      </x:c>
      <x:c r="K226" t="n">
        <x:f>G226</x:f>
        <x:v>100.53096491487338</x:v>
      </x:c>
    </x:row>
    <x:row r="227">
      <x:c r="A227" t="n">
        <x:v>210</x:v>
      </x:c>
      <x:c r="B227" s="40" t="n">
        <x:v>0.025319726482532</x:v>
      </x:c>
      <x:c r="C227" s="40" t="n">
        <x:v>-2.3750910371827705</x:v>
      </x:c>
      <x:c r="D227" s="40" t="n">
        <x:v>-2.3801172380436313</x:v>
      </x:c>
      <x:c r="E227" t="n">
        <x:f>--((B227^2/$B$4^2+C227^2/$B$5^2+D227^2/$B$6^2)&lt;=1)</x:f>
        <x:v>1</x:v>
      </x:c>
      <x:c r="F227" s="42" t="n">
        <x:f>$B$8*SUM($E$18:E227)/A227</x:f>
        <x:v>102.4</x:v>
      </x:c>
      <x:c r="G227" s="42" t="n">
        <x:f>$B$11</x:f>
        <x:v>100.53096491487338</x:v>
      </x:c>
      <x:c r="I227" t="n">
        <x:f>A227</x:f>
        <x:v>210</x:v>
      </x:c>
      <x:c r="J227" t="n">
        <x:f>F227</x:f>
        <x:v>102.4</x:v>
      </x:c>
      <x:c r="K227" t="n">
        <x:f>G227</x:f>
        <x:v>100.53096491487338</x:v>
      </x:c>
    </x:row>
    <x:row r="228">
      <x:c r="A228" t="n">
        <x:v>211</x:v>
      </x:c>
      <x:c r="B228" s="40" t="n">
        <x:v>0.7770497425715459</x:v>
      </x:c>
      <x:c r="C228" s="40" t="n">
        <x:v>2.998592021486063</x:v>
      </x:c>
      <x:c r="D228" s="40" t="n">
        <x:v>1.594166472111504</x:v>
      </x:c>
      <x:c r="E228" t="n">
        <x:f>--((B228^2/$B$4^2+C228^2/$B$5^2+D228^2/$B$6^2)&lt;=1)</x:f>
        <x:v>0</x:v>
      </x:c>
      <x:c r="F228" s="42" t="n">
        <x:f>$B$8*SUM($E$18:E228)/A228</x:f>
        <x:v>101.91469194312796</x:v>
      </x:c>
      <x:c r="G228" s="42" t="n">
        <x:f>$B$11</x:f>
        <x:v>100.53096491487338</x:v>
      </x:c>
      <x:c r="I228" t="n">
        <x:f>A228</x:f>
        <x:v>211</x:v>
      </x:c>
      <x:c r="J228" t="n">
        <x:f>F228</x:f>
        <x:v>101.91469194312796</x:v>
      </x:c>
      <x:c r="K228" t="n">
        <x:f>G228</x:f>
        <x:v>100.53096491487338</x:v>
      </x:c>
    </x:row>
    <x:row r="229">
      <x:c r="A229" t="n">
        <x:v>212</x:v>
      </x:c>
      <x:c r="B229" s="40" t="n">
        <x:v>0.32446643688360943</x:v>
      </x:c>
      <x:c r="C229" s="40" t="n">
        <x:v>-0.2678872713390765</x:v>
      </x:c>
      <x:c r="D229" s="40" t="n">
        <x:v>-1.146457602756632</x:v>
      </x:c>
      <x:c r="E229" t="n">
        <x:f>--((B229^2/$B$4^2+C229^2/$B$5^2+D229^2/$B$6^2)&lt;=1)</x:f>
        <x:v>1</x:v>
      </x:c>
      <x:c r="F229" s="42" t="n">
        <x:f>$B$8*SUM($E$18:E229)/A229</x:f>
        <x:v>102.33962264150944</x:v>
      </x:c>
      <x:c r="G229" s="42" t="n">
        <x:f>$B$11</x:f>
        <x:v>100.53096491487338</x:v>
      </x:c>
      <x:c r="I229" t="n">
        <x:f>A229</x:f>
        <x:v>212</x:v>
      </x:c>
      <x:c r="J229" t="n">
        <x:f>F229</x:f>
        <x:v>102.33962264150944</x:v>
      </x:c>
      <x:c r="K229" t="n">
        <x:f>G229</x:f>
        <x:v>100.53096491487338</x:v>
      </x:c>
    </x:row>
    <x:row r="230">
      <x:c r="A230" t="n">
        <x:v>213</x:v>
      </x:c>
      <x:c r="B230" s="40" t="n">
        <x:v>-1.2008973933597695</x:v>
      </x:c>
      <x:c r="C230" s="40" t="n">
        <x:v>2.235190494890989</x:v>
      </x:c>
      <x:c r="D230" s="40" t="n">
        <x:v>-0.4051684717349433</x:v>
      </x:c>
      <x:c r="E230" t="n">
        <x:f>--((B230^2/$B$4^2+C230^2/$B$5^2+D230^2/$B$6^2)&lt;=1)</x:f>
        <x:v>1</x:v>
      </x:c>
      <x:c r="F230" s="42" t="n">
        <x:f>$B$8*SUM($E$18:E230)/A230</x:f>
        <x:v>102.7605633802817</x:v>
      </x:c>
      <x:c r="G230" s="42" t="n">
        <x:f>$B$11</x:f>
        <x:v>100.53096491487338</x:v>
      </x:c>
      <x:c r="I230" t="n">
        <x:f>A230</x:f>
        <x:v>213</x:v>
      </x:c>
      <x:c r="J230" t="n">
        <x:f>F230</x:f>
        <x:v>102.7605633802817</x:v>
      </x:c>
      <x:c r="K230" t="n">
        <x:f>G230</x:f>
        <x:v>100.53096491487338</x:v>
      </x:c>
    </x:row>
    <x:row r="231">
      <x:c r="A231" t="n">
        <x:v>214</x:v>
      </x:c>
      <x:c r="B231" s="40" t="n">
        <x:v>1.2164981047290508</x:v>
      </x:c>
      <x:c r="C231" s="40" t="n">
        <x:v>-0.10574397222531307</x:v>
      </x:c>
      <x:c r="D231" s="40" t="n">
        <x:v>-3.0921205351863055</x:v>
      </x:c>
      <x:c r="E231" t="n">
        <x:f>--((B231^2/$B$4^2+C231^2/$B$5^2+D231^2/$B$6^2)&lt;=1)</x:f>
        <x:v>1</x:v>
      </x:c>
      <x:c r="F231" s="42" t="n">
        <x:f>$B$8*SUM($E$18:E231)/A231</x:f>
        <x:v>103.17757009345794</x:v>
      </x:c>
      <x:c r="G231" s="42" t="n">
        <x:f>$B$11</x:f>
        <x:v>100.53096491487338</x:v>
      </x:c>
      <x:c r="I231" t="n">
        <x:f>A231</x:f>
        <x:v>214</x:v>
      </x:c>
      <x:c r="J231" t="n">
        <x:f>F231</x:f>
        <x:v>103.17757009345794</x:v>
      </x:c>
      <x:c r="K231" t="n">
        <x:f>G231</x:f>
        <x:v>100.53096491487338</x:v>
      </x:c>
    </x:row>
    <x:row r="232">
      <x:c r="A232" t="n">
        <x:v>215</x:v>
      </x:c>
      <x:c r="B232" s="40" t="n">
        <x:v>0.8616285184632066</x:v>
      </x:c>
      <x:c r="C232" s="40" t="n">
        <x:v>2.5341458312760192</x:v>
      </x:c>
      <x:c r="D232" s="40" t="n">
        <x:v>0.5404022923855338</x:v>
      </x:c>
      <x:c r="E232" t="n">
        <x:f>--((B232^2/$B$4^2+C232^2/$B$5^2+D232^2/$B$6^2)&lt;=1)</x:f>
        <x:v>1</x:v>
      </x:c>
      <x:c r="F232" s="42" t="n">
        <x:f>$B$8*SUM($E$18:E232)/A232</x:f>
        <x:v>103.5906976744186</x:v>
      </x:c>
      <x:c r="G232" s="42" t="n">
        <x:f>$B$11</x:f>
        <x:v>100.53096491487338</x:v>
      </x:c>
      <x:c r="I232" t="n">
        <x:f>A232</x:f>
        <x:v>215</x:v>
      </x:c>
      <x:c r="J232" t="n">
        <x:f>F232</x:f>
        <x:v>103.5906976744186</x:v>
      </x:c>
      <x:c r="K232" t="n">
        <x:f>G232</x:f>
        <x:v>100.53096491487338</x:v>
      </x:c>
    </x:row>
    <x:row r="233">
      <x:c r="A233" t="n">
        <x:v>216</x:v>
      </x:c>
      <x:c r="B233" s="40" t="n">
        <x:v>0.955936015662167</x:v>
      </x:c>
      <x:c r="C233" s="40" t="n">
        <x:v>-2.4734437033706964</x:v>
      </x:c>
      <x:c r="D233" s="40" t="n">
        <x:v>-2.5158064829447415</x:v>
      </x:c>
      <x:c r="E233" t="n">
        <x:f>--((B233^2/$B$4^2+C233^2/$B$5^2+D233^2/$B$6^2)&lt;=1)</x:f>
        <x:v>0</x:v>
      </x:c>
      <x:c r="F233" s="42" t="n">
        <x:f>$B$8*SUM($E$18:E233)/A233</x:f>
        <x:v>103.11111111111111</x:v>
      </x:c>
      <x:c r="G233" s="42" t="n">
        <x:f>$B$11</x:f>
        <x:v>100.53096491487338</x:v>
      </x:c>
      <x:c r="I233" t="n">
        <x:f>A233</x:f>
        <x:v>216</x:v>
      </x:c>
      <x:c r="J233" t="n">
        <x:f>F233</x:f>
        <x:v>103.11111111111111</x:v>
      </x:c>
      <x:c r="K233" t="n">
        <x:f>G233</x:f>
        <x:v>100.53096491487338</x:v>
      </x:c>
    </x:row>
    <x:row r="234">
      <x:c r="A234" t="n">
        <x:v>217</x:v>
      </x:c>
      <x:c r="B234" s="40" t="n">
        <x:v>-1.475768993770747</x:v>
      </x:c>
      <x:c r="C234" s="40" t="n">
        <x:v>-2.3158848519926942</x:v>
      </x:c>
      <x:c r="D234" s="40" t="n">
        <x:v>1.4318852873194965</x:v>
      </x:c>
      <x:c r="E234" t="n">
        <x:f>--((B234^2/$B$4^2+C234^2/$B$5^2+D234^2/$B$6^2)&lt;=1)</x:f>
        <x:v>0</x:v>
      </x:c>
      <x:c r="F234" s="42" t="n">
        <x:f>$B$8*SUM($E$18:E234)/A234</x:f>
        <x:v>102.63594470046083</x:v>
      </x:c>
      <x:c r="G234" s="42" t="n">
        <x:f>$B$11</x:f>
        <x:v>100.53096491487338</x:v>
      </x:c>
      <x:c r="I234" t="n">
        <x:f>A234</x:f>
        <x:v>217</x:v>
      </x:c>
      <x:c r="J234" t="n">
        <x:f>F234</x:f>
        <x:v>102.63594470046083</x:v>
      </x:c>
      <x:c r="K234" t="n">
        <x:f>G234</x:f>
        <x:v>100.53096491487338</x:v>
      </x:c>
    </x:row>
    <x:row r="235">
      <x:c r="A235" t="n">
        <x:v>218</x:v>
      </x:c>
      <x:c r="B235" s="40" t="n">
        <x:v>-1.5049847853986216</x:v>
      </x:c>
      <x:c r="C235" s="40" t="n">
        <x:v>2.5777931263453455</x:v>
      </x:c>
      <x:c r="D235" s="40" t="n">
        <x:v>-3.4306494196168504</x:v>
      </x:c>
      <x:c r="E235" t="n">
        <x:f>--((B235^2/$B$4^2+C235^2/$B$5^2+D235^2/$B$6^2)&lt;=1)</x:f>
        <x:v>0</x:v>
      </x:c>
      <x:c r="F235" s="42" t="n">
        <x:f>$B$8*SUM($E$18:E235)/A235</x:f>
        <x:v>102.1651376146789</x:v>
      </x:c>
      <x:c r="G235" s="42" t="n">
        <x:f>$B$11</x:f>
        <x:v>100.53096491487338</x:v>
      </x:c>
      <x:c r="I235" t="n">
        <x:f>A235</x:f>
        <x:v>218</x:v>
      </x:c>
      <x:c r="J235" t="n">
        <x:f>F235</x:f>
        <x:v>102.1651376146789</x:v>
      </x:c>
      <x:c r="K235" t="n">
        <x:f>G235</x:f>
        <x:v>100.53096491487338</x:v>
      </x:c>
    </x:row>
    <x:row r="236">
      <x:c r="A236" t="n">
        <x:v>219</x:v>
      </x:c>
      <x:c r="B236" s="40" t="n">
        <x:v>1.7102502040260306</x:v>
      </x:c>
      <x:c r="C236" s="40" t="n">
        <x:v>2.6849582702687096</x:v>
      </x:c>
      <x:c r="D236" s="40" t="n">
        <x:v>3.807156738250587</x:v>
      </x:c>
      <x:c r="E236" t="n">
        <x:f>--((B236^2/$B$4^2+C236^2/$B$5^2+D236^2/$B$6^2)&lt;=1)</x:f>
        <x:v>0</x:v>
      </x:c>
      <x:c r="F236" s="42" t="n">
        <x:f>$B$8*SUM($E$18:E236)/A236</x:f>
        <x:v>101.6986301369863</x:v>
      </x:c>
      <x:c r="G236" s="42" t="n">
        <x:f>$B$11</x:f>
        <x:v>100.53096491487338</x:v>
      </x:c>
      <x:c r="I236" t="n">
        <x:f>A236</x:f>
        <x:v>219</x:v>
      </x:c>
      <x:c r="J236" t="n">
        <x:f>F236</x:f>
        <x:v>101.6986301369863</x:v>
      </x:c>
      <x:c r="K236" t="n">
        <x:f>G236</x:f>
        <x:v>100.53096491487338</x:v>
      </x:c>
    </x:row>
    <x:row r="237">
      <x:c r="A237" t="n">
        <x:v>220</x:v>
      </x:c>
      <x:c r="B237" s="40" t="n">
        <x:v>-0.40968722470023744</x:v>
      </x:c>
      <x:c r="C237" s="40" t="n">
        <x:v>-1.11169531520782</x:v>
      </x:c>
      <x:c r="D237" s="40" t="n">
        <x:v>1.4762158286864935</x:v>
      </x:c>
      <x:c r="E237" t="n">
        <x:f>--((B237^2/$B$4^2+C237^2/$B$5^2+D237^2/$B$6^2)&lt;=1)</x:f>
        <x:v>1</x:v>
      </x:c>
      <x:c r="F237" s="42" t="n">
        <x:f>$B$8*SUM($E$18:E237)/A237</x:f>
        <x:v>102.10909090909091</x:v>
      </x:c>
      <x:c r="G237" s="42" t="n">
        <x:f>$B$11</x:f>
        <x:v>100.53096491487338</x:v>
      </x:c>
      <x:c r="I237" t="n">
        <x:f>A237</x:f>
        <x:v>220</x:v>
      </x:c>
      <x:c r="J237" t="n">
        <x:f>F237</x:f>
        <x:v>102.10909090909091</x:v>
      </x:c>
      <x:c r="K237" t="n">
        <x:f>G237</x:f>
        <x:v>100.53096491487338</x:v>
      </x:c>
    </x:row>
    <x:row r="238">
      <x:c r="A238" t="n">
        <x:v>221</x:v>
      </x:c>
      <x:c r="B238" s="40" t="n">
        <x:v>-0.796205232876241</x:v>
      </x:c>
      <x:c r="C238" s="40" t="n">
        <x:v>-0.8690106780367692</x:v>
      </x:c>
      <x:c r="D238" s="40" t="n">
        <x:v>-2.5461634575045906</x:v>
      </x:c>
      <x:c r="E238" t="n">
        <x:f>--((B238^2/$B$4^2+C238^2/$B$5^2+D238^2/$B$6^2)&lt;=1)</x:f>
        <x:v>1</x:v>
      </x:c>
      <x:c r="F238" s="42" t="n">
        <x:f>$B$8*SUM($E$18:E238)/A238</x:f>
        <x:v>102.5158371040724</x:v>
      </x:c>
      <x:c r="G238" s="42" t="n">
        <x:f>$B$11</x:f>
        <x:v>100.53096491487338</x:v>
      </x:c>
      <x:c r="I238" t="n">
        <x:f>A238</x:f>
        <x:v>221</x:v>
      </x:c>
      <x:c r="J238" t="n">
        <x:f>F238</x:f>
        <x:v>102.5158371040724</x:v>
      </x:c>
      <x:c r="K238" t="n">
        <x:f>G238</x:f>
        <x:v>100.53096491487338</x:v>
      </x:c>
    </x:row>
    <x:row r="239">
      <x:c r="A239" t="n">
        <x:v>222</x:v>
      </x:c>
      <x:c r="B239" s="40" t="n">
        <x:v>-0.0456638185938667</x:v>
      </x:c>
      <x:c r="C239" s="40" t="n">
        <x:v>-0.28529859099145227</x:v>
      </x:c>
      <x:c r="D239" s="40" t="n">
        <x:v>-3.8872428363051537</x:v>
      </x:c>
      <x:c r="E239" t="n">
        <x:f>--((B239^2/$B$4^2+C239^2/$B$5^2+D239^2/$B$6^2)&lt;=1)</x:f>
        <x:v>1</x:v>
      </x:c>
      <x:c r="F239" s="42" t="n">
        <x:f>$B$8*SUM($E$18:E239)/A239</x:f>
        <x:v>102.91891891891892</x:v>
      </x:c>
      <x:c r="G239" s="42" t="n">
        <x:f>$B$11</x:f>
        <x:v>100.53096491487338</x:v>
      </x:c>
      <x:c r="I239" t="n">
        <x:f>A239</x:f>
        <x:v>222</x:v>
      </x:c>
      <x:c r="J239" t="n">
        <x:f>F239</x:f>
        <x:v>102.91891891891892</x:v>
      </x:c>
      <x:c r="K239" t="n">
        <x:f>G239</x:f>
        <x:v>100.53096491487338</x:v>
      </x:c>
    </x:row>
    <x:row r="240">
      <x:c r="A240" t="n">
        <x:v>223</x:v>
      </x:c>
      <x:c r="B240" s="40" t="n">
        <x:v>0.6514568510543297</x:v>
      </x:c>
      <x:c r="C240" s="40" t="n">
        <x:v>-0.5030299195962549</x:v>
      </x:c>
      <x:c r="D240" s="40" t="n">
        <x:v>-1.32429686235825</x:v>
      </x:c>
      <x:c r="E240" t="n">
        <x:f>--((B240^2/$B$4^2+C240^2/$B$5^2+D240^2/$B$6^2)&lt;=1)</x:f>
        <x:v>1</x:v>
      </x:c>
      <x:c r="F240" s="42" t="n">
        <x:f>$B$8*SUM($E$18:E240)/A240</x:f>
        <x:v>103.31838565022422</x:v>
      </x:c>
      <x:c r="G240" s="42" t="n">
        <x:f>$B$11</x:f>
        <x:v>100.53096491487338</x:v>
      </x:c>
      <x:c r="I240" t="n">
        <x:f>A240</x:f>
        <x:v>223</x:v>
      </x:c>
      <x:c r="J240" t="n">
        <x:f>F240</x:f>
        <x:v>103.31838565022422</x:v>
      </x:c>
      <x:c r="K240" t="n">
        <x:f>G240</x:f>
        <x:v>100.53096491487338</x:v>
      </x:c>
    </x:row>
    <x:row r="241">
      <x:c r="A241" t="n">
        <x:v>224</x:v>
      </x:c>
      <x:c r="B241" s="40" t="n">
        <x:v>1.8224930281878797</x:v>
      </x:c>
      <x:c r="C241" s="40" t="n">
        <x:v>-1.85972870424242</x:v>
      </x:c>
      <x:c r="D241" s="40" t="n">
        <x:v>-2.7774938875823407</x:v>
      </x:c>
      <x:c r="E241" t="n">
        <x:f>--((B241^2/$B$4^2+C241^2/$B$5^2+D241^2/$B$6^2)&lt;=1)</x:f>
        <x:v>0</x:v>
      </x:c>
      <x:c r="F241" s="42" t="n">
        <x:f>$B$8*SUM($E$18:E241)/A241</x:f>
        <x:v>102.85714285714286</x:v>
      </x:c>
      <x:c r="G241" s="42" t="n">
        <x:f>$B$11</x:f>
        <x:v>100.53096491487338</x:v>
      </x:c>
      <x:c r="I241" t="n">
        <x:f>A241</x:f>
        <x:v>224</x:v>
      </x:c>
      <x:c r="J241" t="n">
        <x:f>F241</x:f>
        <x:v>102.85714285714286</x:v>
      </x:c>
      <x:c r="K241" t="n">
        <x:f>G241</x:f>
        <x:v>100.53096491487338</x:v>
      </x:c>
    </x:row>
    <x:row r="242">
      <x:c r="A242" t="n">
        <x:v>225</x:v>
      </x:c>
      <x:c r="B242" s="40" t="n">
        <x:v>-0.85421509247178</x:v>
      </x:c>
      <x:c r="C242" s="40" t="n">
        <x:v>2.390252303636247</x:v>
      </x:c>
      <x:c r="D242" s="40" t="n">
        <x:v>-2.2527093350436322</x:v>
      </x:c>
      <x:c r="E242" t="n">
        <x:f>--((B242^2/$B$4^2+C242^2/$B$5^2+D242^2/$B$6^2)&lt;=1)</x:f>
        <x:v>0</x:v>
      </x:c>
      <x:c r="F242" s="42" t="n">
        <x:f>$B$8*SUM($E$18:E242)/A242</x:f>
        <x:v>102.4</x:v>
      </x:c>
      <x:c r="G242" s="42" t="n">
        <x:f>$B$11</x:f>
        <x:v>100.53096491487338</x:v>
      </x:c>
      <x:c r="I242" t="n">
        <x:f>A242</x:f>
        <x:v>225</x:v>
      </x:c>
      <x:c r="J242" t="n">
        <x:f>F242</x:f>
        <x:v>102.4</x:v>
      </x:c>
      <x:c r="K242" t="n">
        <x:f>G242</x:f>
        <x:v>100.53096491487338</x:v>
      </x:c>
    </x:row>
    <x:row r="243">
      <x:c r="A243" t="n">
        <x:v>226</x:v>
      </x:c>
      <x:c r="B243" s="40" t="n">
        <x:v>1.6992337172481085</x:v>
      </x:c>
      <x:c r="C243" s="40" t="n">
        <x:v>-1.4801543957661376</x:v>
      </x:c>
      <x:c r="D243" s="40" t="n">
        <x:v>2.9820020675031156</x:v>
      </x:c>
      <x:c r="E243" t="n">
        <x:f>--((B243^2/$B$4^2+C243^2/$B$5^2+D243^2/$B$6^2)&lt;=1)</x:f>
        <x:v>0</x:v>
      </x:c>
      <x:c r="F243" s="42" t="n">
        <x:f>$B$8*SUM($E$18:E243)/A243</x:f>
        <x:v>101.94690265486726</x:v>
      </x:c>
      <x:c r="G243" s="42" t="n">
        <x:f>$B$11</x:f>
        <x:v>100.53096491487338</x:v>
      </x:c>
      <x:c r="I243" t="n">
        <x:f>A243</x:f>
        <x:v>226</x:v>
      </x:c>
      <x:c r="J243" t="n">
        <x:f>F243</x:f>
        <x:v>101.94690265486726</x:v>
      </x:c>
      <x:c r="K243" t="n">
        <x:f>G243</x:f>
        <x:v>100.53096491487338</x:v>
      </x:c>
    </x:row>
    <x:row r="244">
      <x:c r="A244" t="n">
        <x:v>227</x:v>
      </x:c>
      <x:c r="B244" s="40" t="n">
        <x:v>-1.9005620344549747</x:v>
      </x:c>
      <x:c r="C244" s="40" t="n">
        <x:v>1.2316344568659092</x:v>
      </x:c>
      <x:c r="D244" s="40" t="n">
        <x:v>0.825637280406796</x:v>
      </x:c>
      <x:c r="E244" t="n">
        <x:f>--((B244^2/$B$4^2+C244^2/$B$5^2+D244^2/$B$6^2)&lt;=1)</x:f>
        <x:v>0</x:v>
      </x:c>
      <x:c r="F244" s="42" t="n">
        <x:f>$B$8*SUM($E$18:E244)/A244</x:f>
        <x:v>101.49779735682819</x:v>
      </x:c>
      <x:c r="G244" s="42" t="n">
        <x:f>$B$11</x:f>
        <x:v>100.53096491487338</x:v>
      </x:c>
      <x:c r="I244" t="n">
        <x:f>A244</x:f>
        <x:v>227</x:v>
      </x:c>
      <x:c r="J244" t="n">
        <x:f>F244</x:f>
        <x:v>101.49779735682819</x:v>
      </x:c>
      <x:c r="K244" t="n">
        <x:f>G244</x:f>
        <x:v>100.53096491487338</x:v>
      </x:c>
    </x:row>
    <x:row r="245">
      <x:c r="A245" t="n">
        <x:v>228</x:v>
      </x:c>
      <x:c r="B245" s="40" t="n">
        <x:v>0.22079216930729872</x:v>
      </x:c>
      <x:c r="C245" s="40" t="n">
        <x:v>-2.5970659335901627</x:v>
      </x:c>
      <x:c r="D245" s="40" t="n">
        <x:v>-2.588338775768804</x:v>
      </x:c>
      <x:c r="E245" t="n">
        <x:f>--((B245^2/$B$4^2+C245^2/$B$5^2+D245^2/$B$6^2)&lt;=1)</x:f>
        <x:v>0</x:v>
      </x:c>
      <x:c r="F245" s="42" t="n">
        <x:f>$B$8*SUM($E$18:E245)/A245</x:f>
        <x:v>101.05263157894737</x:v>
      </x:c>
      <x:c r="G245" s="42" t="n">
        <x:f>$B$11</x:f>
        <x:v>100.53096491487338</x:v>
      </x:c>
      <x:c r="I245" t="n">
        <x:f>A245</x:f>
        <x:v>228</x:v>
      </x:c>
      <x:c r="J245" t="n">
        <x:f>F245</x:f>
        <x:v>101.05263157894737</x:v>
      </x:c>
      <x:c r="K245" t="n">
        <x:f>G245</x:f>
        <x:v>100.53096491487338</x:v>
      </x:c>
    </x:row>
    <x:row r="246">
      <x:c r="A246" t="n">
        <x:v>229</x:v>
      </x:c>
      <x:c r="B246" s="40" t="n">
        <x:v>0.5359004467243405</x:v>
      </x:c>
      <x:c r="C246" s="40" t="n">
        <x:v>-2.7674920108294234</x:v>
      </x:c>
      <x:c r="D246" s="40" t="n">
        <x:v>0.45327520549959033</x:v>
      </x:c>
      <x:c r="E246" t="n">
        <x:f>--((B246^2/$B$4^2+C246^2/$B$5^2+D246^2/$B$6^2)&lt;=1)</x:f>
        <x:v>1</x:v>
      </x:c>
      <x:c r="F246" s="42" t="n">
        <x:f>$B$8*SUM($E$18:E246)/A246</x:f>
        <x:v>101.44978165938865</x:v>
      </x:c>
      <x:c r="G246" s="42" t="n">
        <x:f>$B$11</x:f>
        <x:v>100.53096491487338</x:v>
      </x:c>
      <x:c r="I246" t="n">
        <x:f>A246</x:f>
        <x:v>229</x:v>
      </x:c>
      <x:c r="J246" t="n">
        <x:f>F246</x:f>
        <x:v>101.44978165938865</x:v>
      </x:c>
      <x:c r="K246" t="n">
        <x:f>G246</x:f>
        <x:v>100.53096491487338</x:v>
      </x:c>
    </x:row>
    <x:row r="247">
      <x:c r="A247" t="n">
        <x:v>230</x:v>
      </x:c>
      <x:c r="B247" s="40" t="n">
        <x:v>-1.5764103849969868</x:v>
      </x:c>
      <x:c r="C247" s="40" t="n">
        <x:v>0.9223828354615238</x:v>
      </x:c>
      <x:c r="D247" s="40" t="n">
        <x:v>-1.9537547726000541</x:v>
      </x:c>
      <x:c r="E247" t="n">
        <x:f>--((B247^2/$B$4^2+C247^2/$B$5^2+D247^2/$B$6^2)&lt;=1)</x:f>
        <x:v>1</x:v>
      </x:c>
      <x:c r="F247" s="42" t="n">
        <x:f>$B$8*SUM($E$18:E247)/A247</x:f>
        <x:v>101.84347826086956</x:v>
      </x:c>
      <x:c r="G247" s="42" t="n">
        <x:f>$B$11</x:f>
        <x:v>100.53096491487338</x:v>
      </x:c>
      <x:c r="I247" t="n">
        <x:f>A247</x:f>
        <x:v>230</x:v>
      </x:c>
      <x:c r="J247" t="n">
        <x:f>F247</x:f>
        <x:v>101.84347826086956</x:v>
      </x:c>
      <x:c r="K247" t="n">
        <x:f>G247</x:f>
        <x:v>100.53096491487338</x:v>
      </x:c>
    </x:row>
    <x:row r="248">
      <x:c r="A248" t="n">
        <x:v>231</x:v>
      </x:c>
      <x:c r="B248" s="40" t="n">
        <x:v>-1.4386416117443495</x:v>
      </x:c>
      <x:c r="C248" s="40" t="n">
        <x:v>-0.9659048545604376</x:v>
      </x:c>
      <x:c r="D248" s="40" t="n">
        <x:v>3.8096069148647134</x:v>
      </x:c>
      <x:c r="E248" t="n">
        <x:f>--((B248^2/$B$4^2+C248^2/$B$5^2+D248^2/$B$6^2)&lt;=1)</x:f>
        <x:v>0</x:v>
      </x:c>
      <x:c r="F248" s="42" t="n">
        <x:f>$B$8*SUM($E$18:E248)/A248</x:f>
        <x:v>101.40259740259741</x:v>
      </x:c>
      <x:c r="G248" s="42" t="n">
        <x:f>$B$11</x:f>
        <x:v>100.53096491487338</x:v>
      </x:c>
      <x:c r="I248" t="n">
        <x:f>A248</x:f>
        <x:v>231</x:v>
      </x:c>
      <x:c r="J248" t="n">
        <x:f>F248</x:f>
        <x:v>101.40259740259741</x:v>
      </x:c>
      <x:c r="K248" t="n">
        <x:f>G248</x:f>
        <x:v>100.53096491487338</x:v>
      </x:c>
    </x:row>
    <x:row r="249">
      <x:c r="A249" t="n">
        <x:v>232</x:v>
      </x:c>
      <x:c r="B249" s="40" t="n">
        <x:v>-0.3235427227347847</x:v>
      </x:c>
      <x:c r="C249" s="40" t="n">
        <x:v>0.9327563563200076</x:v>
      </x:c>
      <x:c r="D249" s="40" t="n">
        <x:v>-3.737942157890438</x:v>
      </x:c>
      <x:c r="E249" t="n">
        <x:f>--((B249^2/$B$4^2+C249^2/$B$5^2+D249^2/$B$6^2)&lt;=1)</x:f>
        <x:v>1</x:v>
      </x:c>
      <x:c r="F249" s="42" t="n">
        <x:f>$B$8*SUM($E$18:E249)/A249</x:f>
        <x:v>101.79310344827586</x:v>
      </x:c>
      <x:c r="G249" s="42" t="n">
        <x:f>$B$11</x:f>
        <x:v>100.53096491487338</x:v>
      </x:c>
      <x:c r="I249" t="n">
        <x:f>A249</x:f>
        <x:v>232</x:v>
      </x:c>
      <x:c r="J249" t="n">
        <x:f>F249</x:f>
        <x:v>101.79310344827586</x:v>
      </x:c>
      <x:c r="K249" t="n">
        <x:f>G249</x:f>
        <x:v>100.53096491487338</x:v>
      </x:c>
    </x:row>
    <x:row r="250">
      <x:c r="A250" t="n">
        <x:v>233</x:v>
      </x:c>
      <x:c r="B250" s="40" t="n">
        <x:v>1.8649276485727269</x:v>
      </x:c>
      <x:c r="C250" s="40" t="n">
        <x:v>-2.4358727869870176</x:v>
      </x:c>
      <x:c r="D250" s="40" t="n">
        <x:v>1.8585473773425205</x:v>
      </x:c>
      <x:c r="E250" t="n">
        <x:f>--((B250^2/$B$4^2+C250^2/$B$5^2+D250^2/$B$6^2)&lt;=1)</x:f>
        <x:v>0</x:v>
      </x:c>
      <x:c r="F250" s="42" t="n">
        <x:f>$B$8*SUM($E$18:E250)/A250</x:f>
        <x:v>101.35622317596567</x:v>
      </x:c>
      <x:c r="G250" s="42" t="n">
        <x:f>$B$11</x:f>
        <x:v>100.53096491487338</x:v>
      </x:c>
      <x:c r="I250" t="n">
        <x:f>A250</x:f>
        <x:v>233</x:v>
      </x:c>
      <x:c r="J250" t="n">
        <x:f>F250</x:f>
        <x:v>101.35622317596567</x:v>
      </x:c>
      <x:c r="K250" t="n">
        <x:f>G250</x:f>
        <x:v>100.53096491487338</x:v>
      </x:c>
    </x:row>
    <x:row r="251">
      <x:c r="A251" t="n">
        <x:v>234</x:v>
      </x:c>
      <x:c r="B251" s="40" t="n">
        <x:v>0.3841702129374913</x:v>
      </x:c>
      <x:c r="C251" s="40" t="n">
        <x:v>2.6991082794951797</x:v>
      </x:c>
      <x:c r="D251" s="40" t="n">
        <x:v>2.1839762095314184</x:v>
      </x:c>
      <x:c r="E251" t="n">
        <x:f>--((B251^2/$B$4^2+C251^2/$B$5^2+D251^2/$B$6^2)&lt;=1)</x:f>
        <x:v>0</x:v>
      </x:c>
      <x:c r="F251" s="42" t="n">
        <x:f>$B$8*SUM($E$18:E251)/A251</x:f>
        <x:v>100.92307692307692</x:v>
      </x:c>
      <x:c r="G251" s="42" t="n">
        <x:f>$B$11</x:f>
        <x:v>100.53096491487338</x:v>
      </x:c>
      <x:c r="I251" t="n">
        <x:f>A251</x:f>
        <x:v>234</x:v>
      </x:c>
      <x:c r="J251" t="n">
        <x:f>F251</x:f>
        <x:v>100.92307692307692</x:v>
      </x:c>
      <x:c r="K251" t="n">
        <x:f>G251</x:f>
        <x:v>100.53096491487338</x:v>
      </x:c>
    </x:row>
    <x:row r="252">
      <x:c r="A252" t="n">
        <x:v>235</x:v>
      </x:c>
      <x:c r="B252" s="40" t="n">
        <x:v>1.732092886400845</x:v>
      </x:c>
      <x:c r="C252" s="40" t="n">
        <x:v>1.4910868013585725</x:v>
      </x:c>
      <x:c r="D252" s="40" t="n">
        <x:v>-3.462697888338398</x:v>
      </x:c>
      <x:c r="E252" t="n">
        <x:f>--((B252^2/$B$4^2+C252^2/$B$5^2+D252^2/$B$6^2)&lt;=1)</x:f>
        <x:v>0</x:v>
      </x:c>
      <x:c r="F252" s="42" t="n">
        <x:f>$B$8*SUM($E$18:E252)/A252</x:f>
        <x:v>100.49361702127659</x:v>
      </x:c>
      <x:c r="G252" s="42" t="n">
        <x:f>$B$11</x:f>
        <x:v>100.53096491487338</x:v>
      </x:c>
      <x:c r="I252" t="n">
        <x:f>A252</x:f>
        <x:v>235</x:v>
      </x:c>
      <x:c r="J252" t="n">
        <x:f>F252</x:f>
        <x:v>100.49361702127659</x:v>
      </x:c>
      <x:c r="K252" t="n">
        <x:f>G252</x:f>
        <x:v>100.53096491487338</x:v>
      </x:c>
    </x:row>
    <x:row r="253">
      <x:c r="A253" t="n">
        <x:v>236</x:v>
      </x:c>
      <x:c r="B253" s="40" t="n">
        <x:v>1.217443662451883</x:v>
      </x:c>
      <x:c r="C253" s="40" t="n">
        <x:v>2.257603398154796</x:v>
      </x:c>
      <x:c r="D253" s="40" t="n">
        <x:v>-2.6250450861491874</x:v>
      </x:c>
      <x:c r="E253" t="n">
        <x:f>--((B253^2/$B$4^2+C253^2/$B$5^2+D253^2/$B$6^2)&lt;=1)</x:f>
        <x:v>0</x:v>
      </x:c>
      <x:c r="F253" s="42" t="n">
        <x:f>$B$8*SUM($E$18:E253)/A253</x:f>
        <x:v>100.0677966101695</x:v>
      </x:c>
      <x:c r="G253" s="42" t="n">
        <x:f>$B$11</x:f>
        <x:v>100.53096491487338</x:v>
      </x:c>
      <x:c r="I253" t="n">
        <x:f>A253</x:f>
        <x:v>236</x:v>
      </x:c>
      <x:c r="J253" t="n">
        <x:f>F253</x:f>
        <x:v>100.0677966101695</x:v>
      </x:c>
      <x:c r="K253" t="n">
        <x:f>G253</x:f>
        <x:v>100.53096491487338</x:v>
      </x:c>
    </x:row>
    <x:row r="254">
      <x:c r="A254" t="n">
        <x:v>237</x:v>
      </x:c>
      <x:c r="B254" s="40" t="n">
        <x:v>-0.13047359377883394</x:v>
      </x:c>
      <x:c r="C254" s="40" t="n">
        <x:v>-2.1811766757329343</x:v>
      </x:c>
      <x:c r="D254" s="40" t="n">
        <x:v>-0.9255467271683395</x:v>
      </x:c>
      <x:c r="E254" t="n">
        <x:f>--((B254^2/$B$4^2+C254^2/$B$5^2+D254^2/$B$6^2)&lt;=1)</x:f>
        <x:v>1</x:v>
      </x:c>
      <x:c r="F254" s="42" t="n">
        <x:f>$B$8*SUM($E$18:E254)/A254</x:f>
        <x:v>100.45569620253164</x:v>
      </x:c>
      <x:c r="G254" s="42" t="n">
        <x:f>$B$11</x:f>
        <x:v>100.53096491487338</x:v>
      </x:c>
      <x:c r="I254" t="n">
        <x:f>A254</x:f>
        <x:v>237</x:v>
      </x:c>
      <x:c r="J254" t="n">
        <x:f>F254</x:f>
        <x:v>100.45569620253164</x:v>
      </x:c>
      <x:c r="K254" t="n">
        <x:f>G254</x:f>
        <x:v>100.53096491487338</x:v>
      </x:c>
    </x:row>
    <x:row r="255">
      <x:c r="A255" t="n">
        <x:v>238</x:v>
      </x:c>
      <x:c r="B255" s="40" t="n">
        <x:v>1.1390537970087498</x:v>
      </x:c>
      <x:c r="C255" s="40" t="n">
        <x:v>-1.0790341866427837</x:v>
      </x:c>
      <x:c r="D255" s="40" t="n">
        <x:v>2.9452386122325427</x:v>
      </x:c>
      <x:c r="E255" t="n">
        <x:f>--((B255^2/$B$4^2+C255^2/$B$5^2+D255^2/$B$6^2)&lt;=1)</x:f>
        <x:v>1</x:v>
      </x:c>
      <x:c r="F255" s="42" t="n">
        <x:f>$B$8*SUM($E$18:E255)/A255</x:f>
        <x:v>100.84033613445378</x:v>
      </x:c>
      <x:c r="G255" s="42" t="n">
        <x:f>$B$11</x:f>
        <x:v>100.53096491487338</x:v>
      </x:c>
      <x:c r="I255" t="n">
        <x:f>A255</x:f>
        <x:v>238</x:v>
      </x:c>
      <x:c r="J255" t="n">
        <x:f>F255</x:f>
        <x:v>100.84033613445378</x:v>
      </x:c>
      <x:c r="K255" t="n">
        <x:f>G255</x:f>
        <x:v>100.53096491487338</x:v>
      </x:c>
    </x:row>
    <x:row r="256">
      <x:c r="A256" t="n">
        <x:v>239</x:v>
      </x:c>
      <x:c r="B256" s="40" t="n">
        <x:v>-1.928652864092049</x:v>
      </x:c>
      <x:c r="C256" s="40" t="n">
        <x:v>-0.7899350147619355</x:v>
      </x:c>
      <x:c r="D256" s="40" t="n">
        <x:v>0.29599950734799485</x:v>
      </x:c>
      <x:c r="E256" t="n">
        <x:f>--((B256^2/$B$4^2+C256^2/$B$5^2+D256^2/$B$6^2)&lt;=1)</x:f>
        <x:v>0</x:v>
      </x:c>
      <x:c r="F256" s="42" t="n">
        <x:f>$B$8*SUM($E$18:E256)/A256</x:f>
        <x:v>100.418410041841</x:v>
      </x:c>
      <x:c r="G256" s="42" t="n">
        <x:f>$B$11</x:f>
        <x:v>100.53096491487338</x:v>
      </x:c>
      <x:c r="I256" t="n">
        <x:f>A256</x:f>
        <x:v>239</x:v>
      </x:c>
      <x:c r="J256" t="n">
        <x:f>F256</x:f>
        <x:v>100.418410041841</x:v>
      </x:c>
      <x:c r="K256" t="n">
        <x:f>G256</x:f>
        <x:v>100.53096491487338</x:v>
      </x:c>
    </x:row>
    <x:row r="257">
      <x:c r="A257" t="n">
        <x:v>240</x:v>
      </x:c>
      <x:c r="B257" s="40" t="n">
        <x:v>-1.5634240129370602</x:v>
      </x:c>
      <x:c r="C257" s="40" t="n">
        <x:v>0.2230358899609115</x:v>
      </x:c>
      <x:c r="D257" s="40" t="n">
        <x:v>1.242454800058324</x:v>
      </x:c>
      <x:c r="E257" t="n">
        <x:f>--((B257^2/$B$4^2+C257^2/$B$5^2+D257^2/$B$6^2)&lt;=1)</x:f>
        <x:v>1</x:v>
      </x:c>
      <x:c r="F257" s="42" t="n">
        <x:f>$B$8*SUM($E$18:E257)/A257</x:f>
        <x:v>100.8</x:v>
      </x:c>
      <x:c r="G257" s="42" t="n">
        <x:f>$B$11</x:f>
        <x:v>100.53096491487338</x:v>
      </x:c>
      <x:c r="I257" t="n">
        <x:f>A257</x:f>
        <x:v>240</x:v>
      </x:c>
      <x:c r="J257" t="n">
        <x:f>F257</x:f>
        <x:v>100.8</x:v>
      </x:c>
      <x:c r="K257" t="n">
        <x:f>G257</x:f>
        <x:v>100.53096491487338</x:v>
      </x:c>
    </x:row>
    <x:row r="258">
      <x:c r="A258" t="n">
        <x:v>241</x:v>
      </x:c>
      <x:c r="B258" s="40" t="n">
        <x:v>1.3177144595309453</x:v>
      </x:c>
      <x:c r="C258" s="40" t="n">
        <x:v>-1.2187890869555142</x:v>
      </x:c>
      <x:c r="D258" s="40" t="n">
        <x:v>2.264102683654741</x:v>
      </x:c>
      <x:c r="E258" t="n">
        <x:f>--((B258^2/$B$4^2+C258^2/$B$5^2+D258^2/$B$6^2)&lt;=1)</x:f>
        <x:v>1</x:v>
      </x:c>
      <x:c r="F258" s="42" t="n">
        <x:f>$B$8*SUM($E$18:E258)/A258</x:f>
        <x:v>101.17842323651452</x:v>
      </x:c>
      <x:c r="G258" s="42" t="n">
        <x:f>$B$11</x:f>
        <x:v>100.53096491487338</x:v>
      </x:c>
      <x:c r="I258" t="n">
        <x:f>A258</x:f>
        <x:v>241</x:v>
      </x:c>
      <x:c r="J258" t="n">
        <x:f>F258</x:f>
        <x:v>101.17842323651452</x:v>
      </x:c>
      <x:c r="K258" t="n">
        <x:f>G258</x:f>
        <x:v>100.53096491487338</x:v>
      </x:c>
    </x:row>
    <x:row r="259">
      <x:c r="A259" t="n">
        <x:v>242</x:v>
      </x:c>
      <x:c r="B259" s="40" t="n">
        <x:v>1.187268353300647</x:v>
      </x:c>
      <x:c r="C259" s="40" t="n">
        <x:v>-2.6362155468635695</x:v>
      </x:c>
      <x:c r="D259" s="40" t="n">
        <x:v>2.6249823067001596</x:v>
      </x:c>
      <x:c r="E259" t="n">
        <x:f>--((B259^2/$B$4^2+C259^2/$B$5^2+D259^2/$B$6^2)&lt;=1)</x:f>
        <x:v>0</x:v>
      </x:c>
      <x:c r="F259" s="42" t="n">
        <x:f>$B$8*SUM($E$18:E259)/A259</x:f>
        <x:v>100.7603305785124</x:v>
      </x:c>
      <x:c r="G259" s="42" t="n">
        <x:f>$B$11</x:f>
        <x:v>100.53096491487338</x:v>
      </x:c>
      <x:c r="I259" t="n">
        <x:f>A259</x:f>
        <x:v>242</x:v>
      </x:c>
      <x:c r="J259" t="n">
        <x:f>F259</x:f>
        <x:v>100.7603305785124</x:v>
      </x:c>
      <x:c r="K259" t="n">
        <x:f>G259</x:f>
        <x:v>100.53096491487338</x:v>
      </x:c>
    </x:row>
    <x:row r="260">
      <x:c r="A260" t="n">
        <x:v>243</x:v>
      </x:c>
      <x:c r="B260" s="40" t="n">
        <x:v>-1.0694370321342652</x:v>
      </x:c>
      <x:c r="C260" s="40" t="n">
        <x:v>-0.7867297155751758</x:v>
      </x:c>
      <x:c r="D260" s="40" t="n">
        <x:v>-0.18972365533055147</x:v>
      </x:c>
      <x:c r="E260" t="n">
        <x:f>--((B260^2/$B$4^2+C260^2/$B$5^2+D260^2/$B$6^2)&lt;=1)</x:f>
        <x:v>1</x:v>
      </x:c>
      <x:c r="F260" s="42" t="n">
        <x:f>$B$8*SUM($E$18:E260)/A260</x:f>
        <x:v>101.1358024691358</x:v>
      </x:c>
      <x:c r="G260" s="42" t="n">
        <x:f>$B$11</x:f>
        <x:v>100.53096491487338</x:v>
      </x:c>
      <x:c r="I260" t="n">
        <x:f>A260</x:f>
        <x:v>243</x:v>
      </x:c>
      <x:c r="J260" t="n">
        <x:f>F260</x:f>
        <x:v>101.1358024691358</x:v>
      </x:c>
      <x:c r="K260" t="n">
        <x:f>G260</x:f>
        <x:v>100.53096491487338</x:v>
      </x:c>
    </x:row>
    <x:row r="261">
      <x:c r="A261" t="n">
        <x:v>244</x:v>
      </x:c>
      <x:c r="B261" s="40" t="n">
        <x:v>0.12307836239621395</x:v>
      </x:c>
      <x:c r="C261" s="40" t="n">
        <x:v>-1.4727041122363072</x:v>
      </x:c>
      <x:c r="D261" s="40" t="n">
        <x:v>0.0703451101878505</x:v>
      </x:c>
      <x:c r="E261" t="n">
        <x:f>--((B261^2/$B$4^2+C261^2/$B$5^2+D261^2/$B$6^2)&lt;=1)</x:f>
        <x:v>1</x:v>
      </x:c>
      <x:c r="F261" s="42" t="n">
        <x:f>$B$8*SUM($E$18:E261)/A261</x:f>
        <x:v>101.50819672131148</x:v>
      </x:c>
      <x:c r="G261" s="42" t="n">
        <x:f>$B$11</x:f>
        <x:v>100.53096491487338</x:v>
      </x:c>
      <x:c r="I261" t="n">
        <x:f>A261</x:f>
        <x:v>244</x:v>
      </x:c>
      <x:c r="J261" t="n">
        <x:f>F261</x:f>
        <x:v>101.50819672131148</x:v>
      </x:c>
      <x:c r="K261" t="n">
        <x:f>G261</x:f>
        <x:v>100.53096491487338</x:v>
      </x:c>
    </x:row>
    <x:row r="262">
      <x:c r="A262" t="n">
        <x:v>245</x:v>
      </x:c>
      <x:c r="B262" s="40" t="n">
        <x:v>0.4240632828000437</x:v>
      </x:c>
      <x:c r="C262" s="40" t="n">
        <x:v>-0.6844722512207109</x:v>
      </x:c>
      <x:c r="D262" s="40" t="n">
        <x:v>1.7440468567022354</x:v>
      </x:c>
      <x:c r="E262" t="n">
        <x:f>--((B262^2/$B$4^2+C262^2/$B$5^2+D262^2/$B$6^2)&lt;=1)</x:f>
        <x:v>1</x:v>
      </x:c>
      <x:c r="F262" s="42" t="n">
        <x:f>$B$8*SUM($E$18:E262)/A262</x:f>
        <x:v>101.87755102040816</x:v>
      </x:c>
      <x:c r="G262" s="42" t="n">
        <x:f>$B$11</x:f>
        <x:v>100.53096491487338</x:v>
      </x:c>
      <x:c r="I262" t="n">
        <x:f>A262</x:f>
        <x:v>245</x:v>
      </x:c>
      <x:c r="J262" t="n">
        <x:f>F262</x:f>
        <x:v>101.87755102040816</x:v>
      </x:c>
      <x:c r="K262" t="n">
        <x:f>G262</x:f>
        <x:v>100.53096491487338</x:v>
      </x:c>
    </x:row>
    <x:row r="263">
      <x:c r="A263" t="n">
        <x:v>246</x:v>
      </x:c>
      <x:c r="B263" s="40" t="n">
        <x:v>1.4709558151040447</x:v>
      </x:c>
      <x:c r="C263" s="40" t="n">
        <x:v>-1.8182427442798426</x:v>
      </x:c>
      <x:c r="D263" s="40" t="n">
        <x:v>-1.8932611301149889</x:v>
      </x:c>
      <x:c r="E263" t="n">
        <x:f>--((B263^2/$B$4^2+C263^2/$B$5^2+D263^2/$B$6^2)&lt;=1)</x:f>
        <x:v>0</x:v>
      </x:c>
      <x:c r="F263" s="42" t="n">
        <x:f>$B$8*SUM($E$18:E263)/A263</x:f>
        <x:v>101.46341463414635</x:v>
      </x:c>
      <x:c r="G263" s="42" t="n">
        <x:f>$B$11</x:f>
        <x:v>100.53096491487338</x:v>
      </x:c>
      <x:c r="I263" t="n">
        <x:f>A263</x:f>
        <x:v>246</x:v>
      </x:c>
      <x:c r="J263" t="n">
        <x:f>F263</x:f>
        <x:v>101.46341463414635</x:v>
      </x:c>
      <x:c r="K263" t="n">
        <x:f>G263</x:f>
        <x:v>100.53096491487338</x:v>
      </x:c>
    </x:row>
    <x:row r="264">
      <x:c r="A264" t="n">
        <x:v>247</x:v>
      </x:c>
      <x:c r="B264" s="40" t="n">
        <x:v>0.41242862935490265</x:v>
      </x:c>
      <x:c r="C264" s="40" t="n">
        <x:v>-1.4286217526115872</x:v>
      </x:c>
      <x:c r="D264" s="40" t="n">
        <x:v>2.835917890924195</x:v>
      </x:c>
      <x:c r="E264" t="n">
        <x:f>--((B264^2/$B$4^2+C264^2/$B$5^2+D264^2/$B$6^2)&lt;=1)</x:f>
        <x:v>1</x:v>
      </x:c>
      <x:c r="F264" s="42" t="n">
        <x:f>$B$8*SUM($E$18:E264)/A264</x:f>
        <x:v>101.82995951417004</x:v>
      </x:c>
      <x:c r="G264" s="42" t="n">
        <x:f>$B$11</x:f>
        <x:v>100.53096491487338</x:v>
      </x:c>
      <x:c r="I264" t="n">
        <x:f>A264</x:f>
        <x:v>247</x:v>
      </x:c>
      <x:c r="J264" t="n">
        <x:f>F264</x:f>
        <x:v>101.82995951417004</x:v>
      </x:c>
      <x:c r="K264" t="n">
        <x:f>G264</x:f>
        <x:v>100.53096491487338</x:v>
      </x:c>
    </x:row>
    <x:row r="265">
      <x:c r="A265" t="n">
        <x:v>248</x:v>
      </x:c>
      <x:c r="B265" s="40" t="n">
        <x:v>-0.3497137229052787</x:v>
      </x:c>
      <x:c r="C265" s="40" t="n">
        <x:v>0.7617140425936126</x:v>
      </x:c>
      <x:c r="D265" s="40" t="n">
        <x:v>-3.8337054041932674</x:v>
      </x:c>
      <x:c r="E265" t="n">
        <x:f>--((B265^2/$B$4^2+C265^2/$B$5^2+D265^2/$B$6^2)&lt;=1)</x:f>
        <x:v>0</x:v>
      </x:c>
      <x:c r="F265" s="42" t="n">
        <x:f>$B$8*SUM($E$18:E265)/A265</x:f>
        <x:v>101.41935483870968</x:v>
      </x:c>
      <x:c r="G265" s="42" t="n">
        <x:f>$B$11</x:f>
        <x:v>100.53096491487338</x:v>
      </x:c>
      <x:c r="I265" t="n">
        <x:f>A265</x:f>
        <x:v>248</x:v>
      </x:c>
      <x:c r="J265" t="n">
        <x:f>F265</x:f>
        <x:v>101.41935483870968</x:v>
      </x:c>
      <x:c r="K265" t="n">
        <x:f>G265</x:f>
        <x:v>100.53096491487338</x:v>
      </x:c>
    </x:row>
    <x:row r="266">
      <x:c r="A266" t="n">
        <x:v>249</x:v>
      </x:c>
      <x:c r="B266" s="40" t="n">
        <x:v>-0.5032638263712692</x:v>
      </x:c>
      <x:c r="C266" s="40" t="n">
        <x:v>-0.6710769925316096</x:v>
      </x:c>
      <x:c r="D266" s="40" t="n">
        <x:v>-2.4338271823222026</x:v>
      </x:c>
      <x:c r="E266" t="n">
        <x:f>--((B266^2/$B$4^2+C266^2/$B$5^2+D266^2/$B$6^2)&lt;=1)</x:f>
        <x:v>1</x:v>
      </x:c>
      <x:c r="F266" s="42" t="n">
        <x:f>$B$8*SUM($E$18:E266)/A266</x:f>
        <x:v>101.78313253012048</x:v>
      </x:c>
      <x:c r="G266" s="42" t="n">
        <x:f>$B$11</x:f>
        <x:v>100.53096491487338</x:v>
      </x:c>
      <x:c r="I266" t="n">
        <x:f>A266</x:f>
        <x:v>249</x:v>
      </x:c>
      <x:c r="J266" t="n">
        <x:f>F266</x:f>
        <x:v>101.78313253012048</x:v>
      </x:c>
      <x:c r="K266" t="n">
        <x:f>G266</x:f>
        <x:v>100.53096491487338</x:v>
      </x:c>
    </x:row>
    <x:row r="267">
      <x:c r="A267" t="n">
        <x:v>250</x:v>
      </x:c>
      <x:c r="B267" s="40" t="n">
        <x:v>-0.29647165450596047</x:v>
      </x:c>
      <x:c r="C267" s="40" t="n">
        <x:v>-0.9276996409830476</x:v>
      </x:c>
      <x:c r="D267" s="40" t="n">
        <x:v>2.4015995442920257</x:v>
      </x:c>
      <x:c r="E267" t="n">
        <x:f>--((B267^2/$B$4^2+C267^2/$B$5^2+D267^2/$B$6^2)&lt;=1)</x:f>
        <x:v>1</x:v>
      </x:c>
      <x:c r="F267" s="42" t="n">
        <x:f>$B$8*SUM($E$18:E267)/A267</x:f>
        <x:v>102.144</x:v>
      </x:c>
      <x:c r="G267" s="42" t="n">
        <x:f>$B$11</x:f>
        <x:v>100.53096491487338</x:v>
      </x:c>
      <x:c r="I267" t="n">
        <x:f>A267</x:f>
        <x:v>250</x:v>
      </x:c>
      <x:c r="J267" t="n">
        <x:f>F267</x:f>
        <x:v>102.144</x:v>
      </x:c>
      <x:c r="K267" t="n">
        <x:f>G267</x:f>
        <x:v>100.53096491487338</x:v>
      </x:c>
    </x:row>
    <x:row r="268">
      <x:c r="A268" t="n">
        <x:v>251</x:v>
      </x:c>
      <x:c r="B268" s="40" t="n">
        <x:v>0.6077241023198967</x:v>
      </x:c>
      <x:c r="C268" s="40" t="n">
        <x:v>0.2034337963342372</x:v>
      </x:c>
      <x:c r="D268" s="40" t="n">
        <x:v>-1.277934304858622</x:v>
      </x:c>
      <x:c r="E268" t="n">
        <x:f>--((B268^2/$B$4^2+C268^2/$B$5^2+D268^2/$B$6^2)&lt;=1)</x:f>
        <x:v>1</x:v>
      </x:c>
      <x:c r="F268" s="42" t="n">
        <x:f>$B$8*SUM($E$18:E268)/A268</x:f>
        <x:v>102.5019920318725</x:v>
      </x:c>
      <x:c r="G268" s="42" t="n">
        <x:f>$B$11</x:f>
        <x:v>100.53096491487338</x:v>
      </x:c>
      <x:c r="I268" t="n">
        <x:f>A268</x:f>
        <x:v>251</x:v>
      </x:c>
      <x:c r="J268" t="n">
        <x:f>F268</x:f>
        <x:v>102.5019920318725</x:v>
      </x:c>
      <x:c r="K268" t="n">
        <x:f>G268</x:f>
        <x:v>100.53096491487338</x:v>
      </x:c>
    </x:row>
    <x:row r="269">
      <x:c r="A269" t="n">
        <x:v>252</x:v>
      </x:c>
      <x:c r="B269" s="40" t="n">
        <x:v>1.4699625270092995</x:v>
      </x:c>
      <x:c r="C269" s="40" t="n">
        <x:v>1.6311632450635543</x:v>
      </x:c>
      <x:c r="D269" s="40" t="n">
        <x:v>-2.8013373384615523</x:v>
      </x:c>
      <x:c r="E269" t="n">
        <x:f>--((B269^2/$B$4^2+C269^2/$B$5^2+D269^2/$B$6^2)&lt;=1)</x:f>
        <x:v>0</x:v>
      </x:c>
      <x:c r="F269" s="42" t="n">
        <x:f>$B$8*SUM($E$18:E269)/A269</x:f>
        <x:v>102.0952380952381</x:v>
      </x:c>
      <x:c r="G269" s="42" t="n">
        <x:f>$B$11</x:f>
        <x:v>100.53096491487338</x:v>
      </x:c>
      <x:c r="I269" t="n">
        <x:f>A269</x:f>
        <x:v>252</x:v>
      </x:c>
      <x:c r="J269" t="n">
        <x:f>F269</x:f>
        <x:v>102.0952380952381</x:v>
      </x:c>
      <x:c r="K269" t="n">
        <x:f>G269</x:f>
        <x:v>100.53096491487338</x:v>
      </x:c>
    </x:row>
    <x:row r="270">
      <x:c r="A270" t="n">
        <x:v>253</x:v>
      </x:c>
      <x:c r="B270" s="40" t="n">
        <x:v>-0.18441247169480102</x:v>
      </x:c>
      <x:c r="C270" s="40" t="n">
        <x:v>-0.7267922619122569</x:v>
      </x:c>
      <x:c r="D270" s="40" t="n">
        <x:v>-2.5059619543087734</x:v>
      </x:c>
      <x:c r="E270" t="n">
        <x:f>--((B270^2/$B$4^2+C270^2/$B$5^2+D270^2/$B$6^2)&lt;=1)</x:f>
        <x:v>1</x:v>
      </x:c>
      <x:c r="F270" s="42" t="n">
        <x:f>$B$8*SUM($E$18:E270)/A270</x:f>
        <x:v>102.4505928853755</x:v>
      </x:c>
      <x:c r="G270" s="42" t="n">
        <x:f>$B$11</x:f>
        <x:v>100.53096491487338</x:v>
      </x:c>
      <x:c r="I270" t="n">
        <x:f>A270</x:f>
        <x:v>253</x:v>
      </x:c>
      <x:c r="J270" t="n">
        <x:f>F270</x:f>
        <x:v>102.4505928853755</x:v>
      </x:c>
      <x:c r="K270" t="n">
        <x:f>G270</x:f>
        <x:v>100.53096491487338</x:v>
      </x:c>
    </x:row>
    <x:row r="271">
      <x:c r="A271" t="n">
        <x:v>254</x:v>
      </x:c>
      <x:c r="B271" s="40" t="n">
        <x:v>-1.0086417481945675</x:v>
      </x:c>
      <x:c r="C271" s="40" t="n">
        <x:v>0.5251169553350437</x:v>
      </x:c>
      <x:c r="D271" s="40" t="n">
        <x:v>0.24605121548855635</x:v>
      </x:c>
      <x:c r="E271" t="n">
        <x:f>--((B271^2/$B$4^2+C271^2/$B$5^2+D271^2/$B$6^2)&lt;=1)</x:f>
        <x:v>1</x:v>
      </x:c>
      <x:c r="F271" s="42" t="n">
        <x:f>$B$8*SUM($E$18:E271)/A271</x:f>
        <x:v>102.80314960629921</x:v>
      </x:c>
      <x:c r="G271" s="42" t="n">
        <x:f>$B$11</x:f>
        <x:v>100.53096491487338</x:v>
      </x:c>
      <x:c r="I271" t="n">
        <x:f>A271</x:f>
        <x:v>254</x:v>
      </x:c>
      <x:c r="J271" t="n">
        <x:f>F271</x:f>
        <x:v>102.80314960629921</x:v>
      </x:c>
      <x:c r="K271" t="n">
        <x:f>G271</x:f>
        <x:v>100.53096491487338</x:v>
      </x:c>
    </x:row>
    <x:row r="272">
      <x:c r="A272" t="n">
        <x:v>255</x:v>
      </x:c>
      <x:c r="B272" s="40" t="n">
        <x:v>-1.0533505480096754</x:v>
      </x:c>
      <x:c r="C272" s="40" t="n">
        <x:v>2.7972157522090573</x:v>
      </x:c>
      <x:c r="D272" s="40" t="n">
        <x:v>2.7694522347599024</x:v>
      </x:c>
      <x:c r="E272" t="n">
        <x:f>--((B272^2/$B$4^2+C272^2/$B$5^2+D272^2/$B$6^2)&lt;=1)</x:f>
        <x:v>0</x:v>
      </x:c>
      <x:c r="F272" s="42" t="n">
        <x:f>$B$8*SUM($E$18:E272)/A272</x:f>
        <x:v>102.4</x:v>
      </x:c>
      <x:c r="G272" s="42" t="n">
        <x:f>$B$11</x:f>
        <x:v>100.53096491487338</x:v>
      </x:c>
      <x:c r="I272" t="n">
        <x:f>A272</x:f>
        <x:v>255</x:v>
      </x:c>
      <x:c r="J272" t="n">
        <x:f>F272</x:f>
        <x:v>102.4</x:v>
      </x:c>
      <x:c r="K272" t="n">
        <x:f>G272</x:f>
        <x:v>100.53096491487338</x:v>
      </x:c>
    </x:row>
    <x:row r="273">
      <x:c r="A273" t="n">
        <x:v>256</x:v>
      </x:c>
      <x:c r="B273" s="40" t="n">
        <x:v>0.9840571209737856</x:v>
      </x:c>
      <x:c r="C273" s="40" t="n">
        <x:v>0.13188068470830405</x:v>
      </x:c>
      <x:c r="D273" s="40" t="n">
        <x:v>-3.4347942738311152</x:v>
      </x:c>
      <x:c r="E273" t="n">
        <x:f>--((B273^2/$B$4^2+C273^2/$B$5^2+D273^2/$B$6^2)&lt;=1)</x:f>
        <x:v>1</x:v>
      </x:c>
      <x:c r="F273" s="42" t="n">
        <x:f>$B$8*SUM($E$18:E273)/A273</x:f>
        <x:v>102.75</x:v>
      </x:c>
      <x:c r="G273" s="42" t="n">
        <x:f>$B$11</x:f>
        <x:v>100.53096491487338</x:v>
      </x:c>
      <x:c r="I273" t="n">
        <x:f>A273</x:f>
        <x:v>256</x:v>
      </x:c>
      <x:c r="J273" t="n">
        <x:f>F273</x:f>
        <x:v>102.75</x:v>
      </x:c>
      <x:c r="K273" t="n">
        <x:f>G273</x:f>
        <x:v>100.53096491487338</x:v>
      </x:c>
    </x:row>
    <x:row r="274">
      <x:c r="A274" t="n">
        <x:v>257</x:v>
      </x:c>
      <x:c r="B274" s="40" t="n">
        <x:v>1.2662750536956415</x:v>
      </x:c>
      <x:c r="C274" s="40" t="n">
        <x:v>2.4587854591052665</x:v>
      </x:c>
      <x:c r="D274" s="40" t="n">
        <x:v>-3.756152727002805</x:v>
      </x:c>
      <x:c r="E274" t="n">
        <x:f>--((B274^2/$B$4^2+C274^2/$B$5^2+D274^2/$B$6^2)&lt;=1)</x:f>
        <x:v>0</x:v>
      </x:c>
      <x:c r="F274" s="42" t="n">
        <x:f>$B$8*SUM($E$18:E274)/A274</x:f>
        <x:v>102.35019455252919</x:v>
      </x:c>
      <x:c r="G274" s="42" t="n">
        <x:f>$B$11</x:f>
        <x:v>100.53096491487338</x:v>
      </x:c>
      <x:c r="I274" t="n">
        <x:f>A274</x:f>
        <x:v>257</x:v>
      </x:c>
      <x:c r="J274" t="n">
        <x:f>F274</x:f>
        <x:v>102.35019455252919</x:v>
      </x:c>
      <x:c r="K274" t="n">
        <x:f>G274</x:f>
        <x:v>100.53096491487338</x:v>
      </x:c>
    </x:row>
    <x:row r="275">
      <x:c r="A275" t="n">
        <x:v>258</x:v>
      </x:c>
      <x:c r="B275" s="40" t="n">
        <x:v>-1.5788876805835002</x:v>
      </x:c>
      <x:c r="C275" s="40" t="n">
        <x:v>1.7620357455385616</x:v>
      </x:c>
      <x:c r="D275" s="40" t="n">
        <x:v>-0.27865491330525494</x:v>
      </x:c>
      <x:c r="E275" t="n">
        <x:f>--((B275^2/$B$4^2+C275^2/$B$5^2+D275^2/$B$6^2)&lt;=1)</x:f>
        <x:v>1</x:v>
      </x:c>
      <x:c r="F275" s="42" t="n">
        <x:f>$B$8*SUM($E$18:E275)/A275</x:f>
        <x:v>102.69767441860465</x:v>
      </x:c>
      <x:c r="G275" s="42" t="n">
        <x:f>$B$11</x:f>
        <x:v>100.53096491487338</x:v>
      </x:c>
      <x:c r="I275" t="n">
        <x:f>A275</x:f>
        <x:v>258</x:v>
      </x:c>
      <x:c r="J275" t="n">
        <x:f>F275</x:f>
        <x:v>102.69767441860465</x:v>
      </x:c>
      <x:c r="K275" t="n">
        <x:f>G275</x:f>
        <x:v>100.53096491487338</x:v>
      </x:c>
    </x:row>
    <x:row r="276">
      <x:c r="A276" t="n">
        <x:v>259</x:v>
      </x:c>
      <x:c r="B276" s="40" t="n">
        <x:v>-1.7337645721792874</x:v>
      </x:c>
      <x:c r="C276" s="40" t="n">
        <x:v>-2.6476879100991018</x:v>
      </x:c>
      <x:c r="D276" s="40" t="n">
        <x:v>3.6494993204290775</x:v>
      </x:c>
      <x:c r="E276" t="n">
        <x:f>--((B276^2/$B$4^2+C276^2/$B$5^2+D276^2/$B$6^2)&lt;=1)</x:f>
        <x:v>0</x:v>
      </x:c>
      <x:c r="F276" s="42" t="n">
        <x:f>$B$8*SUM($E$18:E276)/A276</x:f>
        <x:v>102.3011583011583</x:v>
      </x:c>
      <x:c r="G276" s="42" t="n">
        <x:f>$B$11</x:f>
        <x:v>100.53096491487338</x:v>
      </x:c>
      <x:c r="I276" t="n">
        <x:f>A276</x:f>
        <x:v>259</x:v>
      </x:c>
      <x:c r="J276" t="n">
        <x:f>F276</x:f>
        <x:v>102.3011583011583</x:v>
      </x:c>
      <x:c r="K276" t="n">
        <x:f>G276</x:f>
        <x:v>100.53096491487338</x:v>
      </x:c>
    </x:row>
    <x:row r="277">
      <x:c r="A277" t="n">
        <x:v>260</x:v>
      </x:c>
      <x:c r="B277" s="40" t="n">
        <x:v>0.37773465502580716</x:v>
      </x:c>
      <x:c r="C277" s="40" t="n">
        <x:v>-0.42540677118445913</x:v>
      </x:c>
      <x:c r="D277" s="40" t="n">
        <x:v>-1.7679215726869888</x:v>
      </x:c>
      <x:c r="E277" t="n">
        <x:f>--((B277^2/$B$4^2+C277^2/$B$5^2+D277^2/$B$6^2)&lt;=1)</x:f>
        <x:v>1</x:v>
      </x:c>
      <x:c r="F277" s="42" t="n">
        <x:f>$B$8*SUM($E$18:E277)/A277</x:f>
        <x:v>102.64615384615385</x:v>
      </x:c>
      <x:c r="G277" s="42" t="n">
        <x:f>$B$11</x:f>
        <x:v>100.53096491487338</x:v>
      </x:c>
      <x:c r="I277" t="n">
        <x:f>A277</x:f>
        <x:v>260</x:v>
      </x:c>
      <x:c r="J277" t="n">
        <x:f>F277</x:f>
        <x:v>102.64615384615385</x:v>
      </x:c>
      <x:c r="K277" t="n">
        <x:f>G277</x:f>
        <x:v>100.53096491487338</x:v>
      </x:c>
    </x:row>
    <x:row r="278">
      <x:c r="A278" t="n">
        <x:v>261</x:v>
      </x:c>
      <x:c r="B278" s="40" t="n">
        <x:v>-1.4153070232292069</x:v>
      </x:c>
      <x:c r="C278" s="40" t="n">
        <x:v>1.1899104472115285</x:v>
      </x:c>
      <x:c r="D278" s="40" t="n">
        <x:v>3.6733643125363864</x:v>
      </x:c>
      <x:c r="E278" t="n">
        <x:f>--((B278^2/$B$4^2+C278^2/$B$5^2+D278^2/$B$6^2)&lt;=1)</x:f>
        <x:v>0</x:v>
      </x:c>
      <x:c r="F278" s="42" t="n">
        <x:f>$B$8*SUM($E$18:E278)/A278</x:f>
        <x:v>102.25287356321839</x:v>
      </x:c>
      <x:c r="G278" s="42" t="n">
        <x:f>$B$11</x:f>
        <x:v>100.53096491487338</x:v>
      </x:c>
      <x:c r="I278" t="n">
        <x:f>A278</x:f>
        <x:v>261</x:v>
      </x:c>
      <x:c r="J278" t="n">
        <x:f>F278</x:f>
        <x:v>102.25287356321839</x:v>
      </x:c>
      <x:c r="K278" t="n">
        <x:f>G278</x:f>
        <x:v>100.53096491487338</x:v>
      </x:c>
    </x:row>
    <x:row r="279">
      <x:c r="A279" t="n">
        <x:v>262</x:v>
      </x:c>
      <x:c r="B279" s="40" t="n">
        <x:v>1.2986567618253653</x:v>
      </x:c>
      <x:c r="C279" s="40" t="n">
        <x:v>2.9202714746891996</x:v>
      </x:c>
      <x:c r="D279" s="40" t="n">
        <x:v>3.1014494127200107</x:v>
      </x:c>
      <x:c r="E279" t="n">
        <x:f>--((B279^2/$B$4^2+C279^2/$B$5^2+D279^2/$B$6^2)&lt;=1)</x:f>
        <x:v>0</x:v>
      </x:c>
      <x:c r="F279" s="42" t="n">
        <x:f>$B$8*SUM($E$18:E279)/A279</x:f>
        <x:v>101.86259541984732</x:v>
      </x:c>
      <x:c r="G279" s="42" t="n">
        <x:f>$B$11</x:f>
        <x:v>100.53096491487338</x:v>
      </x:c>
      <x:c r="I279" t="n">
        <x:f>A279</x:f>
        <x:v>262</x:v>
      </x:c>
      <x:c r="J279" t="n">
        <x:f>F279</x:f>
        <x:v>101.86259541984732</x:v>
      </x:c>
      <x:c r="K279" t="n">
        <x:f>G279</x:f>
        <x:v>100.53096491487338</x:v>
      </x:c>
    </x:row>
    <x:row r="280">
      <x:c r="A280" t="n">
        <x:v>263</x:v>
      </x:c>
      <x:c r="B280" s="40" t="n">
        <x:v>-0.7586613043037023</x:v>
      </x:c>
      <x:c r="C280" s="40" t="n">
        <x:v>-0.24974225303092457</x:v>
      </x:c>
      <x:c r="D280" s="40" t="n">
        <x:v>-1.734919388899911</x:v>
      </x:c>
      <x:c r="E280" t="n">
        <x:f>--((B280^2/$B$4^2+C280^2/$B$5^2+D280^2/$B$6^2)&lt;=1)</x:f>
        <x:v>1</x:v>
      </x:c>
      <x:c r="F280" s="42" t="n">
        <x:f>$B$8*SUM($E$18:E280)/A280</x:f>
        <x:v>102.20532319391636</x:v>
      </x:c>
      <x:c r="G280" s="42" t="n">
        <x:f>$B$11</x:f>
        <x:v>100.53096491487338</x:v>
      </x:c>
      <x:c r="I280" t="n">
        <x:f>A280</x:f>
        <x:v>263</x:v>
      </x:c>
      <x:c r="J280" t="n">
        <x:f>F280</x:f>
        <x:v>102.20532319391636</x:v>
      </x:c>
      <x:c r="K280" t="n">
        <x:f>G280</x:f>
        <x:v>100.53096491487338</x:v>
      </x:c>
    </x:row>
    <x:row r="281">
      <x:c r="A281" t="n">
        <x:v>264</x:v>
      </x:c>
      <x:c r="B281" s="40" t="n">
        <x:v>-1.4245122681154294</x:v>
      </x:c>
      <x:c r="C281" s="40" t="n">
        <x:v>-2.4432872752395633</x:v>
      </x:c>
      <x:c r="D281" s="40" t="n">
        <x:v>2.535584514049174</x:v>
      </x:c>
      <x:c r="E281" t="n">
        <x:f>--((B281^2/$B$4^2+C281^2/$B$5^2+D281^2/$B$6^2)&lt;=1)</x:f>
        <x:v>0</x:v>
      </x:c>
      <x:c r="F281" s="42" t="n">
        <x:f>$B$8*SUM($E$18:E281)/A281</x:f>
        <x:v>101.81818181818181</x:v>
      </x:c>
      <x:c r="G281" s="42" t="n">
        <x:f>$B$11</x:f>
        <x:v>100.53096491487338</x:v>
      </x:c>
      <x:c r="I281" t="n">
        <x:f>A281</x:f>
        <x:v>264</x:v>
      </x:c>
      <x:c r="J281" t="n">
        <x:f>F281</x:f>
        <x:v>101.81818181818181</x:v>
      </x:c>
      <x:c r="K281" t="n">
        <x:f>G281</x:f>
        <x:v>100.53096491487338</x:v>
      </x:c>
    </x:row>
    <x:row r="282">
      <x:c r="A282" t="n">
        <x:v>265</x:v>
      </x:c>
      <x:c r="B282" s="40" t="n">
        <x:v>1.683881889949801</x:v>
      </x:c>
      <x:c r="C282" s="40" t="n">
        <x:v>0.3720550482772067</x:v>
      </x:c>
      <x:c r="D282" s="40" t="n">
        <x:v>1.4869384205505503</x:v>
      </x:c>
      <x:c r="E282" t="n">
        <x:f>--((B282^2/$B$4^2+C282^2/$B$5^2+D282^2/$B$6^2)&lt;=1)</x:f>
        <x:v>1</x:v>
      </x:c>
      <x:c r="F282" s="42" t="n">
        <x:f>$B$8*SUM($E$18:E282)/A282</x:f>
        <x:v>102.15849056603774</x:v>
      </x:c>
      <x:c r="G282" s="42" t="n">
        <x:f>$B$11</x:f>
        <x:v>100.53096491487338</x:v>
      </x:c>
      <x:c r="I282" t="n">
        <x:f>A282</x:f>
        <x:v>265</x:v>
      </x:c>
      <x:c r="J282" t="n">
        <x:f>F282</x:f>
        <x:v>102.15849056603774</x:v>
      </x:c>
      <x:c r="K282" t="n">
        <x:f>G282</x:f>
        <x:v>100.53096491487338</x:v>
      </x:c>
    </x:row>
    <x:row r="283">
      <x:c r="A283" t="n">
        <x:v>266</x:v>
      </x:c>
      <x:c r="B283" s="40" t="n">
        <x:v>-1.3378731090588873</x:v>
      </x:c>
      <x:c r="C283" s="40" t="n">
        <x:v>-2.240617247256238</x:v>
      </x:c>
      <x:c r="D283" s="40" t="n">
        <x:v>0.0945791112380574</x:v>
      </x:c>
      <x:c r="E283" t="n">
        <x:f>--((B283^2/$B$4^2+C283^2/$B$5^2+D283^2/$B$6^2)&lt;=1)</x:f>
        <x:v>0</x:v>
      </x:c>
      <x:c r="F283" s="42" t="n">
        <x:f>$B$8*SUM($E$18:E283)/A283</x:f>
        <x:v>101.77443609022556</x:v>
      </x:c>
      <x:c r="G283" s="42" t="n">
        <x:f>$B$11</x:f>
        <x:v>100.53096491487338</x:v>
      </x:c>
      <x:c r="I283" t="n">
        <x:f>A283</x:f>
        <x:v>266</x:v>
      </x:c>
      <x:c r="J283" t="n">
        <x:f>F283</x:f>
        <x:v>101.77443609022556</x:v>
      </x:c>
      <x:c r="K283" t="n">
        <x:f>G283</x:f>
        <x:v>100.53096491487338</x:v>
      </x:c>
    </x:row>
    <x:row r="284">
      <x:c r="A284" t="n">
        <x:v>267</x:v>
      </x:c>
      <x:c r="B284" s="40" t="n">
        <x:v>-0.8611196706482578</x:v>
      </x:c>
      <x:c r="C284" s="40" t="n">
        <x:v>1.5091173616763598</x:v>
      </x:c>
      <x:c r="D284" s="40" t="n">
        <x:v>-0.6166708556570022</x:v>
      </x:c>
      <x:c r="E284" t="n">
        <x:f>--((B284^2/$B$4^2+C284^2/$B$5^2+D284^2/$B$6^2)&lt;=1)</x:f>
        <x:v>1</x:v>
      </x:c>
      <x:c r="F284" s="42" t="n">
        <x:f>$B$8*SUM($E$18:E284)/A284</x:f>
        <x:v>102.11235955056179</x:v>
      </x:c>
      <x:c r="G284" s="42" t="n">
        <x:f>$B$11</x:f>
        <x:v>100.53096491487338</x:v>
      </x:c>
      <x:c r="I284" t="n">
        <x:f>A284</x:f>
        <x:v>267</x:v>
      </x:c>
      <x:c r="J284" t="n">
        <x:f>F284</x:f>
        <x:v>102.11235955056179</x:v>
      </x:c>
      <x:c r="K284" t="n">
        <x:f>G284</x:f>
        <x:v>100.53096491487338</x:v>
      </x:c>
    </x:row>
    <x:row r="285">
      <x:c r="A285" t="n">
        <x:v>268</x:v>
      </x:c>
      <x:c r="B285" s="40" t="n">
        <x:v>-1.3855464192317655</x:v>
      </x:c>
      <x:c r="C285" s="40" t="n">
        <x:v>0.04606198477066714</x:v>
      </x:c>
      <x:c r="D285" s="40" t="n">
        <x:v>2.524022047403654</x:v>
      </x:c>
      <x:c r="E285" t="n">
        <x:f>--((B285^2/$B$4^2+C285^2/$B$5^2+D285^2/$B$6^2)&lt;=1)</x:f>
        <x:v>1</x:v>
      </x:c>
      <x:c r="F285" s="42" t="n">
        <x:f>$B$8*SUM($E$18:E285)/A285</x:f>
        <x:v>102.44776119402985</x:v>
      </x:c>
      <x:c r="G285" s="42" t="n">
        <x:f>$B$11</x:f>
        <x:v>100.53096491487338</x:v>
      </x:c>
      <x:c r="I285" t="n">
        <x:f>A285</x:f>
        <x:v>268</x:v>
      </x:c>
      <x:c r="J285" t="n">
        <x:f>F285</x:f>
        <x:v>102.44776119402985</x:v>
      </x:c>
      <x:c r="K285" t="n">
        <x:f>G285</x:f>
        <x:v>100.53096491487338</x:v>
      </x:c>
    </x:row>
    <x:row r="286">
      <x:c r="A286" t="n">
        <x:v>269</x:v>
      </x:c>
      <x:c r="B286" s="40" t="n">
        <x:v>-1.5380397453385801</x:v>
      </x:c>
      <x:c r="C286" s="40" t="n">
        <x:v>1.3405882102637188</x:v>
      </x:c>
      <x:c r="D286" s="40" t="n">
        <x:v>2.34463546156017</x:v>
      </x:c>
      <x:c r="E286" t="n">
        <x:f>--((B286^2/$B$4^2+C286^2/$B$5^2+D286^2/$B$6^2)&lt;=1)</x:f>
        <x:v>0</x:v>
      </x:c>
      <x:c r="F286" s="42" t="n">
        <x:f>$B$8*SUM($E$18:E286)/A286</x:f>
        <x:v>102.06691449814126</x:v>
      </x:c>
      <x:c r="G286" s="42" t="n">
        <x:f>$B$11</x:f>
        <x:v>100.53096491487338</x:v>
      </x:c>
      <x:c r="I286" t="n">
        <x:f>A286</x:f>
        <x:v>269</x:v>
      </x:c>
      <x:c r="J286" t="n">
        <x:f>F286</x:f>
        <x:v>102.06691449814126</x:v>
      </x:c>
      <x:c r="K286" t="n">
        <x:f>G286</x:f>
        <x:v>100.53096491487338</x:v>
      </x:c>
    </x:row>
    <x:row r="287">
      <x:c r="A287" t="n">
        <x:v>270</x:v>
      </x:c>
      <x:c r="B287" s="40" t="n">
        <x:v>-1.9154079346542399</x:v>
      </x:c>
      <x:c r="C287" s="40" t="n">
        <x:v>2.2161709612711427</x:v>
      </x:c>
      <x:c r="D287" s="40" t="n">
        <x:v>2.0554906875404733</x:v>
      </x:c>
      <x:c r="E287" t="n">
        <x:f>--((B287^2/$B$4^2+C287^2/$B$5^2+D287^2/$B$6^2)&lt;=1)</x:f>
        <x:v>0</x:v>
      </x:c>
      <x:c r="F287" s="42" t="n">
        <x:f>$B$8*SUM($E$18:E287)/A287</x:f>
        <x:v>101.68888888888888</x:v>
      </x:c>
      <x:c r="G287" s="42" t="n">
        <x:f>$B$11</x:f>
        <x:v>100.53096491487338</x:v>
      </x:c>
      <x:c r="I287" t="n">
        <x:f>A287</x:f>
        <x:v>270</x:v>
      </x:c>
      <x:c r="J287" t="n">
        <x:f>F287</x:f>
        <x:v>101.68888888888888</x:v>
      </x:c>
      <x:c r="K287" t="n">
        <x:f>G287</x:f>
        <x:v>100.53096491487338</x:v>
      </x:c>
    </x:row>
    <x:row r="288">
      <x:c r="A288" t="n">
        <x:v>271</x:v>
      </x:c>
      <x:c r="B288" s="40" t="n">
        <x:v>-1.7784183633429596</x:v>
      </x:c>
      <x:c r="C288" s="40" t="n">
        <x:v>0.7736881029766627</x:v>
      </x:c>
      <x:c r="D288" s="40" t="n">
        <x:v>3.986047609722367</x:v>
      </x:c>
      <x:c r="E288" t="n">
        <x:f>--((B288^2/$B$4^2+C288^2/$B$5^2+D288^2/$B$6^2)&lt;=1)</x:f>
        <x:v>0</x:v>
      </x:c>
      <x:c r="F288" s="42" t="n">
        <x:f>$B$8*SUM($E$18:E288)/A288</x:f>
        <x:v>101.31365313653137</x:v>
      </x:c>
      <x:c r="G288" s="42" t="n">
        <x:f>$B$11</x:f>
        <x:v>100.53096491487338</x:v>
      </x:c>
      <x:c r="I288" t="n">
        <x:f>A288</x:f>
        <x:v>271</x:v>
      </x:c>
      <x:c r="J288" t="n">
        <x:f>F288</x:f>
        <x:v>101.31365313653137</x:v>
      </x:c>
      <x:c r="K288" t="n">
        <x:f>G288</x:f>
        <x:v>100.53096491487338</x:v>
      </x:c>
    </x:row>
    <x:row r="289">
      <x:c r="A289" t="n">
        <x:v>272</x:v>
      </x:c>
      <x:c r="B289" s="40" t="n">
        <x:v>-1.3014341162565892</x:v>
      </x:c>
      <x:c r="C289" s="40" t="n">
        <x:v>0.6746359755190894</x:v>
      </x:c>
      <x:c r="D289" s="40" t="n">
        <x:v>-0.1719003124689289</x:v>
      </x:c>
      <x:c r="E289" t="n">
        <x:f>--((B289^2/$B$4^2+C289^2/$B$5^2+D289^2/$B$6^2)&lt;=1)</x:f>
        <x:v>1</x:v>
      </x:c>
      <x:c r="F289" s="42" t="n">
        <x:f>$B$8*SUM($E$18:E289)/A289</x:f>
        <x:v>101.6470588235294</x:v>
      </x:c>
      <x:c r="G289" s="42" t="n">
        <x:f>$B$11</x:f>
        <x:v>100.53096491487338</x:v>
      </x:c>
      <x:c r="I289" t="n">
        <x:f>A289</x:f>
        <x:v>272</x:v>
      </x:c>
      <x:c r="J289" t="n">
        <x:f>F289</x:f>
        <x:v>101.6470588235294</x:v>
      </x:c>
      <x:c r="K289" t="n">
        <x:f>G289</x:f>
        <x:v>100.53096491487338</x:v>
      </x:c>
    </x:row>
    <x:row r="290">
      <x:c r="A290" t="n">
        <x:v>273</x:v>
      </x:c>
      <x:c r="B290" s="40" t="n">
        <x:v>-1.7864722694912984</x:v>
      </x:c>
      <x:c r="C290" s="40" t="n">
        <x:v>1.527421772637788</x:v>
      </x:c>
      <x:c r="D290" s="40" t="n">
        <x:v>2.4553838225593267</x:v>
      </x:c>
      <x:c r="E290" t="n">
        <x:f>--((B290^2/$B$4^2+C290^2/$B$5^2+D290^2/$B$6^2)&lt;=1)</x:f>
        <x:v>0</x:v>
      </x:c>
      <x:c r="F290" s="42" t="n">
        <x:f>$B$8*SUM($E$18:E290)/A290</x:f>
        <x:v>101.27472527472527</x:v>
      </x:c>
      <x:c r="G290" s="42" t="n">
        <x:f>$B$11</x:f>
        <x:v>100.53096491487338</x:v>
      </x:c>
      <x:c r="I290" t="n">
        <x:f>A290</x:f>
        <x:v>273</x:v>
      </x:c>
      <x:c r="J290" t="n">
        <x:f>F290</x:f>
        <x:v>101.27472527472527</x:v>
      </x:c>
      <x:c r="K290" t="n">
        <x:f>G290</x:f>
        <x:v>100.53096491487338</x:v>
      </x:c>
    </x:row>
    <x:row r="291">
      <x:c r="A291" t="n">
        <x:v>274</x:v>
      </x:c>
      <x:c r="B291" s="40" t="n">
        <x:v>0.3645752644438849</x:v>
      </x:c>
      <x:c r="C291" s="40" t="n">
        <x:v>2.054730008716004</x:v>
      </x:c>
      <x:c r="D291" s="40" t="n">
        <x:v>2.8998269358678277</x:v>
      </x:c>
      <x:c r="E291" t="n">
        <x:f>--((B291^2/$B$4^2+C291^2/$B$5^2+D291^2/$B$6^2)&lt;=1)</x:f>
        <x:v>0</x:v>
      </x:c>
      <x:c r="F291" s="42" t="n">
        <x:f>$B$8*SUM($E$18:E291)/A291</x:f>
        <x:v>100.9051094890511</x:v>
      </x:c>
      <x:c r="G291" s="42" t="n">
        <x:f>$B$11</x:f>
        <x:v>100.53096491487338</x:v>
      </x:c>
      <x:c r="I291" t="n">
        <x:f>A291</x:f>
        <x:v>274</x:v>
      </x:c>
      <x:c r="J291" t="n">
        <x:f>F291</x:f>
        <x:v>100.9051094890511</x:v>
      </x:c>
      <x:c r="K291" t="n">
        <x:f>G291</x:f>
        <x:v>100.53096491487338</x:v>
      </x:c>
    </x:row>
    <x:row r="292">
      <x:c r="A292" t="n">
        <x:v>275</x:v>
      </x:c>
      <x:c r="B292" s="40" t="n">
        <x:v>0.7228581071980256</x:v>
      </x:c>
      <x:c r="C292" s="40" t="n">
        <x:v>2.214322717662016</x:v>
      </x:c>
      <x:c r="D292" s="40" t="n">
        <x:v>-2.3071793483705285</x:v>
      </x:c>
      <x:c r="E292" t="n">
        <x:f>--((B292^2/$B$4^2+C292^2/$B$5^2+D292^2/$B$6^2)&lt;=1)</x:f>
        <x:v>0</x:v>
      </x:c>
      <x:c r="F292" s="42" t="n">
        <x:f>$B$8*SUM($E$18:E292)/A292</x:f>
        <x:v>100.53818181818181</x:v>
      </x:c>
      <x:c r="G292" s="42" t="n">
        <x:f>$B$11</x:f>
        <x:v>100.53096491487338</x:v>
      </x:c>
      <x:c r="I292" t="n">
        <x:f>A292</x:f>
        <x:v>275</x:v>
      </x:c>
      <x:c r="J292" t="n">
        <x:f>F292</x:f>
        <x:v>100.53818181818181</x:v>
      </x:c>
      <x:c r="K292" t="n">
        <x:f>G292</x:f>
        <x:v>100.53096491487338</x:v>
      </x:c>
    </x:row>
    <x:row r="293">
      <x:c r="A293" t="n">
        <x:v>276</x:v>
      </x:c>
      <x:c r="B293" s="40" t="n">
        <x:v>-0.42547817267188703</x:v>
      </x:c>
      <x:c r="C293" s="40" t="n">
        <x:v>-2.7814188259027004</x:v>
      </x:c>
      <x:c r="D293" s="40" t="n">
        <x:v>-3.663468463575512</x:v>
      </x:c>
      <x:c r="E293" t="n">
        <x:f>--((B293^2/$B$4^2+C293^2/$B$5^2+D293^2/$B$6^2)&lt;=1)</x:f>
        <x:v>0</x:v>
      </x:c>
      <x:c r="F293" s="42" t="n">
        <x:f>$B$8*SUM($E$18:E293)/A293</x:f>
        <x:v>100.17391304347827</x:v>
      </x:c>
      <x:c r="G293" s="42" t="n">
        <x:f>$B$11</x:f>
        <x:v>100.53096491487338</x:v>
      </x:c>
      <x:c r="I293" t="n">
        <x:f>A293</x:f>
        <x:v>276</x:v>
      </x:c>
      <x:c r="J293" t="n">
        <x:f>F293</x:f>
        <x:v>100.17391304347827</x:v>
      </x:c>
      <x:c r="K293" t="n">
        <x:f>G293</x:f>
        <x:v>100.53096491487338</x:v>
      </x:c>
    </x:row>
    <x:row r="294">
      <x:c r="A294" t="n">
        <x:v>277</x:v>
      </x:c>
      <x:c r="B294" s="40" t="n">
        <x:v>-0.7280356121918024</x:v>
      </x:c>
      <x:c r="C294" s="40" t="n">
        <x:v>0.3371417807867356</x:v>
      </x:c>
      <x:c r="D294" s="40" t="n">
        <x:v>-0.7620127824913627</x:v>
      </x:c>
      <x:c r="E294" t="n">
        <x:f>--((B294^2/$B$4^2+C294^2/$B$5^2+D294^2/$B$6^2)&lt;=1)</x:f>
        <x:v>1</x:v>
      </x:c>
      <x:c r="F294" s="42" t="n">
        <x:f>$B$8*SUM($E$18:E294)/A294</x:f>
        <x:v>100.50541516245487</x:v>
      </x:c>
      <x:c r="G294" s="42" t="n">
        <x:f>$B$11</x:f>
        <x:v>100.53096491487338</x:v>
      </x:c>
      <x:c r="I294" t="n">
        <x:f>A294</x:f>
        <x:v>277</x:v>
      </x:c>
      <x:c r="J294" t="n">
        <x:f>F294</x:f>
        <x:v>100.50541516245487</x:v>
      </x:c>
      <x:c r="K294" t="n">
        <x:f>G294</x:f>
        <x:v>100.53096491487338</x:v>
      </x:c>
    </x:row>
    <x:row r="295">
      <x:c r="A295" t="n">
        <x:v>278</x:v>
      </x:c>
      <x:c r="B295" s="40" t="n">
        <x:v>0.01810494808892038</x:v>
      </x:c>
      <x:c r="C295" s="40" t="n">
        <x:v>-1.7023841412146914</x:v>
      </x:c>
      <x:c r="D295" s="40" t="n">
        <x:v>2.853893475494208</x:v>
      </x:c>
      <x:c r="E295" t="n">
        <x:f>--((B295^2/$B$4^2+C295^2/$B$5^2+D295^2/$B$6^2)&lt;=1)</x:f>
        <x:v>1</x:v>
      </x:c>
      <x:c r="F295" s="42" t="n">
        <x:f>$B$8*SUM($E$18:E295)/A295</x:f>
        <x:v>100.83453237410072</x:v>
      </x:c>
      <x:c r="G295" s="42" t="n">
        <x:f>$B$11</x:f>
        <x:v>100.53096491487338</x:v>
      </x:c>
      <x:c r="I295" t="n">
        <x:f>A295</x:f>
        <x:v>278</x:v>
      </x:c>
      <x:c r="J295" t="n">
        <x:f>F295</x:f>
        <x:v>100.83453237410072</x:v>
      </x:c>
      <x:c r="K295" t="n">
        <x:f>G295</x:f>
        <x:v>100.53096491487338</x:v>
      </x:c>
    </x:row>
    <x:row r="296">
      <x:c r="A296" t="n">
        <x:v>279</x:v>
      </x:c>
      <x:c r="B296" s="40" t="n">
        <x:v>1.5000197689384343</x:v>
      </x:c>
      <x:c r="C296" s="40" t="n">
        <x:v>2.1620753446907006</x:v>
      </x:c>
      <x:c r="D296" s="40" t="n">
        <x:v>-1.6871737504439182</x:v>
      </x:c>
      <x:c r="E296" t="n">
        <x:f>--((B296^2/$B$4^2+C296^2/$B$5^2+D296^2/$B$6^2)&lt;=1)</x:f>
        <x:v>0</x:v>
      </x:c>
      <x:c r="F296" s="42" t="n">
        <x:f>$B$8*SUM($E$18:E296)/A296</x:f>
        <x:v>100.47311827956989</x:v>
      </x:c>
      <x:c r="G296" s="42" t="n">
        <x:f>$B$11</x:f>
        <x:v>100.53096491487338</x:v>
      </x:c>
      <x:c r="I296" t="n">
        <x:f>A296</x:f>
        <x:v>279</x:v>
      </x:c>
      <x:c r="J296" t="n">
        <x:f>F296</x:f>
        <x:v>100.47311827956989</x:v>
      </x:c>
      <x:c r="K296" t="n">
        <x:f>G296</x:f>
        <x:v>100.53096491487338</x:v>
      </x:c>
    </x:row>
    <x:row r="297">
      <x:c r="A297" t="n">
        <x:v>280</x:v>
      </x:c>
      <x:c r="B297" s="40" t="n">
        <x:v>1.404526507288824</x:v>
      </x:c>
      <x:c r="C297" s="40" t="n">
        <x:v>0.8903861112201668</x:v>
      </x:c>
      <x:c r="D297" s="40" t="n">
        <x:v>1.6000812325393925</x:v>
      </x:c>
      <x:c r="E297" t="n">
        <x:f>--((B297^2/$B$4^2+C297^2/$B$5^2+D297^2/$B$6^2)&lt;=1)</x:f>
        <x:v>1</x:v>
      </x:c>
      <x:c r="F297" s="42" t="n">
        <x:f>$B$8*SUM($E$18:E297)/A297</x:f>
        <x:v>100.8</x:v>
      </x:c>
      <x:c r="G297" s="42" t="n">
        <x:f>$B$11</x:f>
        <x:v>100.53096491487338</x:v>
      </x:c>
      <x:c r="I297" t="n">
        <x:f>A297</x:f>
        <x:v>280</x:v>
      </x:c>
      <x:c r="J297" t="n">
        <x:f>F297</x:f>
        <x:v>100.8</x:v>
      </x:c>
      <x:c r="K297" t="n">
        <x:f>G297</x:f>
        <x:v>100.53096491487338</x:v>
      </x:c>
    </x:row>
    <x:row r="298">
      <x:c r="A298" t="n">
        <x:v>281</x:v>
      </x:c>
      <x:c r="B298" s="40" t="n">
        <x:v>-1.8260997519488322</x:v>
      </x:c>
      <x:c r="C298" s="40" t="n">
        <x:v>-0.4786651258053709</x:v>
      </x:c>
      <x:c r="D298" s="40" t="n">
        <x:v>-3.9412148874858985</x:v>
      </x:c>
      <x:c r="E298" t="n">
        <x:f>--((B298^2/$B$4^2+C298^2/$B$5^2+D298^2/$B$6^2)&lt;=1)</x:f>
        <x:v>0</x:v>
      </x:c>
      <x:c r="F298" s="42" t="n">
        <x:f>$B$8*SUM($E$18:E298)/A298</x:f>
        <x:v>100.44128113879003</x:v>
      </x:c>
      <x:c r="G298" s="42" t="n">
        <x:f>$B$11</x:f>
        <x:v>100.53096491487338</x:v>
      </x:c>
      <x:c r="I298" t="n">
        <x:f>A298</x:f>
        <x:v>281</x:v>
      </x:c>
      <x:c r="J298" t="n">
        <x:f>F298</x:f>
        <x:v>100.44128113879003</x:v>
      </x:c>
      <x:c r="K298" t="n">
        <x:f>G298</x:f>
        <x:v>100.53096491487338</x:v>
      </x:c>
    </x:row>
    <x:row r="299">
      <x:c r="A299" t="n">
        <x:v>282</x:v>
      </x:c>
      <x:c r="B299" s="40" t="n">
        <x:v>-1.2740063616139037</x:v>
      </x:c>
      <x:c r="C299" s="40" t="n">
        <x:v>-1.8713746312718922</x:v>
      </x:c>
      <x:c r="D299" s="40" t="n">
        <x:v>-1.1570845414380981</x:v>
      </x:c>
      <x:c r="E299" t="n">
        <x:f>--((B299^2/$B$4^2+C299^2/$B$5^2+D299^2/$B$6^2)&lt;=1)</x:f>
        <x:v>1</x:v>
      </x:c>
      <x:c r="F299" s="42" t="n">
        <x:f>$B$8*SUM($E$18:E299)/A299</x:f>
        <x:v>100.76595744680851</x:v>
      </x:c>
      <x:c r="G299" s="42" t="n">
        <x:f>$B$11</x:f>
        <x:v>100.53096491487338</x:v>
      </x:c>
      <x:c r="I299" t="n">
        <x:f>A299</x:f>
        <x:v>282</x:v>
      </x:c>
      <x:c r="J299" t="n">
        <x:f>F299</x:f>
        <x:v>100.76595744680851</x:v>
      </x:c>
      <x:c r="K299" t="n">
        <x:f>G299</x:f>
        <x:v>100.53096491487338</x:v>
      </x:c>
    </x:row>
    <x:row r="300">
      <x:c r="A300" t="n">
        <x:v>283</x:v>
      </x:c>
      <x:c r="B300" s="40" t="n">
        <x:v>-1.053020515582416</x:v>
      </x:c>
      <x:c r="C300" s="40" t="n">
        <x:v>-0.9658582444810411</x:v>
      </x:c>
      <x:c r="D300" s="40" t="n">
        <x:v>0.9241335580652095</x:v>
      </x:c>
      <x:c r="E300" t="n">
        <x:f>--((B300^2/$B$4^2+C300^2/$B$5^2+D300^2/$B$6^2)&lt;=1)</x:f>
        <x:v>1</x:v>
      </x:c>
      <x:c r="F300" s="42" t="n">
        <x:f>$B$8*SUM($E$18:E300)/A300</x:f>
        <x:v>101.08833922261483</x:v>
      </x:c>
      <x:c r="G300" s="42" t="n">
        <x:f>$B$11</x:f>
        <x:v>100.53096491487338</x:v>
      </x:c>
      <x:c r="I300" t="n">
        <x:f>A300</x:f>
        <x:v>283</x:v>
      </x:c>
      <x:c r="J300" t="n">
        <x:f>F300</x:f>
        <x:v>101.08833922261483</x:v>
      </x:c>
      <x:c r="K300" t="n">
        <x:f>G300</x:f>
        <x:v>100.53096491487338</x:v>
      </x:c>
    </x:row>
    <x:row r="301">
      <x:c r="A301" t="n">
        <x:v>284</x:v>
      </x:c>
      <x:c r="B301" s="40" t="n">
        <x:v>-1.0024496966711527</x:v>
      </x:c>
      <x:c r="C301" s="40" t="n">
        <x:v>1.2226661672413472</x:v>
      </x:c>
      <x:c r="D301" s="40" t="n">
        <x:v>-2.961942479421305</x:v>
      </x:c>
      <x:c r="E301" t="n">
        <x:f>--((B301^2/$B$4^2+C301^2/$B$5^2+D301^2/$B$6^2)&lt;=1)</x:f>
        <x:v>1</x:v>
      </x:c>
      <x:c r="F301" s="42" t="n">
        <x:f>$B$8*SUM($E$18:E301)/A301</x:f>
        <x:v>101.40845070422536</x:v>
      </x:c>
      <x:c r="G301" s="42" t="n">
        <x:f>$B$11</x:f>
        <x:v>100.53096491487338</x:v>
      </x:c>
      <x:c r="I301" t="n">
        <x:f>A301</x:f>
        <x:v>284</x:v>
      </x:c>
      <x:c r="J301" t="n">
        <x:f>F301</x:f>
        <x:v>101.40845070422536</x:v>
      </x:c>
      <x:c r="K301" t="n">
        <x:f>G301</x:f>
        <x:v>100.53096491487338</x:v>
      </x:c>
    </x:row>
    <x:row r="302">
      <x:c r="A302" t="n">
        <x:v>285</x:v>
      </x:c>
      <x:c r="B302" s="40" t="n">
        <x:v>0.28493060697109085</x:v>
      </x:c>
      <x:c r="C302" s="40" t="n">
        <x:v>-1.7738427287301672</x:v>
      </x:c>
      <x:c r="D302" s="40" t="n">
        <x:v>3.1728552971794715</x:v>
      </x:c>
      <x:c r="E302" t="n">
        <x:f>--((B302^2/$B$4^2+C302^2/$B$5^2+D302^2/$B$6^2)&lt;=1)</x:f>
        <x:v>1</x:v>
      </x:c>
      <x:c r="F302" s="42" t="n">
        <x:f>$B$8*SUM($E$18:E302)/A302</x:f>
        <x:v>101.72631578947369</x:v>
      </x:c>
      <x:c r="G302" s="42" t="n">
        <x:f>$B$11</x:f>
        <x:v>100.53096491487338</x:v>
      </x:c>
      <x:c r="I302" t="n">
        <x:f>A302</x:f>
        <x:v>285</x:v>
      </x:c>
      <x:c r="J302" t="n">
        <x:f>F302</x:f>
        <x:v>101.72631578947369</x:v>
      </x:c>
      <x:c r="K302" t="n">
        <x:f>G302</x:f>
        <x:v>100.53096491487338</x:v>
      </x:c>
    </x:row>
    <x:row r="303">
      <x:c r="A303" t="n">
        <x:v>286</x:v>
      </x:c>
      <x:c r="B303" s="40" t="n">
        <x:v>-0.3349502971872309</x:v>
      </x:c>
      <x:c r="C303" s="40" t="n">
        <x:v>-2.4385023279697635</x:v>
      </x:c>
      <x:c r="D303" s="40" t="n">
        <x:v>-2.749808183063366</x:v>
      </x:c>
      <x:c r="E303" t="n">
        <x:f>--((B303^2/$B$4^2+C303^2/$B$5^2+D303^2/$B$6^2)&lt;=1)</x:f>
        <x:v>0</x:v>
      </x:c>
      <x:c r="F303" s="42" t="n">
        <x:f>$B$8*SUM($E$18:E303)/A303</x:f>
        <x:v>101.37062937062937</x:v>
      </x:c>
      <x:c r="G303" s="42" t="n">
        <x:f>$B$11</x:f>
        <x:v>100.53096491487338</x:v>
      </x:c>
      <x:c r="I303" t="n">
        <x:f>A303</x:f>
        <x:v>286</x:v>
      </x:c>
      <x:c r="J303" t="n">
        <x:f>F303</x:f>
        <x:v>101.37062937062937</x:v>
      </x:c>
      <x:c r="K303" t="n">
        <x:f>G303</x:f>
        <x:v>100.53096491487338</x:v>
      </x:c>
    </x:row>
    <x:row r="304">
      <x:c r="A304" t="n">
        <x:v>287</x:v>
      </x:c>
      <x:c r="B304" s="40" t="n">
        <x:v>-1.802983520289624</x:v>
      </x:c>
      <x:c r="C304" s="40" t="n">
        <x:v>2.3281725493653056</x:v>
      </x:c>
      <x:c r="D304" s="40" t="n">
        <x:v>3.2783483600319574</x:v>
      </x:c>
      <x:c r="E304" t="n">
        <x:f>--((B304^2/$B$4^2+C304^2/$B$5^2+D304^2/$B$6^2)&lt;=1)</x:f>
        <x:v>0</x:v>
      </x:c>
      <x:c r="F304" s="42" t="n">
        <x:f>$B$8*SUM($E$18:E304)/A304</x:f>
        <x:v>101.01742160278745</x:v>
      </x:c>
      <x:c r="G304" s="42" t="n">
        <x:f>$B$11</x:f>
        <x:v>100.53096491487338</x:v>
      </x:c>
      <x:c r="I304" t="n">
        <x:f>A304</x:f>
        <x:v>287</x:v>
      </x:c>
      <x:c r="J304" t="n">
        <x:f>F304</x:f>
        <x:v>101.01742160278745</x:v>
      </x:c>
      <x:c r="K304" t="n">
        <x:f>G304</x:f>
        <x:v>100.53096491487338</x:v>
      </x:c>
    </x:row>
    <x:row r="305">
      <x:c r="A305" t="n">
        <x:v>288</x:v>
      </x:c>
      <x:c r="B305" s="40" t="n">
        <x:v>-0.5055434461617136</x:v>
      </x:c>
      <x:c r="C305" s="40" t="n">
        <x:v>1.585262097480701</x:v>
      </x:c>
      <x:c r="D305" s="40" t="n">
        <x:v>-2.2688855305362026</x:v>
      </x:c>
      <x:c r="E305" t="n">
        <x:f>--((B305^2/$B$4^2+C305^2/$B$5^2+D305^2/$B$6^2)&lt;=1)</x:f>
        <x:v>1</x:v>
      </x:c>
      <x:c r="F305" s="42" t="n">
        <x:f>$B$8*SUM($E$18:E305)/A305</x:f>
        <x:v>101.33333333333333</x:v>
      </x:c>
      <x:c r="G305" s="42" t="n">
        <x:f>$B$11</x:f>
        <x:v>100.53096491487338</x:v>
      </x:c>
      <x:c r="I305" t="n">
        <x:f>A305</x:f>
        <x:v>288</x:v>
      </x:c>
      <x:c r="J305" t="n">
        <x:f>F305</x:f>
        <x:v>101.33333333333333</x:v>
      </x:c>
      <x:c r="K305" t="n">
        <x:f>G305</x:f>
        <x:v>100.53096491487338</x:v>
      </x:c>
    </x:row>
    <x:row r="306">
      <x:c r="A306" t="n">
        <x:v>289</x:v>
      </x:c>
      <x:c r="B306" s="40" t="n">
        <x:v>0.0950117948705489</x:v>
      </x:c>
      <x:c r="C306" s="40" t="n">
        <x:v>-1.8012304160512045</x:v>
      </x:c>
      <x:c r="D306" s="40" t="n">
        <x:v>3.9542293913267264</x:v>
      </x:c>
      <x:c r="E306" t="n">
        <x:f>--((B306^2/$B$4^2+C306^2/$B$5^2+D306^2/$B$6^2)&lt;=1)</x:f>
        <x:v>0</x:v>
      </x:c>
      <x:c r="F306" s="42" t="n">
        <x:f>$B$8*SUM($E$18:E306)/A306</x:f>
        <x:v>100.98269896193771</x:v>
      </x:c>
      <x:c r="G306" s="42" t="n">
        <x:f>$B$11</x:f>
        <x:v>100.53096491487338</x:v>
      </x:c>
      <x:c r="I306" t="n">
        <x:f>A306</x:f>
        <x:v>289</x:v>
      </x:c>
      <x:c r="J306" t="n">
        <x:f>F306</x:f>
        <x:v>100.98269896193771</x:v>
      </x:c>
      <x:c r="K306" t="n">
        <x:f>G306</x:f>
        <x:v>100.53096491487338</x:v>
      </x:c>
    </x:row>
    <x:row r="307">
      <x:c r="A307" t="n">
        <x:v>290</x:v>
      </x:c>
      <x:c r="B307" s="40" t="n">
        <x:v>-1.5933123883851361</x:v>
      </x:c>
      <x:c r="C307" s="40" t="n">
        <x:v>-1.24613073942005</x:v>
      </x:c>
      <x:c r="D307" s="40" t="n">
        <x:v>0.837989706364727</x:v>
      </x:c>
      <x:c r="E307" t="n">
        <x:f>--((B307^2/$B$4^2+C307^2/$B$5^2+D307^2/$B$6^2)&lt;=1)</x:f>
        <x:v>1</x:v>
      </x:c>
      <x:c r="F307" s="42" t="n">
        <x:f>$B$8*SUM($E$18:E307)/A307</x:f>
        <x:v>101.29655172413793</x:v>
      </x:c>
      <x:c r="G307" s="42" t="n">
        <x:f>$B$11</x:f>
        <x:v>100.53096491487338</x:v>
      </x:c>
      <x:c r="I307" t="n">
        <x:f>A307</x:f>
        <x:v>290</x:v>
      </x:c>
      <x:c r="J307" t="n">
        <x:f>F307</x:f>
        <x:v>101.29655172413793</x:v>
      </x:c>
      <x:c r="K307" t="n">
        <x:f>G307</x:f>
        <x:v>100.53096491487338</x:v>
      </x:c>
    </x:row>
    <x:row r="308">
      <x:c r="A308" t="n">
        <x:v>291</x:v>
      </x:c>
      <x:c r="B308" s="40" t="n">
        <x:v>1.3338342151542388</x:v>
      </x:c>
      <x:c r="C308" s="40" t="n">
        <x:v>2.832421062785315</x:v>
      </x:c>
      <x:c r="D308" s="40" t="n">
        <x:v>-3.3252408444935098</x:v>
      </x:c>
      <x:c r="E308" t="n">
        <x:f>--((B308^2/$B$4^2+C308^2/$B$5^2+D308^2/$B$6^2)&lt;=1)</x:f>
        <x:v>0</x:v>
      </x:c>
      <x:c r="F308" s="42" t="n">
        <x:f>$B$8*SUM($E$18:E308)/A308</x:f>
        <x:v>100.94845360824742</x:v>
      </x:c>
      <x:c r="G308" s="42" t="n">
        <x:f>$B$11</x:f>
        <x:v>100.53096491487338</x:v>
      </x:c>
      <x:c r="I308" t="n">
        <x:f>A308</x:f>
        <x:v>291</x:v>
      </x:c>
      <x:c r="J308" t="n">
        <x:f>F308</x:f>
        <x:v>100.94845360824742</x:v>
      </x:c>
      <x:c r="K308" t="n">
        <x:f>G308</x:f>
        <x:v>100.53096491487338</x:v>
      </x:c>
    </x:row>
    <x:row r="309">
      <x:c r="A309" t="n">
        <x:v>292</x:v>
      </x:c>
      <x:c r="B309" s="40" t="n">
        <x:v>-1.792152534139583</x:v>
      </x:c>
      <x:c r="C309" s="40" t="n">
        <x:v>1.2491069205547038</x:v>
      </x:c>
      <x:c r="D309" s="40" t="n">
        <x:v>-3.477782124170721</x:v>
      </x:c>
      <x:c r="E309" t="n">
        <x:f>--((B309^2/$B$4^2+C309^2/$B$5^2+D309^2/$B$6^2)&lt;=1)</x:f>
        <x:v>0</x:v>
      </x:c>
      <x:c r="F309" s="42" t="n">
        <x:f>$B$8*SUM($E$18:E309)/A309</x:f>
        <x:v>100.6027397260274</x:v>
      </x:c>
      <x:c r="G309" s="42" t="n">
        <x:f>$B$11</x:f>
        <x:v>100.53096491487338</x:v>
      </x:c>
      <x:c r="I309" t="n">
        <x:f>A309</x:f>
        <x:v>292</x:v>
      </x:c>
      <x:c r="J309" t="n">
        <x:f>F309</x:f>
        <x:v>100.6027397260274</x:v>
      </x:c>
      <x:c r="K309" t="n">
        <x:f>G309</x:f>
        <x:v>100.53096491487338</x:v>
      </x:c>
    </x:row>
    <x:row r="310">
      <x:c r="A310" t="n">
        <x:v>293</x:v>
      </x:c>
      <x:c r="B310" s="40" t="n">
        <x:v>1.6993674760722484</x:v>
      </x:c>
      <x:c r="C310" s="40" t="n">
        <x:v>0.6631320252829482</x:v>
      </x:c>
      <x:c r="D310" s="40" t="n">
        <x:v>-3.40062642992425</x:v>
      </x:c>
      <x:c r="E310" t="n">
        <x:f>--((B310^2/$B$4^2+C310^2/$B$5^2+D310^2/$B$6^2)&lt;=1)</x:f>
        <x:v>0</x:v>
      </x:c>
      <x:c r="F310" s="42" t="n">
        <x:f>$B$8*SUM($E$18:E310)/A310</x:f>
        <x:v>100.25938566552901</x:v>
      </x:c>
      <x:c r="G310" s="42" t="n">
        <x:f>$B$11</x:f>
        <x:v>100.53096491487338</x:v>
      </x:c>
      <x:c r="I310" t="n">
        <x:f>A310</x:f>
        <x:v>293</x:v>
      </x:c>
      <x:c r="J310" t="n">
        <x:f>F310</x:f>
        <x:v>100.25938566552901</x:v>
      </x:c>
      <x:c r="K310" t="n">
        <x:f>G310</x:f>
        <x:v>100.53096491487338</x:v>
      </x:c>
    </x:row>
    <x:row r="311">
      <x:c r="A311" t="n">
        <x:v>294</x:v>
      </x:c>
      <x:c r="B311" s="40" t="n">
        <x:v>-1.603547433680498</x:v>
      </x:c>
      <x:c r="C311" s="40" t="n">
        <x:v>-1.154229087455218</x:v>
      </x:c>
      <x:c r="D311" s="40" t="n">
        <x:v>0.719141978327615</x:v>
      </x:c>
      <x:c r="E311" t="n">
        <x:f>--((B311^2/$B$4^2+C311^2/$B$5^2+D311^2/$B$6^2)&lt;=1)</x:f>
        <x:v>1</x:v>
      </x:c>
      <x:c r="F311" s="42" t="n">
        <x:f>$B$8*SUM($E$18:E311)/A311</x:f>
        <x:v>100.57142857142857</x:v>
      </x:c>
      <x:c r="G311" s="42" t="n">
        <x:f>$B$11</x:f>
        <x:v>100.53096491487338</x:v>
      </x:c>
      <x:c r="I311" t="n">
        <x:f>A311</x:f>
        <x:v>294</x:v>
      </x:c>
      <x:c r="J311" t="n">
        <x:f>F311</x:f>
        <x:v>100.57142857142857</x:v>
      </x:c>
      <x:c r="K311" t="n">
        <x:f>G311</x:f>
        <x:v>100.53096491487338</x:v>
      </x:c>
    </x:row>
    <x:row r="312">
      <x:c r="A312" t="n">
        <x:v>295</x:v>
      </x:c>
      <x:c r="B312" s="40" t="n">
        <x:v>1.374299806391011</x:v>
      </x:c>
      <x:c r="C312" s="40" t="n">
        <x:v>-1.2052491350008665</x:v>
      </x:c>
      <x:c r="D312" s="40" t="n">
        <x:v>2.476633618619082</x:v>
      </x:c>
      <x:c r="E312" t="n">
        <x:f>--((B312^2/$B$4^2+C312^2/$B$5^2+D312^2/$B$6^2)&lt;=1)</x:f>
        <x:v>0</x:v>
      </x:c>
      <x:c r="F312" s="42" t="n">
        <x:f>$B$8*SUM($E$18:E312)/A312</x:f>
        <x:v>100.23050847457627</x:v>
      </x:c>
      <x:c r="G312" s="42" t="n">
        <x:f>$B$11</x:f>
        <x:v>100.53096491487338</x:v>
      </x:c>
      <x:c r="I312" t="n">
        <x:f>A312</x:f>
        <x:v>295</x:v>
      </x:c>
      <x:c r="J312" t="n">
        <x:f>F312</x:f>
        <x:v>100.23050847457627</x:v>
      </x:c>
      <x:c r="K312" t="n">
        <x:f>G312</x:f>
        <x:v>100.53096491487338</x:v>
      </x:c>
    </x:row>
    <x:row r="313">
      <x:c r="A313" t="n">
        <x:v>296</x:v>
      </x:c>
      <x:c r="B313" s="40" t="n">
        <x:v>1.6106125757104683</x:v>
      </x:c>
      <x:c r="C313" s="40" t="n">
        <x:v>-2.7628582878586174</x:v>
      </x:c>
      <x:c r="D313" s="40" t="n">
        <x:v>-0.7762980658359542</x:v>
      </x:c>
      <x:c r="E313" t="n">
        <x:f>--((B313^2/$B$4^2+C313^2/$B$5^2+D313^2/$B$6^2)&lt;=1)</x:f>
        <x:v>0</x:v>
      </x:c>
      <x:c r="F313" s="42" t="n">
        <x:f>$B$8*SUM($E$18:E313)/A313</x:f>
        <x:v>99.89189189189189</x:v>
      </x:c>
      <x:c r="G313" s="42" t="n">
        <x:f>$B$11</x:f>
        <x:v>100.53096491487338</x:v>
      </x:c>
      <x:c r="I313" t="n">
        <x:f>A313</x:f>
        <x:v>296</x:v>
      </x:c>
      <x:c r="J313" t="n">
        <x:f>F313</x:f>
        <x:v>99.89189189189189</x:v>
      </x:c>
      <x:c r="K313" t="n">
        <x:f>G313</x:f>
        <x:v>100.53096491487338</x:v>
      </x:c>
    </x:row>
    <x:row r="314">
      <x:c r="A314" t="n">
        <x:v>297</x:v>
      </x:c>
      <x:c r="B314" s="40" t="n">
        <x:v>1.9182827223463708</x:v>
      </x:c>
      <x:c r="C314" s="40" t="n">
        <x:v>1.3708912014115882</x:v>
      </x:c>
      <x:c r="D314" s="40" t="n">
        <x:v>-0.44131392574510553</x:v>
      </x:c>
      <x:c r="E314" t="n">
        <x:f>--((B314^2/$B$4^2+C314^2/$B$5^2+D314^2/$B$6^2)&lt;=1)</x:f>
        <x:v>0</x:v>
      </x:c>
      <x:c r="F314" s="42" t="n">
        <x:f>$B$8*SUM($E$18:E314)/A314</x:f>
        <x:v>99.55555555555556</x:v>
      </x:c>
      <x:c r="G314" s="42" t="n">
        <x:f>$B$11</x:f>
        <x:v>100.53096491487338</x:v>
      </x:c>
      <x:c r="I314" t="n">
        <x:f>A314</x:f>
        <x:v>297</x:v>
      </x:c>
      <x:c r="J314" t="n">
        <x:f>F314</x:f>
        <x:v>99.55555555555556</x:v>
      </x:c>
      <x:c r="K314" t="n">
        <x:f>G314</x:f>
        <x:v>100.53096491487338</x:v>
      </x:c>
    </x:row>
    <x:row r="315">
      <x:c r="A315" t="n">
        <x:v>298</x:v>
      </x:c>
      <x:c r="B315" s="40" t="n">
        <x:v>1.2081035210943742</x:v>
      </x:c>
      <x:c r="C315" s="40" t="n">
        <x:v>-2.7409486496586926</x:v>
      </x:c>
      <x:c r="D315" s="40" t="n">
        <x:v>0.7143016293170241</x:v>
      </x:c>
      <x:c r="E315" t="n">
        <x:f>--((B315^2/$B$4^2+C315^2/$B$5^2+D315^2/$B$6^2)&lt;=1)</x:f>
        <x:v>0</x:v>
      </x:c>
      <x:c r="F315" s="42" t="n">
        <x:f>$B$8*SUM($E$18:E315)/A315</x:f>
        <x:v>99.22147651006712</x:v>
      </x:c>
      <x:c r="G315" s="42" t="n">
        <x:f>$B$11</x:f>
        <x:v>100.53096491487338</x:v>
      </x:c>
      <x:c r="I315" t="n">
        <x:f>A315</x:f>
        <x:v>298</x:v>
      </x:c>
      <x:c r="J315" t="n">
        <x:f>F315</x:f>
        <x:v>99.22147651006712</x:v>
      </x:c>
      <x:c r="K315" t="n">
        <x:f>G315</x:f>
        <x:v>100.53096491487338</x:v>
      </x:c>
    </x:row>
    <x:row r="316">
      <x:c r="A316" t="n">
        <x:v>299</x:v>
      </x:c>
      <x:c r="B316" s="40" t="n">
        <x:v>1.1179101630853157</x:v>
      </x:c>
      <x:c r="C316" s="40" t="n">
        <x:v>-2.9708559733363256</x:v>
      </x:c>
      <x:c r="D316" s="40" t="n">
        <x:v>0.26432483829084585</x:v>
      </x:c>
      <x:c r="E316" t="n">
        <x:f>--((B316^2/$B$4^2+C316^2/$B$5^2+D316^2/$B$6^2)&lt;=1)</x:f>
        <x:v>0</x:v>
      </x:c>
      <x:c r="F316" s="42" t="n">
        <x:f>$B$8*SUM($E$18:E316)/A316</x:f>
        <x:v>98.88963210702342</x:v>
      </x:c>
      <x:c r="G316" s="42" t="n">
        <x:f>$B$11</x:f>
        <x:v>100.53096491487338</x:v>
      </x:c>
      <x:c r="I316" t="n">
        <x:f>A316</x:f>
        <x:v>299</x:v>
      </x:c>
      <x:c r="J316" t="n">
        <x:f>F316</x:f>
        <x:v>98.88963210702342</x:v>
      </x:c>
      <x:c r="K316" t="n">
        <x:f>G316</x:f>
        <x:v>100.53096491487338</x:v>
      </x:c>
    </x:row>
    <x:row r="317">
      <x:c r="A317" t="n">
        <x:v>300</x:v>
      </x:c>
      <x:c r="B317" s="40" t="n">
        <x:v>0.5699331039821907</x:v>
      </x:c>
      <x:c r="C317" s="40" t="n">
        <x:v>1.3769705271658754</x:v>
      </x:c>
      <x:c r="D317" s="40" t="n">
        <x:v>1.5044938648101613</x:v>
      </x:c>
      <x:c r="E317" t="n">
        <x:f>--((B317^2/$B$4^2+C317^2/$B$5^2+D317^2/$B$6^2)&lt;=1)</x:f>
        <x:v>1</x:v>
      </x:c>
      <x:c r="F317" s="42" t="n">
        <x:f>$B$8*SUM($E$18:E317)/A317</x:f>
        <x:v>99.2</x:v>
      </x:c>
      <x:c r="G317" s="42" t="n">
        <x:f>$B$11</x:f>
        <x:v>100.53096491487338</x:v>
      </x:c>
      <x:c r="I317" t="n">
        <x:f>A317</x:f>
        <x:v>300</x:v>
      </x:c>
      <x:c r="J317" t="n">
        <x:f>F317</x:f>
        <x:v>99.2</x:v>
      </x:c>
      <x:c r="K317" t="n">
        <x:f>G317</x:f>
        <x:v>100.53096491487338</x:v>
      </x:c>
    </x:row>
    <x:row r="318">
      <x:c r="A318" t="n">
        <x:v>301</x:v>
      </x:c>
      <x:c r="B318" s="40" t="n">
        <x:v>1.115985418312516</x:v>
      </x:c>
      <x:c r="C318" s="40" t="n">
        <x:v>2.693242542894752</x:v>
      </x:c>
      <x:c r="D318" s="40" t="n">
        <x:v>-0.22571423869578755</x:v>
      </x:c>
      <x:c r="E318" t="n">
        <x:f>--((B318^2/$B$4^2+C318^2/$B$5^2+D318^2/$B$6^2)&lt;=1)</x:f>
        <x:v>0</x:v>
      </x:c>
      <x:c r="F318" s="42" t="n">
        <x:f>$B$8*SUM($E$18:E318)/A318</x:f>
        <x:v>98.87043189368771</x:v>
      </x:c>
      <x:c r="G318" s="42" t="n">
        <x:f>$B$11</x:f>
        <x:v>100.53096491487338</x:v>
      </x:c>
      <x:c r="I318" t="n">
        <x:f>A318</x:f>
        <x:v>301</x:v>
      </x:c>
      <x:c r="J318" t="n">
        <x:f>F318</x:f>
        <x:v>98.87043189368771</x:v>
      </x:c>
      <x:c r="K318" t="n">
        <x:f>G318</x:f>
        <x:v>100.53096491487338</x:v>
      </x:c>
    </x:row>
    <x:row r="319">
      <x:c r="A319" t="n">
        <x:v>302</x:v>
      </x:c>
      <x:c r="B319" s="40" t="n">
        <x:v>-1.4617911663474117</x:v>
      </x:c>
      <x:c r="C319" s="40" t="n">
        <x:v>1.5390182863638628</x:v>
      </x:c>
      <x:c r="D319" s="40" t="n">
        <x:v>1.7108854805125402</x:v>
      </x:c>
      <x:c r="E319" t="n">
        <x:f>--((B319^2/$B$4^2+C319^2/$B$5^2+D319^2/$B$6^2)&lt;=1)</x:f>
        <x:v>1</x:v>
      </x:c>
      <x:c r="F319" s="42" t="n">
        <x:f>$B$8*SUM($E$18:E319)/A319</x:f>
        <x:v>99.17880794701986</x:v>
      </x:c>
      <x:c r="G319" s="42" t="n">
        <x:f>$B$11</x:f>
        <x:v>100.53096491487338</x:v>
      </x:c>
      <x:c r="I319" t="n">
        <x:f>A319</x:f>
        <x:v>302</x:v>
      </x:c>
      <x:c r="J319" t="n">
        <x:f>F319</x:f>
        <x:v>99.17880794701986</x:v>
      </x:c>
      <x:c r="K319" t="n">
        <x:f>G319</x:f>
        <x:v>100.53096491487338</x:v>
      </x:c>
    </x:row>
    <x:row r="320">
      <x:c r="A320" t="n">
        <x:v>303</x:v>
      </x:c>
      <x:c r="B320" s="40" t="n">
        <x:v>0.1442721437905492</x:v>
      </x:c>
      <x:c r="C320" s="40" t="n">
        <x:v>-0.17015885625372817</x:v>
      </x:c>
      <x:c r="D320" s="40" t="n">
        <x:v>3.978485940373073</x:v>
      </x:c>
      <x:c r="E320" t="n">
        <x:f>--((B320^2/$B$4^2+C320^2/$B$5^2+D320^2/$B$6^2)&lt;=1)</x:f>
        <x:v>1</x:v>
      </x:c>
      <x:c r="F320" s="42" t="n">
        <x:f>$B$8*SUM($E$18:E320)/A320</x:f>
        <x:v>99.48514851485149</x:v>
      </x:c>
      <x:c r="G320" s="42" t="n">
        <x:f>$B$11</x:f>
        <x:v>100.53096491487338</x:v>
      </x:c>
      <x:c r="I320" t="n">
        <x:f>A320</x:f>
        <x:v>303</x:v>
      </x:c>
      <x:c r="J320" t="n">
        <x:f>F320</x:f>
        <x:v>99.48514851485149</x:v>
      </x:c>
      <x:c r="K320" t="n">
        <x:f>G320</x:f>
        <x:v>100.53096491487338</x:v>
      </x:c>
    </x:row>
    <x:row r="321">
      <x:c r="A321" t="n">
        <x:v>304</x:v>
      </x:c>
      <x:c r="B321" s="40" t="n">
        <x:v>0.05689148076165784</x:v>
      </x:c>
      <x:c r="C321" s="40" t="n">
        <x:v>-0.08372850263476206</x:v>
      </x:c>
      <x:c r="D321" s="40" t="n">
        <x:v>-1.1976172620098806</x:v>
      </x:c>
      <x:c r="E321" t="n">
        <x:f>--((B321^2/$B$4^2+C321^2/$B$5^2+D321^2/$B$6^2)&lt;=1)</x:f>
        <x:v>1</x:v>
      </x:c>
      <x:c r="F321" s="42" t="n">
        <x:f>$B$8*SUM($E$18:E321)/A321</x:f>
        <x:v>99.78947368421052</x:v>
      </x:c>
      <x:c r="G321" s="42" t="n">
        <x:f>$B$11</x:f>
        <x:v>100.53096491487338</x:v>
      </x:c>
      <x:c r="I321" t="n">
        <x:f>A321</x:f>
        <x:v>304</x:v>
      </x:c>
      <x:c r="J321" t="n">
        <x:f>F321</x:f>
        <x:v>99.78947368421052</x:v>
      </x:c>
      <x:c r="K321" t="n">
        <x:f>G321</x:f>
        <x:v>100.53096491487338</x:v>
      </x:c>
    </x:row>
    <x:row r="322">
      <x:c r="A322" t="n">
        <x:v>305</x:v>
      </x:c>
      <x:c r="B322" s="40" t="n">
        <x:v>1.4302885764902302</x:v>
      </x:c>
      <x:c r="C322" s="40" t="n">
        <x:v>-0.3831814641053679</x:v>
      </x:c>
      <x:c r="D322" s="40" t="n">
        <x:v>-3.9022762966771936</x:v>
      </x:c>
      <x:c r="E322" t="n">
        <x:f>--((B322^2/$B$4^2+C322^2/$B$5^2+D322^2/$B$6^2)&lt;=1)</x:f>
        <x:v>0</x:v>
      </x:c>
      <x:c r="F322" s="42" t="n">
        <x:f>$B$8*SUM($E$18:E322)/A322</x:f>
        <x:v>99.46229508196721</x:v>
      </x:c>
      <x:c r="G322" s="42" t="n">
        <x:f>$B$11</x:f>
        <x:v>100.53096491487338</x:v>
      </x:c>
      <x:c r="I322" t="n">
        <x:f>A322</x:f>
        <x:v>305</x:v>
      </x:c>
      <x:c r="J322" t="n">
        <x:f>F322</x:f>
        <x:v>99.46229508196721</x:v>
      </x:c>
      <x:c r="K322" t="n">
        <x:f>G322</x:f>
        <x:v>100.53096491487338</x:v>
      </x:c>
    </x:row>
    <x:row r="323">
      <x:c r="A323" t="n">
        <x:v>306</x:v>
      </x:c>
      <x:c r="B323" s="40" t="n">
        <x:v>-0.14880253762593654</x:v>
      </x:c>
      <x:c r="C323" s="40" t="n">
        <x:v>-1.052137997337998</x:v>
      </x:c>
      <x:c r="D323" s="40" t="n">
        <x:v>-2.994999635586762</x:v>
      </x:c>
      <x:c r="E323" t="n">
        <x:f>--((B323^2/$B$4^2+C323^2/$B$5^2+D323^2/$B$6^2)&lt;=1)</x:f>
        <x:v>1</x:v>
      </x:c>
      <x:c r="F323" s="42" t="n">
        <x:f>$B$8*SUM($E$18:E323)/A323</x:f>
        <x:v>99.76470588235294</x:v>
      </x:c>
      <x:c r="G323" s="42" t="n">
        <x:f>$B$11</x:f>
        <x:v>100.53096491487338</x:v>
      </x:c>
      <x:c r="I323" t="n">
        <x:f>A323</x:f>
        <x:v>306</x:v>
      </x:c>
      <x:c r="J323" t="n">
        <x:f>F323</x:f>
        <x:v>99.76470588235294</x:v>
      </x:c>
      <x:c r="K323" t="n">
        <x:f>G323</x:f>
        <x:v>100.53096491487338</x:v>
      </x:c>
    </x:row>
    <x:row r="324">
      <x:c r="A324" t="n">
        <x:v>307</x:v>
      </x:c>
      <x:c r="B324" s="40" t="n">
        <x:v>-0.4596420155985861</x:v>
      </x:c>
      <x:c r="C324" s="40" t="n">
        <x:v>0.13028528511504112</x:v>
      </x:c>
      <x:c r="D324" s="40" t="n">
        <x:v>0.42811347989563053</x:v>
      </x:c>
      <x:c r="E324" t="n">
        <x:f>--((B324^2/$B$4^2+C324^2/$B$5^2+D324^2/$B$6^2)&lt;=1)</x:f>
        <x:v>1</x:v>
      </x:c>
      <x:c r="F324" s="42" t="n">
        <x:f>$B$8*SUM($E$18:E324)/A324</x:f>
        <x:v>100.06514657980456</x:v>
      </x:c>
      <x:c r="G324" s="42" t="n">
        <x:f>$B$11</x:f>
        <x:v>100.53096491487338</x:v>
      </x:c>
      <x:c r="I324" t="n">
        <x:f>A324</x:f>
        <x:v>307</x:v>
      </x:c>
      <x:c r="J324" t="n">
        <x:f>F324</x:f>
        <x:v>100.06514657980456</x:v>
      </x:c>
      <x:c r="K324" t="n">
        <x:f>G324</x:f>
        <x:v>100.53096491487338</x:v>
      </x:c>
    </x:row>
    <x:row r="325">
      <x:c r="A325" t="n">
        <x:v>308</x:v>
      </x:c>
      <x:c r="B325" s="40" t="n">
        <x:v>0.5582530849484404</x:v>
      </x:c>
      <x:c r="C325" s="40" t="n">
        <x:v>-0.4130942571533094</x:v>
      </x:c>
      <x:c r="D325" s="40" t="n">
        <x:v>-1.2459377028427836</x:v>
      </x:c>
      <x:c r="E325" t="n">
        <x:f>--((B325^2/$B$4^2+C325^2/$B$5^2+D325^2/$B$6^2)&lt;=1)</x:f>
        <x:v>1</x:v>
      </x:c>
      <x:c r="F325" s="42" t="n">
        <x:f>$B$8*SUM($E$18:E325)/A325</x:f>
        <x:v>100.36363636363636</x:v>
      </x:c>
      <x:c r="G325" s="42" t="n">
        <x:f>$B$11</x:f>
        <x:v>100.53096491487338</x:v>
      </x:c>
      <x:c r="I325" t="n">
        <x:f>A325</x:f>
        <x:v>308</x:v>
      </x:c>
      <x:c r="J325" t="n">
        <x:f>F325</x:f>
        <x:v>100.36363636363636</x:v>
      </x:c>
      <x:c r="K325" t="n">
        <x:f>G325</x:f>
        <x:v>100.53096491487338</x:v>
      </x:c>
    </x:row>
    <x:row r="326">
      <x:c r="A326" t="n">
        <x:v>309</x:v>
      </x:c>
      <x:c r="B326" s="40" t="n">
        <x:v>-0.9341467299966157</x:v>
      </x:c>
      <x:c r="C326" s="40" t="n">
        <x:v>0.5890072802446484</x:v>
      </x:c>
      <x:c r="D326" s="40" t="n">
        <x:v>3.51986074963994</x:v>
      </x:c>
      <x:c r="E326" t="n">
        <x:f>--((B326^2/$B$4^2+C326^2/$B$5^2+D326^2/$B$6^2)&lt;=1)</x:f>
        <x:v>0</x:v>
      </x:c>
      <x:c r="F326" s="42" t="n">
        <x:f>$B$8*SUM($E$18:E326)/A326</x:f>
        <x:v>100.03883495145631</x:v>
      </x:c>
      <x:c r="G326" s="42" t="n">
        <x:f>$B$11</x:f>
        <x:v>100.53096491487338</x:v>
      </x:c>
      <x:c r="I326" t="n">
        <x:f>A326</x:f>
        <x:v>309</x:v>
      </x:c>
      <x:c r="J326" t="n">
        <x:f>F326</x:f>
        <x:v>100.03883495145631</x:v>
      </x:c>
      <x:c r="K326" t="n">
        <x:f>G326</x:f>
        <x:v>100.53096491487338</x:v>
      </x:c>
    </x:row>
    <x:row r="327">
      <x:c r="A327" t="n">
        <x:v>310</x:v>
      </x:c>
      <x:c r="B327" s="40" t="n">
        <x:v>-1.4409263561841725</x:v>
      </x:c>
      <x:c r="C327" s="40" t="n">
        <x:v>2.3887204830065674</x:v>
      </x:c>
      <x:c r="D327" s="40" t="n">
        <x:v>1.0195687208590636</x:v>
      </x:c>
      <x:c r="E327" t="n">
        <x:f>--((B327^2/$B$4^2+C327^2/$B$5^2+D327^2/$B$6^2)&lt;=1)</x:f>
        <x:v>0</x:v>
      </x:c>
      <x:c r="F327" s="42" t="n">
        <x:f>$B$8*SUM($E$18:E327)/A327</x:f>
        <x:v>99.71612903225807</x:v>
      </x:c>
      <x:c r="G327" s="42" t="n">
        <x:f>$B$11</x:f>
        <x:v>100.53096491487338</x:v>
      </x:c>
      <x:c r="I327" t="n">
        <x:f>A327</x:f>
        <x:v>310</x:v>
      </x:c>
      <x:c r="J327" t="n">
        <x:f>F327</x:f>
        <x:v>99.71612903225807</x:v>
      </x:c>
      <x:c r="K327" t="n">
        <x:f>G327</x:f>
        <x:v>100.53096491487338</x:v>
      </x:c>
    </x:row>
    <x:row r="328">
      <x:c r="A328" t="n">
        <x:v>311</x:v>
      </x:c>
      <x:c r="B328" s="40" t="n">
        <x:v>-0.0884909039050168</x:v>
      </x:c>
      <x:c r="C328" s="40" t="n">
        <x:v>2.970056503942862</x:v>
      </x:c>
      <x:c r="D328" s="40" t="n">
        <x:v>0.1628414877237434</x:v>
      </x:c>
      <x:c r="E328" t="n">
        <x:f>--((B328^2/$B$4^2+C328^2/$B$5^2+D328^2/$B$6^2)&lt;=1)</x:f>
        <x:v>1</x:v>
      </x:c>
      <x:c r="F328" s="42" t="n">
        <x:f>$B$8*SUM($E$18:E328)/A328</x:f>
        <x:v>100.0128617363344</x:v>
      </x:c>
      <x:c r="G328" s="42" t="n">
        <x:f>$B$11</x:f>
        <x:v>100.53096491487338</x:v>
      </x:c>
      <x:c r="I328" t="n">
        <x:f>A328</x:f>
        <x:v>311</x:v>
      </x:c>
      <x:c r="J328" t="n">
        <x:f>F328</x:f>
        <x:v>100.0128617363344</x:v>
      </x:c>
      <x:c r="K328" t="n">
        <x:f>G328</x:f>
        <x:v>100.53096491487338</x:v>
      </x:c>
    </x:row>
    <x:row r="329">
      <x:c r="A329" t="n">
        <x:v>312</x:v>
      </x:c>
      <x:c r="B329" s="40" t="n">
        <x:v>-0.33244252562045995</x:v>
      </x:c>
      <x:c r="C329" s="40" t="n">
        <x:v>-2.527540260702497</x:v>
      </x:c>
      <x:c r="D329" s="40" t="n">
        <x:v>2.38431601017615</x:v>
      </x:c>
      <x:c r="E329" t="n">
        <x:f>--((B329^2/$B$4^2+C329^2/$B$5^2+D329^2/$B$6^2)&lt;=1)</x:f>
        <x:v>0</x:v>
      </x:c>
      <x:c r="F329" s="42" t="n">
        <x:f>$B$8*SUM($E$18:E329)/A329</x:f>
        <x:v>99.6923076923077</x:v>
      </x:c>
      <x:c r="G329" s="42" t="n">
        <x:f>$B$11</x:f>
        <x:v>100.53096491487338</x:v>
      </x:c>
      <x:c r="I329" t="n">
        <x:f>A329</x:f>
        <x:v>312</x:v>
      </x:c>
      <x:c r="J329" t="n">
        <x:f>F329</x:f>
        <x:v>99.6923076923077</x:v>
      </x:c>
      <x:c r="K329" t="n">
        <x:f>G329</x:f>
        <x:v>100.53096491487338</x:v>
      </x:c>
    </x:row>
    <x:row r="330">
      <x:c r="A330" t="n">
        <x:v>313</x:v>
      </x:c>
      <x:c r="B330" s="40" t="n">
        <x:v>-1.0697202378845052</x:v>
      </x:c>
      <x:c r="C330" s="40" t="n">
        <x:v>-0.6918991640319518</x:v>
      </x:c>
      <x:c r="D330" s="40" t="n">
        <x:v>-1.9312810316072389</x:v>
      </x:c>
      <x:c r="E330" t="n">
        <x:f>--((B330^2/$B$4^2+C330^2/$B$5^2+D330^2/$B$6^2)&lt;=1)</x:f>
        <x:v>1</x:v>
      </x:c>
      <x:c r="F330" s="42" t="n">
        <x:f>$B$8*SUM($E$18:E330)/A330</x:f>
        <x:v>99.98722044728434</x:v>
      </x:c>
      <x:c r="G330" s="42" t="n">
        <x:f>$B$11</x:f>
        <x:v>100.53096491487338</x:v>
      </x:c>
      <x:c r="I330" t="n">
        <x:f>A330</x:f>
        <x:v>313</x:v>
      </x:c>
      <x:c r="J330" t="n">
        <x:f>F330</x:f>
        <x:v>99.98722044728434</x:v>
      </x:c>
      <x:c r="K330" t="n">
        <x:f>G330</x:f>
        <x:v>100.53096491487338</x:v>
      </x:c>
    </x:row>
    <x:row r="331">
      <x:c r="A331" t="n">
        <x:v>314</x:v>
      </x:c>
      <x:c r="B331" s="40" t="n">
        <x:v>-0.529952759539488</x:v>
      </x:c>
      <x:c r="C331" s="40" t="n">
        <x:v>-1.9157628253991432</x:v>
      </x:c>
      <x:c r="D331" s="40" t="n">
        <x:v>2.5579083222588777</x:v>
      </x:c>
      <x:c r="E331" t="n">
        <x:f>--((B331^2/$B$4^2+C331^2/$B$5^2+D331^2/$B$6^2)&lt;=1)</x:f>
        <x:v>1</x:v>
      </x:c>
      <x:c r="F331" s="42" t="n">
        <x:f>$B$8*SUM($E$18:E331)/A331</x:f>
        <x:v>100.28025477707007</x:v>
      </x:c>
      <x:c r="G331" s="42" t="n">
        <x:f>$B$11</x:f>
        <x:v>100.53096491487338</x:v>
      </x:c>
      <x:c r="I331" t="n">
        <x:f>A331</x:f>
        <x:v>314</x:v>
      </x:c>
      <x:c r="J331" t="n">
        <x:f>F331</x:f>
        <x:v>100.28025477707007</x:v>
      </x:c>
      <x:c r="K331" t="n">
        <x:f>G331</x:f>
        <x:v>100.53096491487338</x:v>
      </x:c>
    </x:row>
    <x:row r="332">
      <x:c r="A332" t="n">
        <x:v>315</x:v>
      </x:c>
      <x:c r="B332" s="40" t="n">
        <x:v>-0.5344302006950103</x:v>
      </x:c>
      <x:c r="C332" s="40" t="n">
        <x:v>-0.8872771564467978</x:v>
      </x:c>
      <x:c r="D332" s="40" t="n">
        <x:v>-3.9755111610872564</x:v>
      </x:c>
      <x:c r="E332" t="n">
        <x:f>--((B332^2/$B$4^2+C332^2/$B$5^2+D332^2/$B$6^2)&lt;=1)</x:f>
        <x:v>0</x:v>
      </x:c>
      <x:c r="F332" s="42" t="n">
        <x:f>$B$8*SUM($E$18:E332)/A332</x:f>
        <x:v>99.96190476190476</x:v>
      </x:c>
      <x:c r="G332" s="42" t="n">
        <x:f>$B$11</x:f>
        <x:v>100.53096491487338</x:v>
      </x:c>
      <x:c r="I332" t="n">
        <x:f>A332</x:f>
        <x:v>315</x:v>
      </x:c>
      <x:c r="J332" t="n">
        <x:f>F332</x:f>
        <x:v>99.96190476190476</x:v>
      </x:c>
      <x:c r="K332" t="n">
        <x:f>G332</x:f>
        <x:v>100.53096491487338</x:v>
      </x:c>
    </x:row>
    <x:row r="333">
      <x:c r="A333" t="n">
        <x:v>316</x:v>
      </x:c>
      <x:c r="B333" s="40" t="n">
        <x:v>-0.6900177423498182</x:v>
      </x:c>
      <x:c r="C333" s="40" t="n">
        <x:v>-1.275161888709462</x:v>
      </x:c>
      <x:c r="D333" s="40" t="n">
        <x:v>0.9574188970857413</x:v>
      </x:c>
      <x:c r="E333" t="n">
        <x:f>--((B333^2/$B$4^2+C333^2/$B$5^2+D333^2/$B$6^2)&lt;=1)</x:f>
        <x:v>1</x:v>
      </x:c>
      <x:c r="F333" s="42" t="n">
        <x:f>$B$8*SUM($E$18:E333)/A333</x:f>
        <x:v>100.25316455696202</x:v>
      </x:c>
      <x:c r="G333" s="42" t="n">
        <x:f>$B$11</x:f>
        <x:v>100.53096491487338</x:v>
      </x:c>
      <x:c r="I333" t="n">
        <x:f>A333</x:f>
        <x:v>316</x:v>
      </x:c>
      <x:c r="J333" t="n">
        <x:f>F333</x:f>
        <x:v>100.25316455696202</x:v>
      </x:c>
      <x:c r="K333" t="n">
        <x:f>G333</x:f>
        <x:v>100.53096491487338</x:v>
      </x:c>
    </x:row>
    <x:row r="334">
      <x:c r="A334" t="n">
        <x:v>317</x:v>
      </x:c>
      <x:c r="B334" s="40" t="n">
        <x:v>-0.4821436810922841</x:v>
      </x:c>
      <x:c r="C334" s="40" t="n">
        <x:v>-1.9527772102392702</x:v>
      </x:c>
      <x:c r="D334" s="40" t="n">
        <x:v>3.4780572083662316</x:v>
      </x:c>
      <x:c r="E334" t="n">
        <x:f>--((B334^2/$B$4^2+C334^2/$B$5^2+D334^2/$B$6^2)&lt;=1)</x:f>
        <x:v>0</x:v>
      </x:c>
      <x:c r="F334" s="42" t="n">
        <x:f>$B$8*SUM($E$18:E334)/A334</x:f>
        <x:v>99.93690851735016</x:v>
      </x:c>
      <x:c r="G334" s="42" t="n">
        <x:f>$B$11</x:f>
        <x:v>100.53096491487338</x:v>
      </x:c>
      <x:c r="I334" t="n">
        <x:f>A334</x:f>
        <x:v>317</x:v>
      </x:c>
      <x:c r="J334" t="n">
        <x:f>F334</x:f>
        <x:v>99.93690851735016</x:v>
      </x:c>
      <x:c r="K334" t="n">
        <x:f>G334</x:f>
        <x:v>100.53096491487338</x:v>
      </x:c>
    </x:row>
    <x:row r="335">
      <x:c r="A335" t="n">
        <x:v>318</x:v>
      </x:c>
      <x:c r="B335" s="40" t="n">
        <x:v>0.7429733818237816</x:v>
      </x:c>
      <x:c r="C335" s="40" t="n">
        <x:v>1.5844563205277424</x:v>
      </x:c>
      <x:c r="D335" s="40" t="n">
        <x:v>2.3028796162709604</x:v>
      </x:c>
      <x:c r="E335" t="n">
        <x:f>--((B335^2/$B$4^2+C335^2/$B$5^2+D335^2/$B$6^2)&lt;=1)</x:f>
        <x:v>1</x:v>
      </x:c>
      <x:c r="F335" s="42" t="n">
        <x:f>$B$8*SUM($E$18:E335)/A335</x:f>
        <x:v>100.22641509433963</x:v>
      </x:c>
      <x:c r="G335" s="42" t="n">
        <x:f>$B$11</x:f>
        <x:v>100.53096491487338</x:v>
      </x:c>
      <x:c r="I335" t="n">
        <x:f>A335</x:f>
        <x:v>318</x:v>
      </x:c>
      <x:c r="J335" t="n">
        <x:f>F335</x:f>
        <x:v>100.22641509433963</x:v>
      </x:c>
      <x:c r="K335" t="n">
        <x:f>G335</x:f>
        <x:v>100.53096491487338</x:v>
      </x:c>
    </x:row>
    <x:row r="336">
      <x:c r="A336" t="n">
        <x:v>319</x:v>
      </x:c>
      <x:c r="B336" s="40" t="n">
        <x:v>-0.8124941017148588</x:v>
      </x:c>
      <x:c r="C336" s="40" t="n">
        <x:v>-0.02226754302458467</x:v>
      </x:c>
      <x:c r="D336" s="40" t="n">
        <x:v>2.829073537178875</x:v>
      </x:c>
      <x:c r="E336" t="n">
        <x:f>--((B336^2/$B$4^2+C336^2/$B$5^2+D336^2/$B$6^2)&lt;=1)</x:f>
        <x:v>1</x:v>
      </x:c>
      <x:c r="F336" s="42" t="n">
        <x:f>$B$8*SUM($E$18:E336)/A336</x:f>
        <x:v>100.5141065830721</x:v>
      </x:c>
      <x:c r="G336" s="42" t="n">
        <x:f>$B$11</x:f>
        <x:v>100.53096491487338</x:v>
      </x:c>
      <x:c r="I336" t="n">
        <x:f>A336</x:f>
        <x:v>319</x:v>
      </x:c>
      <x:c r="J336" t="n">
        <x:f>F336</x:f>
        <x:v>100.5141065830721</x:v>
      </x:c>
      <x:c r="K336" t="n">
        <x:f>G336</x:f>
        <x:v>100.53096491487338</x:v>
      </x:c>
    </x:row>
    <x:row r="337">
      <x:c r="A337" t="n">
        <x:v>320</x:v>
      </x:c>
      <x:c r="B337" s="40" t="n">
        <x:v>1.7954317068613617</x:v>
      </x:c>
      <x:c r="C337" s="40" t="n">
        <x:v>2.5154734933033547</x:v>
      </x:c>
      <x:c r="D337" s="40" t="n">
        <x:v>-0.824362438627996</x:v>
      </x:c>
      <x:c r="E337" t="n">
        <x:f>--((B337^2/$B$4^2+C337^2/$B$5^2+D337^2/$B$6^2)&lt;=1)</x:f>
        <x:v>0</x:v>
      </x:c>
      <x:c r="F337" s="42" t="n">
        <x:f>$B$8*SUM($E$18:E337)/A337</x:f>
        <x:v>100.2</x:v>
      </x:c>
      <x:c r="G337" s="42" t="n">
        <x:f>$B$11</x:f>
        <x:v>100.53096491487338</x:v>
      </x:c>
      <x:c r="I337" t="n">
        <x:f>A337</x:f>
        <x:v>320</x:v>
      </x:c>
      <x:c r="J337" t="n">
        <x:f>F337</x:f>
        <x:v>100.2</x:v>
      </x:c>
      <x:c r="K337" t="n">
        <x:f>G337</x:f>
        <x:v>100.53096491487338</x:v>
      </x:c>
    </x:row>
    <x:row r="338">
      <x:c r="A338" t="n">
        <x:v>321</x:v>
      </x:c>
      <x:c r="B338" s="40" t="n">
        <x:v>1.6653920781527116</x:v>
      </x:c>
      <x:c r="C338" s="40" t="n">
        <x:v>-2.804445340517913</x:v>
      </x:c>
      <x:c r="D338" s="40" t="n">
        <x:v>2.59391156880101</x:v>
      </x:c>
      <x:c r="E338" t="n">
        <x:f>--((B338^2/$B$4^2+C338^2/$B$5^2+D338^2/$B$6^2)&lt;=1)</x:f>
        <x:v>0</x:v>
      </x:c>
      <x:c r="F338" s="42" t="n">
        <x:f>$B$8*SUM($E$18:E338)/A338</x:f>
        <x:v>99.88785046728972</x:v>
      </x:c>
      <x:c r="G338" s="42" t="n">
        <x:f>$B$11</x:f>
        <x:v>100.53096491487338</x:v>
      </x:c>
      <x:c r="I338" t="n">
        <x:f>A338</x:f>
        <x:v>321</x:v>
      </x:c>
      <x:c r="J338" t="n">
        <x:f>F338</x:f>
        <x:v>99.88785046728972</x:v>
      </x:c>
      <x:c r="K338" t="n">
        <x:f>G338</x:f>
        <x:v>100.53096491487338</x:v>
      </x:c>
    </x:row>
    <x:row r="339">
      <x:c r="A339" t="n">
        <x:v>322</x:v>
      </x:c>
      <x:c r="B339" s="40" t="n">
        <x:v>-0.0763582867996857</x:v>
      </x:c>
      <x:c r="C339" s="40" t="n">
        <x:v>-2.5981319212080605</x:v>
      </x:c>
      <x:c r="D339" s="40" t="n">
        <x:v>0.40665332024213274</x:v>
      </x:c>
      <x:c r="E339" t="n">
        <x:f>--((B339^2/$B$4^2+C339^2/$B$5^2+D339^2/$B$6^2)&lt;=1)</x:f>
        <x:v>1</x:v>
      </x:c>
      <x:c r="F339" s="42" t="n">
        <x:f>$B$8*SUM($E$18:E339)/A339</x:f>
        <x:v>100.17391304347827</x:v>
      </x:c>
      <x:c r="G339" s="42" t="n">
        <x:f>$B$11</x:f>
        <x:v>100.53096491487338</x:v>
      </x:c>
      <x:c r="I339" t="n">
        <x:f>A339</x:f>
        <x:v>322</x:v>
      </x:c>
      <x:c r="J339" t="n">
        <x:f>F339</x:f>
        <x:v>100.17391304347827</x:v>
      </x:c>
      <x:c r="K339" t="n">
        <x:f>G339</x:f>
        <x:v>100.53096491487338</x:v>
      </x:c>
    </x:row>
    <x:row r="340">
      <x:c r="A340" t="n">
        <x:v>323</x:v>
      </x:c>
      <x:c r="B340" s="40" t="n">
        <x:v>-0.6865551799812448</x:v>
      </x:c>
      <x:c r="C340" s="40" t="n">
        <x:v>-0.5803585024179352</x:v>
      </x:c>
      <x:c r="D340" s="40" t="n">
        <x:v>0.9483218920255911</x:v>
      </x:c>
      <x:c r="E340" t="n">
        <x:f>--((B340^2/$B$4^2+C340^2/$B$5^2+D340^2/$B$6^2)&lt;=1)</x:f>
        <x:v>1</x:v>
      </x:c>
      <x:c r="F340" s="42" t="n">
        <x:f>$B$8*SUM($E$18:E340)/A340</x:f>
        <x:v>100.45820433436532</x:v>
      </x:c>
      <x:c r="G340" s="42" t="n">
        <x:f>$B$11</x:f>
        <x:v>100.53096491487338</x:v>
      </x:c>
      <x:c r="I340" t="n">
        <x:f>A340</x:f>
        <x:v>323</x:v>
      </x:c>
      <x:c r="J340" t="n">
        <x:f>F340</x:f>
        <x:v>100.45820433436532</x:v>
      </x:c>
      <x:c r="K340" t="n">
        <x:f>G340</x:f>
        <x:v>100.53096491487338</x:v>
      </x:c>
    </x:row>
    <x:row r="341">
      <x:c r="A341" t="n">
        <x:v>324</x:v>
      </x:c>
      <x:c r="B341" s="40" t="n">
        <x:v>0.14173915932001258</x:v>
      </x:c>
      <x:c r="C341" s="40" t="n">
        <x:v>-2.5183360775757775</x:v>
      </x:c>
      <x:c r="D341" s="40" t="n">
        <x:v>-3.528677285313572</x:v>
      </x:c>
      <x:c r="E341" t="n">
        <x:f>--((B341^2/$B$4^2+C341^2/$B$5^2+D341^2/$B$6^2)&lt;=1)</x:f>
        <x:v>0</x:v>
      </x:c>
      <x:c r="F341" s="42" t="n">
        <x:f>$B$8*SUM($E$18:E341)/A341</x:f>
        <x:v>100.14814814814815</x:v>
      </x:c>
      <x:c r="G341" s="42" t="n">
        <x:f>$B$11</x:f>
        <x:v>100.53096491487338</x:v>
      </x:c>
      <x:c r="I341" t="n">
        <x:f>A341</x:f>
        <x:v>324</x:v>
      </x:c>
      <x:c r="J341" t="n">
        <x:f>F341</x:f>
        <x:v>100.14814814814815</x:v>
      </x:c>
      <x:c r="K341" t="n">
        <x:f>G341</x:f>
        <x:v>100.53096491487338</x:v>
      </x:c>
    </x:row>
    <x:row r="342">
      <x:c r="A342" t="n">
        <x:v>325</x:v>
      </x:c>
      <x:c r="B342" s="40" t="n">
        <x:v>1.3942419550944982</x:v>
      </x:c>
      <x:c r="C342" s="40" t="n">
        <x:v>-1.423622421510999</x:v>
      </x:c>
      <x:c r="D342" s="40" t="n">
        <x:v>-2.387586422604863</x:v>
      </x:c>
      <x:c r="E342" t="n">
        <x:f>--((B342^2/$B$4^2+C342^2/$B$5^2+D342^2/$B$6^2)&lt;=1)</x:f>
        <x:v>0</x:v>
      </x:c>
      <x:c r="F342" s="42" t="n">
        <x:f>$B$8*SUM($E$18:E342)/A342</x:f>
        <x:v>99.84</x:v>
      </x:c>
      <x:c r="G342" s="42" t="n">
        <x:f>$B$11</x:f>
        <x:v>100.53096491487338</x:v>
      </x:c>
      <x:c r="I342" t="n">
        <x:f>A342</x:f>
        <x:v>325</x:v>
      </x:c>
      <x:c r="J342" t="n">
        <x:f>F342</x:f>
        <x:v>99.84</x:v>
      </x:c>
      <x:c r="K342" t="n">
        <x:f>G342</x:f>
        <x:v>100.53096491487338</x:v>
      </x:c>
    </x:row>
    <x:row r="343">
      <x:c r="A343" t="n">
        <x:v>326</x:v>
      </x:c>
      <x:c r="B343" s="40" t="n">
        <x:v>0.6103493622404081</x:v>
      </x:c>
      <x:c r="C343" s="40" t="n">
        <x:v>2.9161784584597417</x:v>
      </x:c>
      <x:c r="D343" s="40" t="n">
        <x:v>0.4077153241084206</x:v>
      </x:c>
      <x:c r="E343" t="n">
        <x:f>--((B343^2/$B$4^2+C343^2/$B$5^2+D343^2/$B$6^2)&lt;=1)</x:f>
        <x:v>0</x:v>
      </x:c>
      <x:c r="F343" s="42" t="n">
        <x:f>$B$8*SUM($E$18:E343)/A343</x:f>
        <x:v>99.53374233128834</x:v>
      </x:c>
      <x:c r="G343" s="42" t="n">
        <x:f>$B$11</x:f>
        <x:v>100.53096491487338</x:v>
      </x:c>
      <x:c r="I343" t="n">
        <x:f>A343</x:f>
        <x:v>326</x:v>
      </x:c>
      <x:c r="J343" t="n">
        <x:f>F343</x:f>
        <x:v>99.53374233128834</x:v>
      </x:c>
      <x:c r="K343" t="n">
        <x:f>G343</x:f>
        <x:v>100.53096491487338</x:v>
      </x:c>
    </x:row>
    <x:row r="344">
      <x:c r="A344" t="n">
        <x:v>327</x:v>
      </x:c>
      <x:c r="B344" s="40" t="n">
        <x:v>1.2175673117883097</x:v>
      </x:c>
      <x:c r="C344" s="40" t="n">
        <x:v>-1.7462423550923156</x:v>
      </x:c>
      <x:c r="D344" s="40" t="n">
        <x:v>-3.529591537412019</x:v>
      </x:c>
      <x:c r="E344" t="n">
        <x:f>--((B344^2/$B$4^2+C344^2/$B$5^2+D344^2/$B$6^2)&lt;=1)</x:f>
        <x:v>0</x:v>
      </x:c>
      <x:c r="F344" s="42" t="n">
        <x:f>$B$8*SUM($E$18:E344)/A344</x:f>
        <x:v>99.22935779816514</x:v>
      </x:c>
      <x:c r="G344" s="42" t="n">
        <x:f>$B$11</x:f>
        <x:v>100.53096491487338</x:v>
      </x:c>
      <x:c r="I344" t="n">
        <x:f>A344</x:f>
        <x:v>327</x:v>
      </x:c>
      <x:c r="J344" t="n">
        <x:f>F344</x:f>
        <x:v>99.22935779816514</x:v>
      </x:c>
      <x:c r="K344" t="n">
        <x:f>G344</x:f>
        <x:v>100.53096491487338</x:v>
      </x:c>
    </x:row>
    <x:row r="345">
      <x:c r="A345" t="n">
        <x:v>328</x:v>
      </x:c>
      <x:c r="B345" s="40" t="n">
        <x:v>0.13088910426296074</x:v>
      </x:c>
      <x:c r="C345" s="40" t="n">
        <x:v>-1.8112935515274557</x:v>
      </x:c>
      <x:c r="D345" s="40" t="n">
        <x:v>1.9315744527017058</x:v>
      </x:c>
      <x:c r="E345" t="n">
        <x:f>--((B345^2/$B$4^2+C345^2/$B$5^2+D345^2/$B$6^2)&lt;=1)</x:f>
        <x:v>1</x:v>
      </x:c>
      <x:c r="F345" s="42" t="n">
        <x:f>$B$8*SUM($E$18:E345)/A345</x:f>
        <x:v>99.51219512195122</x:v>
      </x:c>
      <x:c r="G345" s="42" t="n">
        <x:f>$B$11</x:f>
        <x:v>100.53096491487338</x:v>
      </x:c>
      <x:c r="I345" t="n">
        <x:f>A345</x:f>
        <x:v>328</x:v>
      </x:c>
      <x:c r="J345" t="n">
        <x:f>F345</x:f>
        <x:v>99.51219512195122</x:v>
      </x:c>
      <x:c r="K345" t="n">
        <x:f>G345</x:f>
        <x:v>100.53096491487338</x:v>
      </x:c>
    </x:row>
    <x:row r="346">
      <x:c r="A346" t="n">
        <x:v>329</x:v>
      </x:c>
      <x:c r="B346" s="40" t="n">
        <x:v>0.531670517070483</x:v>
      </x:c>
      <x:c r="C346" s="40" t="n">
        <x:v>0.4418440127742542</x:v>
      </x:c>
      <x:c r="D346" s="40" t="n">
        <x:v>2.7204560681752126</x:v>
      </x:c>
      <x:c r="E346" t="n">
        <x:f>--((B346^2/$B$4^2+C346^2/$B$5^2+D346^2/$B$6^2)&lt;=1)</x:f>
        <x:v>1</x:v>
      </x:c>
      <x:c r="F346" s="42" t="n">
        <x:f>$B$8*SUM($E$18:E346)/A346</x:f>
        <x:v>99.79331306990882</x:v>
      </x:c>
      <x:c r="G346" s="42" t="n">
        <x:f>$B$11</x:f>
        <x:v>100.53096491487338</x:v>
      </x:c>
      <x:c r="I346" t="n">
        <x:f>A346</x:f>
        <x:v>329</x:v>
      </x:c>
      <x:c r="J346" t="n">
        <x:f>F346</x:f>
        <x:v>99.79331306990882</x:v>
      </x:c>
      <x:c r="K346" t="n">
        <x:f>G346</x:f>
        <x:v>100.53096491487338</x:v>
      </x:c>
    </x:row>
    <x:row r="347">
      <x:c r="A347" t="n">
        <x:v>330</x:v>
      </x:c>
      <x:c r="B347" s="40" t="n">
        <x:v>-0.8473775432701531</x:v>
      </x:c>
      <x:c r="C347" s="40" t="n">
        <x:v>-0.012010255241059475</x:v>
      </x:c>
      <x:c r="D347" s="40" t="n">
        <x:v>3.362898890358439</x:v>
      </x:c>
      <x:c r="E347" t="n">
        <x:f>--((B347^2/$B$4^2+C347^2/$B$5^2+D347^2/$B$6^2)&lt;=1)</x:f>
        <x:v>1</x:v>
      </x:c>
      <x:c r="F347" s="42" t="n">
        <x:f>$B$8*SUM($E$18:E347)/A347</x:f>
        <x:v>100.07272727272728</x:v>
      </x:c>
      <x:c r="G347" s="42" t="n">
        <x:f>$B$11</x:f>
        <x:v>100.53096491487338</x:v>
      </x:c>
      <x:c r="I347" t="n">
        <x:f>A347</x:f>
        <x:v>330</x:v>
      </x:c>
      <x:c r="J347" t="n">
        <x:f>F347</x:f>
        <x:v>100.07272727272728</x:v>
      </x:c>
      <x:c r="K347" t="n">
        <x:f>G347</x:f>
        <x:v>100.53096491487338</x:v>
      </x:c>
    </x:row>
    <x:row r="348">
      <x:c r="A348" t="n">
        <x:v>331</x:v>
      </x:c>
      <x:c r="B348" s="40" t="n">
        <x:v>0.9395726492411631</x:v>
      </x:c>
      <x:c r="C348" s="40" t="n">
        <x:v>0.48262978321706873</x:v>
      </x:c>
      <x:c r="D348" s="40" t="n">
        <x:v>-3.1858523265615526</x:v>
      </x:c>
      <x:c r="E348" t="n">
        <x:f>--((B348^2/$B$4^2+C348^2/$B$5^2+D348^2/$B$6^2)&lt;=1)</x:f>
        <x:v>1</x:v>
      </x:c>
      <x:c r="F348" s="42" t="n">
        <x:f>$B$8*SUM($E$18:E348)/A348</x:f>
        <x:v>100.35045317220543</x:v>
      </x:c>
      <x:c r="G348" s="42" t="n">
        <x:f>$B$11</x:f>
        <x:v>100.53096491487338</x:v>
      </x:c>
      <x:c r="I348" t="n">
        <x:f>A348</x:f>
        <x:v>331</x:v>
      </x:c>
      <x:c r="J348" t="n">
        <x:f>F348</x:f>
        <x:v>100.35045317220543</x:v>
      </x:c>
      <x:c r="K348" t="n">
        <x:f>G348</x:f>
        <x:v>100.53096491487338</x:v>
      </x:c>
    </x:row>
    <x:row r="349">
      <x:c r="A349" t="n">
        <x:v>332</x:v>
      </x:c>
      <x:c r="B349" s="40" t="n">
        <x:v>-1.1903816274971266</x:v>
      </x:c>
      <x:c r="C349" s="40" t="n">
        <x:v>-0.7395883307487199</x:v>
      </x:c>
      <x:c r="D349" s="40" t="n">
        <x:v>3.5177619841824006</x:v>
      </x:c>
      <x:c r="E349" t="n">
        <x:f>--((B349^2/$B$4^2+C349^2/$B$5^2+D349^2/$B$6^2)&lt;=1)</x:f>
        <x:v>0</x:v>
      </x:c>
      <x:c r="F349" s="42" t="n">
        <x:f>$B$8*SUM($E$18:E349)/A349</x:f>
        <x:v>100.04819277108433</x:v>
      </x:c>
      <x:c r="G349" s="42" t="n">
        <x:f>$B$11</x:f>
        <x:v>100.53096491487338</x:v>
      </x:c>
      <x:c r="I349" t="n">
        <x:f>A349</x:f>
        <x:v>332</x:v>
      </x:c>
      <x:c r="J349" t="n">
        <x:f>F349</x:f>
        <x:v>100.04819277108433</x:v>
      </x:c>
      <x:c r="K349" t="n">
        <x:f>G349</x:f>
        <x:v>100.53096491487338</x:v>
      </x:c>
    </x:row>
    <x:row r="350">
      <x:c r="A350" t="n">
        <x:v>333</x:v>
      </x:c>
      <x:c r="B350" s="40" t="n">
        <x:v>0.7791925152739929</x:v>
      </x:c>
      <x:c r="C350" s="40" t="n">
        <x:v>1.9605741593696822</x:v>
      </x:c>
      <x:c r="D350" s="40" t="n">
        <x:v>-3.45903993896564</x:v>
      </x:c>
      <x:c r="E350" t="n">
        <x:f>--((B350^2/$B$4^2+C350^2/$B$5^2+D350^2/$B$6^2)&lt;=1)</x:f>
        <x:v>0</x:v>
      </x:c>
      <x:c r="F350" s="42" t="n">
        <x:f>$B$8*SUM($E$18:E350)/A350</x:f>
        <x:v>99.74774774774775</x:v>
      </x:c>
      <x:c r="G350" s="42" t="n">
        <x:f>$B$11</x:f>
        <x:v>100.53096491487338</x:v>
      </x:c>
      <x:c r="I350" t="n">
        <x:f>A350</x:f>
        <x:v>333</x:v>
      </x:c>
      <x:c r="J350" t="n">
        <x:f>F350</x:f>
        <x:v>99.74774774774775</x:v>
      </x:c>
      <x:c r="K350" t="n">
        <x:f>G350</x:f>
        <x:v>100.53096491487338</x:v>
      </x:c>
    </x:row>
    <x:row r="351">
      <x:c r="A351" t="n">
        <x:v>334</x:v>
      </x:c>
      <x:c r="B351" s="40" t="n">
        <x:v>1.4428762733035763</x:v>
      </x:c>
      <x:c r="C351" s="40" t="n">
        <x:v>-2.168516691345223</x:v>
      </x:c>
      <x:c r="D351" s="40" t="n">
        <x:v>-0.20755027257747738</x:v>
      </x:c>
      <x:c r="E351" t="n">
        <x:f>--((B351^2/$B$4^2+C351^2/$B$5^2+D351^2/$B$6^2)&lt;=1)</x:f>
        <x:v>0</x:v>
      </x:c>
      <x:c r="F351" s="42" t="n">
        <x:f>$B$8*SUM($E$18:E351)/A351</x:f>
        <x:v>99.44910179640719</x:v>
      </x:c>
      <x:c r="G351" s="42" t="n">
        <x:f>$B$11</x:f>
        <x:v>100.53096491487338</x:v>
      </x:c>
      <x:c r="I351" t="n">
        <x:f>A351</x:f>
        <x:v>334</x:v>
      </x:c>
      <x:c r="J351" t="n">
        <x:f>F351</x:f>
        <x:v>99.44910179640719</x:v>
      </x:c>
      <x:c r="K351" t="n">
        <x:f>G351</x:f>
        <x:v>100.53096491487338</x:v>
      </x:c>
    </x:row>
    <x:row r="352">
      <x:c r="A352" t="n">
        <x:v>335</x:v>
      </x:c>
      <x:c r="B352" s="40" t="n">
        <x:v>-1.4715886507938243</x:v>
      </x:c>
      <x:c r="C352" s="40" t="n">
        <x:v>-0.4296441249512064</x:v>
      </x:c>
      <x:c r="D352" s="40" t="n">
        <x:v>2.722008165022494</x:v>
      </x:c>
      <x:c r="E352" t="n">
        <x:f>--((B352^2/$B$4^2+C352^2/$B$5^2+D352^2/$B$6^2)&lt;=1)</x:f>
        <x:v>0</x:v>
      </x:c>
      <x:c r="F352" s="42" t="n">
        <x:f>$B$8*SUM($E$18:E352)/A352</x:f>
        <x:v>99.15223880597014</x:v>
      </x:c>
      <x:c r="G352" s="42" t="n">
        <x:f>$B$11</x:f>
        <x:v>100.53096491487338</x:v>
      </x:c>
      <x:c r="I352" t="n">
        <x:f>A352</x:f>
        <x:v>335</x:v>
      </x:c>
      <x:c r="J352" t="n">
        <x:f>F352</x:f>
        <x:v>99.15223880597014</x:v>
      </x:c>
      <x:c r="K352" t="n">
        <x:f>G352</x:f>
        <x:v>100.53096491487338</x:v>
      </x:c>
    </x:row>
    <x:row r="353">
      <x:c r="A353" t="n">
        <x:v>336</x:v>
      </x:c>
      <x:c r="B353" s="40" t="n">
        <x:v>0.4575189621676792</x:v>
      </x:c>
      <x:c r="C353" s="40" t="n">
        <x:v>1.138571090664522</x:v>
      </x:c>
      <x:c r="D353" s="40" t="n">
        <x:v>-3.437510891484357</x:v>
      </x:c>
      <x:c r="E353" t="n">
        <x:f>--((B353^2/$B$4^2+C353^2/$B$5^2+D353^2/$B$6^2)&lt;=1)</x:f>
        <x:v>1</x:v>
      </x:c>
      <x:c r="F353" s="42" t="n">
        <x:f>$B$8*SUM($E$18:E353)/A353</x:f>
        <x:v>99.42857142857143</x:v>
      </x:c>
      <x:c r="G353" s="42" t="n">
        <x:f>$B$11</x:f>
        <x:v>100.53096491487338</x:v>
      </x:c>
      <x:c r="I353" t="n">
        <x:f>A353</x:f>
        <x:v>336</x:v>
      </x:c>
      <x:c r="J353" t="n">
        <x:f>F353</x:f>
        <x:v>99.42857142857143</x:v>
      </x:c>
      <x:c r="K353" t="n">
        <x:f>G353</x:f>
        <x:v>100.53096491487338</x:v>
      </x:c>
    </x:row>
    <x:row r="354">
      <x:c r="A354" t="n">
        <x:v>337</x:v>
      </x:c>
      <x:c r="B354" s="40" t="n">
        <x:v>-1.6196170070802616</x:v>
      </x:c>
      <x:c r="C354" s="40" t="n">
        <x:v>2.2094186416973987</x:v>
      </x:c>
      <x:c r="D354" s="40" t="n">
        <x:v>-3.854151416088131</x:v>
      </x:c>
      <x:c r="E354" t="n">
        <x:f>--((B354^2/$B$4^2+C354^2/$B$5^2+D354^2/$B$6^2)&lt;=1)</x:f>
        <x:v>0</x:v>
      </x:c>
      <x:c r="F354" s="42" t="n">
        <x:f>$B$8*SUM($E$18:E354)/A354</x:f>
        <x:v>99.13353115727003</x:v>
      </x:c>
      <x:c r="G354" s="42" t="n">
        <x:f>$B$11</x:f>
        <x:v>100.53096491487338</x:v>
      </x:c>
      <x:c r="I354" t="n">
        <x:f>A354</x:f>
        <x:v>337</x:v>
      </x:c>
      <x:c r="J354" t="n">
        <x:f>F354</x:f>
        <x:v>99.13353115727003</x:v>
      </x:c>
      <x:c r="K354" t="n">
        <x:f>G354</x:f>
        <x:v>100.53096491487338</x:v>
      </x:c>
    </x:row>
    <x:row r="355">
      <x:c r="A355" t="n">
        <x:v>338</x:v>
      </x:c>
      <x:c r="B355" s="40" t="n">
        <x:v>0.9028625130857075</x:v>
      </x:c>
      <x:c r="C355" s="40" t="n">
        <x:v>-0.7825703618594542</x:v>
      </x:c>
      <x:c r="D355" s="40" t="n">
        <x:v>-3.8004182503467945</x:v>
      </x:c>
      <x:c r="E355" t="n">
        <x:f>--((B355^2/$B$4^2+C355^2/$B$5^2+D355^2/$B$6^2)&lt;=1)</x:f>
        <x:v>0</x:v>
      </x:c>
      <x:c r="F355" s="42" t="n">
        <x:f>$B$8*SUM($E$18:E355)/A355</x:f>
        <x:v>98.84023668639053</x:v>
      </x:c>
      <x:c r="G355" s="42" t="n">
        <x:f>$B$11</x:f>
        <x:v>100.53096491487338</x:v>
      </x:c>
      <x:c r="I355" t="n">
        <x:f>A355</x:f>
        <x:v>338</x:v>
      </x:c>
      <x:c r="J355" t="n">
        <x:f>F355</x:f>
        <x:v>98.84023668639053</x:v>
      </x:c>
      <x:c r="K355" t="n">
        <x:f>G355</x:f>
        <x:v>100.53096491487338</x:v>
      </x:c>
    </x:row>
    <x:row r="356">
      <x:c r="A356" t="n">
        <x:v>339</x:v>
      </x:c>
      <x:c r="B356" s="40" t="n">
        <x:v>-1.662027124705919</x:v>
      </x:c>
      <x:c r="C356" s="40" t="n">
        <x:v>0.40647359456251664</x:v>
      </x:c>
      <x:c r="D356" s="40" t="n">
        <x:v>0.09016191548826846</x:v>
      </x:c>
      <x:c r="E356" t="n">
        <x:f>--((B356^2/$B$4^2+C356^2/$B$5^2+D356^2/$B$6^2)&lt;=1)</x:f>
        <x:v>1</x:v>
      </x:c>
      <x:c r="F356" s="42" t="n">
        <x:f>$B$8*SUM($E$18:E356)/A356</x:f>
        <x:v>99.11504424778761</x:v>
      </x:c>
      <x:c r="G356" s="42" t="n">
        <x:f>$B$11</x:f>
        <x:v>100.53096491487338</x:v>
      </x:c>
      <x:c r="I356" t="n">
        <x:f>A356</x:f>
        <x:v>339</x:v>
      </x:c>
      <x:c r="J356" t="n">
        <x:f>F356</x:f>
        <x:v>99.11504424778761</x:v>
      </x:c>
      <x:c r="K356" t="n">
        <x:f>G356</x:f>
        <x:v>100.53096491487338</x:v>
      </x:c>
    </x:row>
    <x:row r="357">
      <x:c r="A357" t="n">
        <x:v>340</x:v>
      </x:c>
      <x:c r="B357" s="40" t="n">
        <x:v>1.7437592908025041</x:v>
      </x:c>
      <x:c r="C357" s="40" t="n">
        <x:v>-2.585160329956431</x:v>
      </x:c>
      <x:c r="D357" s="40" t="n">
        <x:v>2.492773956773304</x:v>
      </x:c>
      <x:c r="E357" t="n">
        <x:f>--((B357^2/$B$4^2+C357^2/$B$5^2+D357^2/$B$6^2)&lt;=1)</x:f>
        <x:v>0</x:v>
      </x:c>
      <x:c r="F357" s="42" t="n">
        <x:f>$B$8*SUM($E$18:E357)/A357</x:f>
        <x:v>98.82352941176471</x:v>
      </x:c>
      <x:c r="G357" s="42" t="n">
        <x:f>$B$11</x:f>
        <x:v>100.53096491487338</x:v>
      </x:c>
      <x:c r="I357" t="n">
        <x:f>A357</x:f>
        <x:v>340</x:v>
      </x:c>
      <x:c r="J357" t="n">
        <x:f>F357</x:f>
        <x:v>98.82352941176471</x:v>
      </x:c>
      <x:c r="K357" t="n">
        <x:f>G357</x:f>
        <x:v>100.53096491487338</x:v>
      </x:c>
    </x:row>
    <x:row r="358">
      <x:c r="A358" t="n">
        <x:v>341</x:v>
      </x:c>
      <x:c r="B358" s="40" t="n">
        <x:v>-1.4503682798487914</x:v>
      </x:c>
      <x:c r="C358" s="40" t="n">
        <x:v>-1.9780854713290263</x:v>
      </x:c>
      <x:c r="D358" s="40" t="n">
        <x:v>-2.980586631419203</x:v>
      </x:c>
      <x:c r="E358" t="n">
        <x:f>--((B358^2/$B$4^2+C358^2/$B$5^2+D358^2/$B$6^2)&lt;=1)</x:f>
        <x:v>0</x:v>
      </x:c>
      <x:c r="F358" s="42" t="n">
        <x:f>$B$8*SUM($E$18:E358)/A358</x:f>
        <x:v>98.53372434017595</x:v>
      </x:c>
      <x:c r="G358" s="42" t="n">
        <x:f>$B$11</x:f>
        <x:v>100.53096491487338</x:v>
      </x:c>
      <x:c r="I358" t="n">
        <x:f>A358</x:f>
        <x:v>341</x:v>
      </x:c>
      <x:c r="J358" t="n">
        <x:f>F358</x:f>
        <x:v>98.53372434017595</x:v>
      </x:c>
      <x:c r="K358" t="n">
        <x:f>G358</x:f>
        <x:v>100.53096491487338</x:v>
      </x:c>
    </x:row>
    <x:row r="359">
      <x:c r="A359" t="n">
        <x:v>342</x:v>
      </x:c>
      <x:c r="B359" s="40" t="n">
        <x:v>1.8355209836363215</x:v>
      </x:c>
      <x:c r="C359" s="40" t="n">
        <x:v>-2.585171025203313</x:v>
      </x:c>
      <x:c r="D359" s="40" t="n">
        <x:v>-3.003117967363675</x:v>
      </x:c>
      <x:c r="E359" t="n">
        <x:f>--((B359^2/$B$4^2+C359^2/$B$5^2+D359^2/$B$6^2)&lt;=1)</x:f>
        <x:v>0</x:v>
      </x:c>
      <x:c r="F359" s="42" t="n">
        <x:f>$B$8*SUM($E$18:E359)/A359</x:f>
        <x:v>98.24561403508773</x:v>
      </x:c>
      <x:c r="G359" s="42" t="n">
        <x:f>$B$11</x:f>
        <x:v>100.53096491487338</x:v>
      </x:c>
      <x:c r="I359" t="n">
        <x:f>A359</x:f>
        <x:v>342</x:v>
      </x:c>
      <x:c r="J359" t="n">
        <x:f>F359</x:f>
        <x:v>98.24561403508773</x:v>
      </x:c>
      <x:c r="K359" t="n">
        <x:f>G359</x:f>
        <x:v>100.53096491487338</x:v>
      </x:c>
    </x:row>
    <x:row r="360">
      <x:c r="A360" t="n">
        <x:v>343</x:v>
      </x:c>
      <x:c r="B360" s="40" t="n">
        <x:v>1.2035367043403866</x:v>
      </x:c>
      <x:c r="C360" s="40" t="n">
        <x:v>1.3672853519911312</x:v>
      </x:c>
      <x:c r="D360" s="40" t="n">
        <x:v>0.5483748403983331</x:v>
      </x:c>
      <x:c r="E360" t="n">
        <x:f>--((B360^2/$B$4^2+C360^2/$B$5^2+D360^2/$B$6^2)&lt;=1)</x:f>
        <x:v>1</x:v>
      </x:c>
      <x:c r="F360" s="42" t="n">
        <x:f>$B$8*SUM($E$18:E360)/A360</x:f>
        <x:v>98.51895043731778</x:v>
      </x:c>
      <x:c r="G360" s="42" t="n">
        <x:f>$B$11</x:f>
        <x:v>100.53096491487338</x:v>
      </x:c>
      <x:c r="I360" t="n">
        <x:f>A360</x:f>
        <x:v>343</x:v>
      </x:c>
      <x:c r="J360" t="n">
        <x:f>F360</x:f>
        <x:v>98.51895043731778</x:v>
      </x:c>
      <x:c r="K360" t="n">
        <x:f>G360</x:f>
        <x:v>100.53096491487338</x:v>
      </x:c>
    </x:row>
    <x:row r="361">
      <x:c r="A361" t="n">
        <x:v>344</x:v>
      </x:c>
      <x:c r="B361" s="40" t="n">
        <x:v>0.37472801786541643</x:v>
      </x:c>
      <x:c r="C361" s="40" t="n">
        <x:v>-1.271640187667156</x:v>
      </x:c>
      <x:c r="D361" s="40" t="n">
        <x:v>-2.1256351935046105</x:v>
      </x:c>
      <x:c r="E361" t="n">
        <x:f>--((B361^2/$B$4^2+C361^2/$B$5^2+D361^2/$B$6^2)&lt;=1)</x:f>
        <x:v>1</x:v>
      </x:c>
      <x:c r="F361" s="42" t="n">
        <x:f>$B$8*SUM($E$18:E361)/A361</x:f>
        <x:v>98.79069767441861</x:v>
      </x:c>
      <x:c r="G361" s="42" t="n">
        <x:f>$B$11</x:f>
        <x:v>100.53096491487338</x:v>
      </x:c>
      <x:c r="I361" t="n">
        <x:f>A361</x:f>
        <x:v>344</x:v>
      </x:c>
      <x:c r="J361" t="n">
        <x:f>F361</x:f>
        <x:v>98.79069767441861</x:v>
      </x:c>
      <x:c r="K361" t="n">
        <x:f>G361</x:f>
        <x:v>100.53096491487338</x:v>
      </x:c>
    </x:row>
    <x:row r="362">
      <x:c r="A362" t="n">
        <x:v>345</x:v>
      </x:c>
      <x:c r="B362" s="40" t="n">
        <x:v>1.1304964185181876</x:v>
      </x:c>
      <x:c r="C362" s="40" t="n">
        <x:v>1.3424717411510265</x:v>
      </x:c>
      <x:c r="D362" s="40" t="n">
        <x:v>1.841709881158991</x:v>
      </x:c>
      <x:c r="E362" t="n">
        <x:f>--((B362^2/$B$4^2+C362^2/$B$5^2+D362^2/$B$6^2)&lt;=1)</x:f>
        <x:v>1</x:v>
      </x:c>
      <x:c r="F362" s="42" t="n">
        <x:f>$B$8*SUM($E$18:E362)/A362</x:f>
        <x:v>99.06086956521739</x:v>
      </x:c>
      <x:c r="G362" s="42" t="n">
        <x:f>$B$11</x:f>
        <x:v>100.53096491487338</x:v>
      </x:c>
      <x:c r="I362" t="n">
        <x:f>A362</x:f>
        <x:v>345</x:v>
      </x:c>
      <x:c r="J362" t="n">
        <x:f>F362</x:f>
        <x:v>99.06086956521739</x:v>
      </x:c>
      <x:c r="K362" t="n">
        <x:f>G362</x:f>
        <x:v>100.53096491487338</x:v>
      </x:c>
    </x:row>
    <x:row r="363">
      <x:c r="A363" t="n">
        <x:v>346</x:v>
      </x:c>
      <x:c r="B363" s="40" t="n">
        <x:v>1.1804593559323435</x:v>
      </x:c>
      <x:c r="C363" s="40" t="n">
        <x:v>-2.601610325740353</x:v>
      </x:c>
      <x:c r="D363" s="40" t="n">
        <x:v>3.597083105413999</x:v>
      </x:c>
      <x:c r="E363" t="n">
        <x:f>--((B363^2/$B$4^2+C363^2/$B$5^2+D363^2/$B$6^2)&lt;=1)</x:f>
        <x:v>0</x:v>
      </x:c>
      <x:c r="F363" s="42" t="n">
        <x:f>$B$8*SUM($E$18:E363)/A363</x:f>
        <x:v>98.77456647398844</x:v>
      </x:c>
      <x:c r="G363" s="42" t="n">
        <x:f>$B$11</x:f>
        <x:v>100.53096491487338</x:v>
      </x:c>
      <x:c r="I363" t="n">
        <x:f>A363</x:f>
        <x:v>346</x:v>
      </x:c>
      <x:c r="J363" t="n">
        <x:f>F363</x:f>
        <x:v>98.77456647398844</x:v>
      </x:c>
      <x:c r="K363" t="n">
        <x:f>G363</x:f>
        <x:v>100.53096491487338</x:v>
      </x:c>
    </x:row>
    <x:row r="364">
      <x:c r="A364" t="n">
        <x:v>347</x:v>
      </x:c>
      <x:c r="B364" s="40" t="n">
        <x:v>1.7841082512693212</x:v>
      </x:c>
      <x:c r="C364" s="40" t="n">
        <x:v>2.1752868024499525</x:v>
      </x:c>
      <x:c r="D364" s="40" t="n">
        <x:v>2.1282672528033046</x:v>
      </x:c>
      <x:c r="E364" t="n">
        <x:f>--((B364^2/$B$4^2+C364^2/$B$5^2+D364^2/$B$6^2)&lt;=1)</x:f>
        <x:v>0</x:v>
      </x:c>
      <x:c r="F364" s="42" t="n">
        <x:f>$B$8*SUM($E$18:E364)/A364</x:f>
        <x:v>98.48991354466858</x:v>
      </x:c>
      <x:c r="G364" s="42" t="n">
        <x:f>$B$11</x:f>
        <x:v>100.53096491487338</x:v>
      </x:c>
      <x:c r="I364" t="n">
        <x:f>A364</x:f>
        <x:v>347</x:v>
      </x:c>
      <x:c r="J364" t="n">
        <x:f>F364</x:f>
        <x:v>98.48991354466858</x:v>
      </x:c>
      <x:c r="K364" t="n">
        <x:f>G364</x:f>
        <x:v>100.53096491487338</x:v>
      </x:c>
    </x:row>
    <x:row r="365">
      <x:c r="A365" t="n">
        <x:v>348</x:v>
      </x:c>
      <x:c r="B365" s="40" t="n">
        <x:v>-0.9864665846432512</x:v>
      </x:c>
      <x:c r="C365" s="40" t="n">
        <x:v>2.0131811886665503</x:v>
      </x:c>
      <x:c r="D365" s="40" t="n">
        <x:v>3.0174029310313317</x:v>
      </x:c>
      <x:c r="E365" t="n">
        <x:f>--((B365^2/$B$4^2+C365^2/$B$5^2+D365^2/$B$6^2)&lt;=1)</x:f>
        <x:v>0</x:v>
      </x:c>
      <x:c r="F365" s="42" t="n">
        <x:f>$B$8*SUM($E$18:E365)/A365</x:f>
        <x:v>98.20689655172414</x:v>
      </x:c>
      <x:c r="G365" s="42" t="n">
        <x:f>$B$11</x:f>
        <x:v>100.53096491487338</x:v>
      </x:c>
      <x:c r="I365" t="n">
        <x:f>A365</x:f>
        <x:v>348</x:v>
      </x:c>
      <x:c r="J365" t="n">
        <x:f>F365</x:f>
        <x:v>98.20689655172414</x:v>
      </x:c>
      <x:c r="K365" t="n">
        <x:f>G365</x:f>
        <x:v>100.53096491487338</x:v>
      </x:c>
    </x:row>
    <x:row r="366">
      <x:c r="A366" t="n">
        <x:v>349</x:v>
      </x:c>
      <x:c r="B366" s="40" t="n">
        <x:v>0.3603035814332367</x:v>
      </x:c>
      <x:c r="C366" s="40" t="n">
        <x:v>-2.4664275416983044</x:v>
      </x:c>
      <x:c r="D366" s="40" t="n">
        <x:v>0.1566884605733625</x:v>
      </x:c>
      <x:c r="E366" t="n">
        <x:f>--((B366^2/$B$4^2+C366^2/$B$5^2+D366^2/$B$6^2)&lt;=1)</x:f>
        <x:v>1</x:v>
      </x:c>
      <x:c r="F366" s="42" t="n">
        <x:f>$B$8*SUM($E$18:E366)/A366</x:f>
        <x:v>98.4756446991404</x:v>
      </x:c>
      <x:c r="G366" s="42" t="n">
        <x:f>$B$11</x:f>
        <x:v>100.53096491487338</x:v>
      </x:c>
      <x:c r="I366" t="n">
        <x:f>A366</x:f>
        <x:v>349</x:v>
      </x:c>
      <x:c r="J366" t="n">
        <x:f>F366</x:f>
        <x:v>98.4756446991404</x:v>
      </x:c>
      <x:c r="K366" t="n">
        <x:f>G366</x:f>
        <x:v>100.53096491487338</x:v>
      </x:c>
    </x:row>
    <x:row r="367">
      <x:c r="A367" t="n">
        <x:v>350</x:v>
      </x:c>
      <x:c r="B367" s="40" t="n">
        <x:v>-1.6198032097423951</x:v>
      </x:c>
      <x:c r="C367" s="40" t="n">
        <x:v>-2.857460961256881</x:v>
      </x:c>
      <x:c r="D367" s="40" t="n">
        <x:v>2.6585544337402665</x:v>
      </x:c>
      <x:c r="E367" t="n">
        <x:f>--((B367^2/$B$4^2+C367^2/$B$5^2+D367^2/$B$6^2)&lt;=1)</x:f>
        <x:v>0</x:v>
      </x:c>
      <x:c r="F367" s="42" t="n">
        <x:f>$B$8*SUM($E$18:E367)/A367</x:f>
        <x:v>98.19428571428571</x:v>
      </x:c>
      <x:c r="G367" s="42" t="n">
        <x:f>$B$11</x:f>
        <x:v>100.53096491487338</x:v>
      </x:c>
      <x:c r="I367" t="n">
        <x:f>A367</x:f>
        <x:v>350</x:v>
      </x:c>
      <x:c r="J367" t="n">
        <x:f>F367</x:f>
        <x:v>98.19428571428571</x:v>
      </x:c>
      <x:c r="K367" t="n">
        <x:f>G367</x:f>
        <x:v>100.53096491487338</x:v>
      </x:c>
    </x:row>
    <x:row r="368">
      <x:c r="A368" t="n">
        <x:v>351</x:v>
      </x:c>
      <x:c r="B368" s="40" t="n">
        <x:v>0.4646628000964852</x:v>
      </x:c>
      <x:c r="C368" s="40" t="n">
        <x:v>-2.662267122108053</x:v>
      </x:c>
      <x:c r="D368" s="40" t="n">
        <x:v>-2.536774528106541</x:v>
      </x:c>
      <x:c r="E368" t="n">
        <x:f>--((B368^2/$B$4^2+C368^2/$B$5^2+D368^2/$B$6^2)&lt;=1)</x:f>
        <x:v>0</x:v>
      </x:c>
      <x:c r="F368" s="42" t="n">
        <x:f>$B$8*SUM($E$18:E368)/A368</x:f>
        <x:v>97.91452991452991</x:v>
      </x:c>
      <x:c r="G368" s="42" t="n">
        <x:f>$B$11</x:f>
        <x:v>100.53096491487338</x:v>
      </x:c>
      <x:c r="I368" t="n">
        <x:f>A368</x:f>
        <x:v>351</x:v>
      </x:c>
      <x:c r="J368" t="n">
        <x:f>F368</x:f>
        <x:v>97.91452991452991</x:v>
      </x:c>
      <x:c r="K368" t="n">
        <x:f>G368</x:f>
        <x:v>100.53096491487338</x:v>
      </x:c>
    </x:row>
    <x:row r="369">
      <x:c r="A369" t="n">
        <x:v>352</x:v>
      </x:c>
      <x:c r="B369" s="40" t="n">
        <x:v>-1.3148347836288448</x:v>
      </x:c>
      <x:c r="C369" s="40" t="n">
        <x:v>2.1217810388804033</x:v>
      </x:c>
      <x:c r="D369" s="40" t="n">
        <x:v>-3.453216876834981</x:v>
      </x:c>
      <x:c r="E369" t="n">
        <x:f>--((B369^2/$B$4^2+C369^2/$B$5^2+D369^2/$B$6^2)&lt;=1)</x:f>
        <x:v>0</x:v>
      </x:c>
      <x:c r="F369" s="42" t="n">
        <x:f>$B$8*SUM($E$18:E369)/A369</x:f>
        <x:v>97.63636363636364</x:v>
      </x:c>
      <x:c r="G369" s="42" t="n">
        <x:f>$B$11</x:f>
        <x:v>100.53096491487338</x:v>
      </x:c>
      <x:c r="I369" t="n">
        <x:f>A369</x:f>
        <x:v>352</x:v>
      </x:c>
      <x:c r="J369" t="n">
        <x:f>F369</x:f>
        <x:v>97.63636363636364</x:v>
      </x:c>
      <x:c r="K369" t="n">
        <x:f>G369</x:f>
        <x:v>100.53096491487338</x:v>
      </x:c>
    </x:row>
    <x:row r="370">
      <x:c r="A370" t="n">
        <x:v>353</x:v>
      </x:c>
      <x:c r="B370" s="40" t="n">
        <x:v>0.2598024458897674</x:v>
      </x:c>
      <x:c r="C370" s="40" t="n">
        <x:v>-1.5917790656886255</x:v>
      </x:c>
      <x:c r="D370" s="40" t="n">
        <x:v>1.2476248809974875</x:v>
      </x:c>
      <x:c r="E370" t="n">
        <x:f>--((B370^2/$B$4^2+C370^2/$B$5^2+D370^2/$B$6^2)&lt;=1)</x:f>
        <x:v>1</x:v>
      </x:c>
      <x:c r="F370" s="42" t="n">
        <x:f>$B$8*SUM($E$18:E370)/A370</x:f>
        <x:v>97.90368271954674</x:v>
      </x:c>
      <x:c r="G370" s="42" t="n">
        <x:f>$B$11</x:f>
        <x:v>100.53096491487338</x:v>
      </x:c>
      <x:c r="I370" t="n">
        <x:f>A370</x:f>
        <x:v>353</x:v>
      </x:c>
      <x:c r="J370" t="n">
        <x:f>F370</x:f>
        <x:v>97.90368271954674</x:v>
      </x:c>
      <x:c r="K370" t="n">
        <x:f>G370</x:f>
        <x:v>100.53096491487338</x:v>
      </x:c>
    </x:row>
    <x:row r="371">
      <x:c r="A371" t="n">
        <x:v>354</x:v>
      </x:c>
      <x:c r="B371" s="40" t="n">
        <x:v>0.2897220561353988</x:v>
      </x:c>
      <x:c r="C371" s="40" t="n">
        <x:v>0.289639907149132</x:v>
      </x:c>
      <x:c r="D371" s="40" t="n">
        <x:v>-3.5843799699355525</x:v>
      </x:c>
      <x:c r="E371" t="n">
        <x:f>--((B371^2/$B$4^2+C371^2/$B$5^2+D371^2/$B$6^2)&lt;=1)</x:f>
        <x:v>1</x:v>
      </x:c>
      <x:c r="F371" s="42" t="n">
        <x:f>$B$8*SUM($E$18:E371)/A371</x:f>
        <x:v>98.16949152542372</x:v>
      </x:c>
      <x:c r="G371" s="42" t="n">
        <x:f>$B$11</x:f>
        <x:v>100.53096491487338</x:v>
      </x:c>
      <x:c r="I371" t="n">
        <x:f>A371</x:f>
        <x:v>354</x:v>
      </x:c>
      <x:c r="J371" t="n">
        <x:f>F371</x:f>
        <x:v>98.16949152542372</x:v>
      </x:c>
      <x:c r="K371" t="n">
        <x:f>G371</x:f>
        <x:v>100.53096491487338</x:v>
      </x:c>
    </x:row>
    <x:row r="372">
      <x:c r="A372" t="n">
        <x:v>355</x:v>
      </x:c>
      <x:c r="B372" s="40" t="n">
        <x:v>-0.13605938807509066</x:v>
      </x:c>
      <x:c r="C372" s="40" t="n">
        <x:v>-0.4425347809196598</x:v>
      </x:c>
      <x:c r="D372" s="40" t="n">
        <x:v>3.139851353117444</x:v>
      </x:c>
      <x:c r="E372" t="n">
        <x:f>--((B372^2/$B$4^2+C372^2/$B$5^2+D372^2/$B$6^2)&lt;=1)</x:f>
        <x:v>1</x:v>
      </x:c>
      <x:c r="F372" s="42" t="n">
        <x:f>$B$8*SUM($E$18:E372)/A372</x:f>
        <x:v>98.4338028169014</x:v>
      </x:c>
      <x:c r="G372" s="42" t="n">
        <x:f>$B$11</x:f>
        <x:v>100.53096491487338</x:v>
      </x:c>
      <x:c r="I372" t="n">
        <x:f>A372</x:f>
        <x:v>355</x:v>
      </x:c>
      <x:c r="J372" t="n">
        <x:f>F372</x:f>
        <x:v>98.4338028169014</x:v>
      </x:c>
      <x:c r="K372" t="n">
        <x:f>G372</x:f>
        <x:v>100.53096491487338</x:v>
      </x:c>
    </x:row>
    <x:row r="373">
      <x:c r="A373" t="n">
        <x:v>356</x:v>
      </x:c>
      <x:c r="B373" s="40" t="n">
        <x:v>0.09052710205249115</x:v>
      </x:c>
      <x:c r="C373" s="40" t="n">
        <x:v>1.7731531573716124</x:v>
      </x:c>
      <x:c r="D373" s="40" t="n">
        <x:v>1.5324331768593487</x:v>
      </x:c>
      <x:c r="E373" t="n">
        <x:f>--((B373^2/$B$4^2+C373^2/$B$5^2+D373^2/$B$6^2)&lt;=1)</x:f>
        <x:v>1</x:v>
      </x:c>
      <x:c r="F373" s="42" t="n">
        <x:f>$B$8*SUM($E$18:E373)/A373</x:f>
        <x:v>98.69662921348315</x:v>
      </x:c>
      <x:c r="G373" s="42" t="n">
        <x:f>$B$11</x:f>
        <x:v>100.53096491487338</x:v>
      </x:c>
      <x:c r="I373" t="n">
        <x:f>A373</x:f>
        <x:v>356</x:v>
      </x:c>
      <x:c r="J373" t="n">
        <x:f>F373</x:f>
        <x:v>98.69662921348315</x:v>
      </x:c>
      <x:c r="K373" t="n">
        <x:f>G373</x:f>
        <x:v>100.53096491487338</x:v>
      </x:c>
    </x:row>
    <x:row r="374">
      <x:c r="A374" t="n">
        <x:v>357</x:v>
      </x:c>
      <x:c r="B374" s="40" t="n">
        <x:v>1.0556935600263517</x:v>
      </x:c>
      <x:c r="C374" s="40" t="n">
        <x:v>-0.06661019117597622</x:v>
      </x:c>
      <x:c r="D374" s="40" t="n">
        <x:v>3.617605803271296</x:v>
      </x:c>
      <x:c r="E374" t="n">
        <x:f>--((B374^2/$B$4^2+C374^2/$B$5^2+D374^2/$B$6^2)&lt;=1)</x:f>
        <x:v>0</x:v>
      </x:c>
      <x:c r="F374" s="42" t="n">
        <x:f>$B$8*SUM($E$18:E374)/A374</x:f>
        <x:v>98.4201680672269</x:v>
      </x:c>
      <x:c r="G374" s="42" t="n">
        <x:f>$B$11</x:f>
        <x:v>100.53096491487338</x:v>
      </x:c>
      <x:c r="I374" t="n">
        <x:f>A374</x:f>
        <x:v>357</x:v>
      </x:c>
      <x:c r="J374" t="n">
        <x:f>F374</x:f>
        <x:v>98.4201680672269</x:v>
      </x:c>
      <x:c r="K374" t="n">
        <x:f>G374</x:f>
        <x:v>100.53096491487338</x:v>
      </x:c>
    </x:row>
    <x:row r="375">
      <x:c r="A375" t="n">
        <x:v>358</x:v>
      </x:c>
      <x:c r="B375" s="40" t="n">
        <x:v>1.1969788660482665</x:v>
      </x:c>
      <x:c r="C375" s="40" t="n">
        <x:v>0.003965043967617987</x:v>
      </x:c>
      <x:c r="D375" s="40" t="n">
        <x:v>-1.4889067494941148</x:v>
      </x:c>
      <x:c r="E375" t="n">
        <x:f>--((B375^2/$B$4^2+C375^2/$B$5^2+D375^2/$B$6^2)&lt;=1)</x:f>
        <x:v>1</x:v>
      </x:c>
      <x:c r="F375" s="42" t="n">
        <x:f>$B$8*SUM($E$18:E375)/A375</x:f>
        <x:v>98.68156424581005</x:v>
      </x:c>
      <x:c r="G375" s="42" t="n">
        <x:f>$B$11</x:f>
        <x:v>100.53096491487338</x:v>
      </x:c>
      <x:c r="I375" t="n">
        <x:f>A375</x:f>
        <x:v>358</x:v>
      </x:c>
      <x:c r="J375" t="n">
        <x:f>F375</x:f>
        <x:v>98.68156424581005</x:v>
      </x:c>
      <x:c r="K375" t="n">
        <x:f>G375</x:f>
        <x:v>100.53096491487338</x:v>
      </x:c>
    </x:row>
    <x:row r="376">
      <x:c r="A376" t="n">
        <x:v>359</x:v>
      </x:c>
      <x:c r="B376" s="40" t="n">
        <x:v>-0.031387137698283496</x:v>
      </x:c>
      <x:c r="C376" s="40" t="n">
        <x:v>2.934551636999414</x:v>
      </x:c>
      <x:c r="D376" s="40" t="n">
        <x:v>-0.11073352638703327</x:v>
      </x:c>
      <x:c r="E376" t="n">
        <x:f>--((B376^2/$B$4^2+C376^2/$B$5^2+D376^2/$B$6^2)&lt;=1)</x:f>
        <x:v>1</x:v>
      </x:c>
      <x:c r="F376" s="42" t="n">
        <x:f>$B$8*SUM($E$18:E376)/A376</x:f>
        <x:v>98.94150417827298</x:v>
      </x:c>
      <x:c r="G376" s="42" t="n">
        <x:f>$B$11</x:f>
        <x:v>100.53096491487338</x:v>
      </x:c>
      <x:c r="I376" t="n">
        <x:f>A376</x:f>
        <x:v>359</x:v>
      </x:c>
      <x:c r="J376" t="n">
        <x:f>F376</x:f>
        <x:v>98.94150417827298</x:v>
      </x:c>
      <x:c r="K376" t="n">
        <x:f>G376</x:f>
        <x:v>100.53096491487338</x:v>
      </x:c>
    </x:row>
    <x:row r="377">
      <x:c r="A377" t="n">
        <x:v>360</x:v>
      </x:c>
      <x:c r="B377" s="40" t="n">
        <x:v>0.39837376609044917</x:v>
      </x:c>
      <x:c r="C377" s="40" t="n">
        <x:v>-2.0992226595044574</x:v>
      </x:c>
      <x:c r="D377" s="40" t="n">
        <x:v>1.9335229203609519</x:v>
      </x:c>
      <x:c r="E377" t="n">
        <x:f>--((B377^2/$B$4^2+C377^2/$B$5^2+D377^2/$B$6^2)&lt;=1)</x:f>
        <x:v>1</x:v>
      </x:c>
      <x:c r="F377" s="42" t="n">
        <x:f>$B$8*SUM($E$18:E377)/A377</x:f>
        <x:v>99.2</x:v>
      </x:c>
      <x:c r="G377" s="42" t="n">
        <x:f>$B$11</x:f>
        <x:v>100.53096491487338</x:v>
      </x:c>
      <x:c r="I377" t="n">
        <x:f>A377</x:f>
        <x:v>360</x:v>
      </x:c>
      <x:c r="J377" t="n">
        <x:f>F377</x:f>
        <x:v>99.2</x:v>
      </x:c>
      <x:c r="K377" t="n">
        <x:f>G377</x:f>
        <x:v>100.53096491487338</x:v>
      </x:c>
    </x:row>
    <x:row r="378">
      <x:c r="A378" t="n">
        <x:v>361</x:v>
      </x:c>
      <x:c r="B378" s="40" t="n">
        <x:v>1.7249449427604073</x:v>
      </x:c>
      <x:c r="C378" s="40" t="n">
        <x:v>1.9842236324755884</x:v>
      </x:c>
      <x:c r="D378" s="40" t="n">
        <x:v>-2.0577681163134356</x:v>
      </x:c>
      <x:c r="E378" t="n">
        <x:f>--((B378^2/$B$4^2+C378^2/$B$5^2+D378^2/$B$6^2)&lt;=1)</x:f>
        <x:v>0</x:v>
      </x:c>
      <x:c r="F378" s="42" t="n">
        <x:f>$B$8*SUM($E$18:E378)/A378</x:f>
        <x:v>98.92520775623268</x:v>
      </x:c>
      <x:c r="G378" s="42" t="n">
        <x:f>$B$11</x:f>
        <x:v>100.53096491487338</x:v>
      </x:c>
      <x:c r="I378" t="n">
        <x:f>A378</x:f>
        <x:v>361</x:v>
      </x:c>
      <x:c r="J378" t="n">
        <x:f>F378</x:f>
        <x:v>98.92520775623268</x:v>
      </x:c>
      <x:c r="K378" t="n">
        <x:f>G378</x:f>
        <x:v>100.53096491487338</x:v>
      </x:c>
    </x:row>
    <x:row r="379">
      <x:c r="A379" t="n">
        <x:v>362</x:v>
      </x:c>
      <x:c r="B379" s="40" t="n">
        <x:v>-1.5210656459955088</x:v>
      </x:c>
      <x:c r="C379" s="40" t="n">
        <x:v>-2.6895015263766915</x:v>
      </x:c>
      <x:c r="D379" s="40" t="n">
        <x:v>0.33479056089333525</x:v>
      </x:c>
      <x:c r="E379" t="n">
        <x:f>--((B379^2/$B$4^2+C379^2/$B$5^2+D379^2/$B$6^2)&lt;=1)</x:f>
        <x:v>0</x:v>
      </x:c>
      <x:c r="F379" s="42" t="n">
        <x:f>$B$8*SUM($E$18:E379)/A379</x:f>
        <x:v>98.65193370165746</x:v>
      </x:c>
      <x:c r="G379" s="42" t="n">
        <x:f>$B$11</x:f>
        <x:v>100.53096491487338</x:v>
      </x:c>
      <x:c r="I379" t="n">
        <x:f>A379</x:f>
        <x:v>362</x:v>
      </x:c>
      <x:c r="J379" t="n">
        <x:f>F379</x:f>
        <x:v>98.65193370165746</x:v>
      </x:c>
      <x:c r="K379" t="n">
        <x:f>G379</x:f>
        <x:v>100.53096491487338</x:v>
      </x:c>
    </x:row>
    <x:row r="380">
      <x:c r="A380" t="n">
        <x:v>363</x:v>
      </x:c>
      <x:c r="B380" s="40" t="n">
        <x:v>-1.531585736399558</x:v>
      </x:c>
      <x:c r="C380" s="40" t="n">
        <x:v>-0.13410738256217547</x:v>
      </x:c>
      <x:c r="D380" s="40" t="n">
        <x:v>1.2757382000438247</x:v>
      </x:c>
      <x:c r="E380" t="n">
        <x:f>--((B380^2/$B$4^2+C380^2/$B$5^2+D380^2/$B$6^2)&lt;=1)</x:f>
        <x:v>1</x:v>
      </x:c>
      <x:c r="F380" s="42" t="n">
        <x:f>$B$8*SUM($E$18:E380)/A380</x:f>
        <x:v>98.9090909090909</x:v>
      </x:c>
      <x:c r="G380" s="42" t="n">
        <x:f>$B$11</x:f>
        <x:v>100.53096491487338</x:v>
      </x:c>
      <x:c r="I380" t="n">
        <x:f>A380</x:f>
        <x:v>363</x:v>
      </x:c>
      <x:c r="J380" t="n">
        <x:f>F380</x:f>
        <x:v>98.9090909090909</x:v>
      </x:c>
      <x:c r="K380" t="n">
        <x:f>G380</x:f>
        <x:v>100.53096491487338</x:v>
      </x:c>
    </x:row>
    <x:row r="381">
      <x:c r="A381" t="n">
        <x:v>364</x:v>
      </x:c>
      <x:c r="B381" s="40" t="n">
        <x:v>-1.6491639523569264</x:v>
      </x:c>
      <x:c r="C381" s="40" t="n">
        <x:v>2.318008943598141</x:v>
      </x:c>
      <x:c r="D381" s="40" t="n">
        <x:v>3.83046923557633</x:v>
      </x:c>
      <x:c r="E381" t="n">
        <x:f>--((B381^2/$B$4^2+C381^2/$B$5^2+D381^2/$B$6^2)&lt;=1)</x:f>
        <x:v>0</x:v>
      </x:c>
      <x:c r="F381" s="42" t="n">
        <x:f>$B$8*SUM($E$18:E381)/A381</x:f>
        <x:v>98.63736263736264</x:v>
      </x:c>
      <x:c r="G381" s="42" t="n">
        <x:f>$B$11</x:f>
        <x:v>100.53096491487338</x:v>
      </x:c>
      <x:c r="I381" t="n">
        <x:f>A381</x:f>
        <x:v>364</x:v>
      </x:c>
      <x:c r="J381" t="n">
        <x:f>F381</x:f>
        <x:v>98.63736263736264</x:v>
      </x:c>
      <x:c r="K381" t="n">
        <x:f>G381</x:f>
        <x:v>100.53096491487338</x:v>
      </x:c>
    </x:row>
    <x:row r="382">
      <x:c r="A382" t="n">
        <x:v>365</x:v>
      </x:c>
      <x:c r="B382" s="40" t="n">
        <x:v>0.6314531401621113</x:v>
      </x:c>
      <x:c r="C382" s="40" t="n">
        <x:v>0.9912837936247278</x:v>
      </x:c>
      <x:c r="D382" s="40" t="n">
        <x:v>1.9576263539390784</x:v>
      </x:c>
      <x:c r="E382" t="n">
        <x:f>--((B382^2/$B$4^2+C382^2/$B$5^2+D382^2/$B$6^2)&lt;=1)</x:f>
        <x:v>1</x:v>
      </x:c>
      <x:c r="F382" s="42" t="n">
        <x:f>$B$8*SUM($E$18:E382)/A382</x:f>
        <x:v>98.89315068493151</x:v>
      </x:c>
      <x:c r="G382" s="42" t="n">
        <x:f>$B$11</x:f>
        <x:v>100.53096491487338</x:v>
      </x:c>
      <x:c r="I382" t="n">
        <x:f>A382</x:f>
        <x:v>365</x:v>
      </x:c>
      <x:c r="J382" t="n">
        <x:f>F382</x:f>
        <x:v>98.89315068493151</x:v>
      </x:c>
      <x:c r="K382" t="n">
        <x:f>G382</x:f>
        <x:v>100.53096491487338</x:v>
      </x:c>
    </x:row>
    <x:row r="383">
      <x:c r="A383" t="n">
        <x:v>366</x:v>
      </x:c>
      <x:c r="B383" s="40" t="n">
        <x:v>-0.3255667968384821</x:v>
      </x:c>
      <x:c r="C383" s="40" t="n">
        <x:v>1.1112877161967978</x:v>
      </x:c>
      <x:c r="D383" s="40" t="n">
        <x:v>-3.054953197767408</x:v>
      </x:c>
      <x:c r="E383" t="n">
        <x:f>--((B383^2/$B$4^2+C383^2/$B$5^2+D383^2/$B$6^2)&lt;=1)</x:f>
        <x:v>1</x:v>
      </x:c>
      <x:c r="F383" s="42" t="n">
        <x:f>$B$8*SUM($E$18:E383)/A383</x:f>
        <x:v>99.14754098360656</x:v>
      </x:c>
      <x:c r="G383" s="42" t="n">
        <x:f>$B$11</x:f>
        <x:v>100.53096491487338</x:v>
      </x:c>
      <x:c r="I383" t="n">
        <x:f>A383</x:f>
        <x:v>366</x:v>
      </x:c>
      <x:c r="J383" t="n">
        <x:f>F383</x:f>
        <x:v>99.14754098360656</x:v>
      </x:c>
      <x:c r="K383" t="n">
        <x:f>G383</x:f>
        <x:v>100.53096491487338</x:v>
      </x:c>
    </x:row>
    <x:row r="384">
      <x:c r="A384" t="n">
        <x:v>367</x:v>
      </x:c>
      <x:c r="B384" s="40" t="n">
        <x:v>1.097285664567373</x:v>
      </x:c>
      <x:c r="C384" s="40" t="n">
        <x:v>-1.4200963064610868</x:v>
      </x:c>
      <x:c r="D384" s="40" t="n">
        <x:v>-0.19733238893351768</x:v>
      </x:c>
      <x:c r="E384" t="n">
        <x:f>--((B384^2/$B$4^2+C384^2/$B$5^2+D384^2/$B$6^2)&lt;=1)</x:f>
        <x:v>1</x:v>
      </x:c>
      <x:c r="F384" s="42" t="n">
        <x:f>$B$8*SUM($E$18:E384)/A384</x:f>
        <x:v>99.40054495912807</x:v>
      </x:c>
      <x:c r="G384" s="42" t="n">
        <x:f>$B$11</x:f>
        <x:v>100.53096491487338</x:v>
      </x:c>
      <x:c r="I384" t="n">
        <x:f>A384</x:f>
        <x:v>367</x:v>
      </x:c>
      <x:c r="J384" t="n">
        <x:f>F384</x:f>
        <x:v>99.40054495912807</x:v>
      </x:c>
      <x:c r="K384" t="n">
        <x:f>G384</x:f>
        <x:v>100.53096491487338</x:v>
      </x:c>
    </x:row>
    <x:row r="385">
      <x:c r="A385" t="n">
        <x:v>368</x:v>
      </x:c>
      <x:c r="B385" s="40" t="n">
        <x:v>0.6849256532343704</x:v>
      </x:c>
      <x:c r="C385" s="40" t="n">
        <x:v>-0.48855125183127424</x:v>
      </x:c>
      <x:c r="D385" s="40" t="n">
        <x:v>0.7101662639165767</x:v>
      </x:c>
      <x:c r="E385" t="n">
        <x:f>--((B385^2/$B$4^2+C385^2/$B$5^2+D385^2/$B$6^2)&lt;=1)</x:f>
        <x:v>1</x:v>
      </x:c>
      <x:c r="F385" s="42" t="n">
        <x:f>$B$8*SUM($E$18:E385)/A385</x:f>
        <x:v>99.65217391304348</x:v>
      </x:c>
      <x:c r="G385" s="42" t="n">
        <x:f>$B$11</x:f>
        <x:v>100.53096491487338</x:v>
      </x:c>
      <x:c r="I385" t="n">
        <x:f>A385</x:f>
        <x:v>368</x:v>
      </x:c>
      <x:c r="J385" t="n">
        <x:f>F385</x:f>
        <x:v>99.65217391304348</x:v>
      </x:c>
      <x:c r="K385" t="n">
        <x:f>G385</x:f>
        <x:v>100.53096491487338</x:v>
      </x:c>
    </x:row>
    <x:row r="386">
      <x:c r="A386" t="n">
        <x:v>369</x:v>
      </x:c>
      <x:c r="B386" s="40" t="n">
        <x:v>-0.6654489666870473</x:v>
      </x:c>
      <x:c r="C386" s="40" t="n">
        <x:v>-0.800513619005697</x:v>
      </x:c>
      <x:c r="D386" s="40" t="n">
        <x:v>-2.827014857085178</x:v>
      </x:c>
      <x:c r="E386" t="n">
        <x:f>--((B386^2/$B$4^2+C386^2/$B$5^2+D386^2/$B$6^2)&lt;=1)</x:f>
        <x:v>1</x:v>
      </x:c>
      <x:c r="F386" s="42" t="n">
        <x:f>$B$8*SUM($E$18:E386)/A386</x:f>
        <x:v>99.90243902439025</x:v>
      </x:c>
      <x:c r="G386" s="42" t="n">
        <x:f>$B$11</x:f>
        <x:v>100.53096491487338</x:v>
      </x:c>
      <x:c r="I386" t="n">
        <x:f>A386</x:f>
        <x:v>369</x:v>
      </x:c>
      <x:c r="J386" t="n">
        <x:f>F386</x:f>
        <x:v>99.90243902439025</x:v>
      </x:c>
      <x:c r="K386" t="n">
        <x:f>G386</x:f>
        <x:v>100.53096491487338</x:v>
      </x:c>
    </x:row>
    <x:row r="387">
      <x:c r="A387" t="n">
        <x:v>370</x:v>
      </x:c>
      <x:c r="B387" s="40" t="n">
        <x:v>1.593466189446143</x:v>
      </x:c>
      <x:c r="C387" s="40" t="n">
        <x:v>0.12865926094796531</x:v>
      </x:c>
      <x:c r="D387" s="40" t="n">
        <x:v>-0.544271544151373</x:v>
      </x:c>
      <x:c r="E387" t="n">
        <x:f>--((B387^2/$B$4^2+C387^2/$B$5^2+D387^2/$B$6^2)&lt;=1)</x:f>
        <x:v>1</x:v>
      </x:c>
      <x:c r="F387" s="42" t="n">
        <x:f>$B$8*SUM($E$18:E387)/A387</x:f>
        <x:v>100.15135135135135</x:v>
      </x:c>
      <x:c r="G387" s="42" t="n">
        <x:f>$B$11</x:f>
        <x:v>100.53096491487338</x:v>
      </x:c>
      <x:c r="I387" t="n">
        <x:f>A387</x:f>
        <x:v>370</x:v>
      </x:c>
      <x:c r="J387" t="n">
        <x:f>F387</x:f>
        <x:v>100.15135135135135</x:v>
      </x:c>
      <x:c r="K387" t="n">
        <x:f>G387</x:f>
        <x:v>100.53096491487338</x:v>
      </x:c>
    </x:row>
    <x:row r="388">
      <x:c r="A388" t="n">
        <x:v>371</x:v>
      </x:c>
      <x:c r="B388" s="40" t="n">
        <x:v>1.0501285882826092</x:v>
      </x:c>
      <x:c r="C388" s="40" t="n">
        <x:v>-0.22663241913799137</x:v>
      </x:c>
      <x:c r="D388" s="40" t="n">
        <x:v>-1.727953469313416</x:v>
      </x:c>
      <x:c r="E388" t="n">
        <x:f>--((B388^2/$B$4^2+C388^2/$B$5^2+D388^2/$B$6^2)&lt;=1)</x:f>
        <x:v>1</x:v>
      </x:c>
      <x:c r="F388" s="42" t="n">
        <x:f>$B$8*SUM($E$18:E388)/A388</x:f>
        <x:v>100.3989218328841</x:v>
      </x:c>
      <x:c r="G388" s="42" t="n">
        <x:f>$B$11</x:f>
        <x:v>100.53096491487338</x:v>
      </x:c>
      <x:c r="I388" t="n">
        <x:f>A388</x:f>
        <x:v>371</x:v>
      </x:c>
      <x:c r="J388" t="n">
        <x:f>F388</x:f>
        <x:v>100.3989218328841</x:v>
      </x:c>
      <x:c r="K388" t="n">
        <x:f>G388</x:f>
        <x:v>100.53096491487338</x:v>
      </x:c>
    </x:row>
    <x:row r="389">
      <x:c r="A389" t="n">
        <x:v>372</x:v>
      </x:c>
      <x:c r="B389" s="40" t="n">
        <x:v>-0.9178602363592971</x:v>
      </x:c>
      <x:c r="C389" s="40" t="n">
        <x:v>-1.038609888738064</x:v>
      </x:c>
      <x:c r="D389" s="40" t="n">
        <x:v>-3.0493796619037923</x:v>
      </x:c>
      <x:c r="E389" t="n">
        <x:f>--((B389^2/$B$4^2+C389^2/$B$5^2+D389^2/$B$6^2)&lt;=1)</x:f>
        <x:v>1</x:v>
      </x:c>
      <x:c r="F389" s="42" t="n">
        <x:f>$B$8*SUM($E$18:E389)/A389</x:f>
        <x:v>100.64516129032258</x:v>
      </x:c>
      <x:c r="G389" s="42" t="n">
        <x:f>$B$11</x:f>
        <x:v>100.53096491487338</x:v>
      </x:c>
      <x:c r="I389" t="n">
        <x:f>A389</x:f>
        <x:v>372</x:v>
      </x:c>
      <x:c r="J389" t="n">
        <x:f>F389</x:f>
        <x:v>100.64516129032258</x:v>
      </x:c>
      <x:c r="K389" t="n">
        <x:f>G389</x:f>
        <x:v>100.53096491487338</x:v>
      </x:c>
    </x:row>
    <x:row r="390">
      <x:c r="A390" t="n">
        <x:v>373</x:v>
      </x:c>
      <x:c r="B390" s="40" t="n">
        <x:v>-0.543231928911784</x:v>
      </x:c>
      <x:c r="C390" s="40" t="n">
        <x:v>-1.1671163257729795</x:v>
      </x:c>
      <x:c r="D390" s="40" t="n">
        <x:v>0.09633546770763601</x:v>
      </x:c>
      <x:c r="E390" t="n">
        <x:f>--((B390^2/$B$4^2+C390^2/$B$5^2+D390^2/$B$6^2)&lt;=1)</x:f>
        <x:v>1</x:v>
      </x:c>
      <x:c r="F390" s="42" t="n">
        <x:f>$B$8*SUM($E$18:E390)/A390</x:f>
        <x:v>100.89008042895442</x:v>
      </x:c>
      <x:c r="G390" s="42" t="n">
        <x:f>$B$11</x:f>
        <x:v>100.53096491487338</x:v>
      </x:c>
      <x:c r="I390" t="n">
        <x:f>A390</x:f>
        <x:v>373</x:v>
      </x:c>
      <x:c r="J390" t="n">
        <x:f>F390</x:f>
        <x:v>100.89008042895442</x:v>
      </x:c>
      <x:c r="K390" t="n">
        <x:f>G390</x:f>
        <x:v>100.53096491487338</x:v>
      </x:c>
    </x:row>
    <x:row r="391">
      <x:c r="A391" t="n">
        <x:v>374</x:v>
      </x:c>
      <x:c r="B391" s="40" t="n">
        <x:v>-0.7422400791829484</x:v>
      </x:c>
      <x:c r="C391" s="40" t="n">
        <x:v>-1.4948826500692671</x:v>
      </x:c>
      <x:c r="D391" s="40" t="n">
        <x:v>-2.6749353519012367</x:v>
      </x:c>
      <x:c r="E391" t="n">
        <x:f>--((B391^2/$B$4^2+C391^2/$B$5^2+D391^2/$B$6^2)&lt;=1)</x:f>
        <x:v>1</x:v>
      </x:c>
      <x:c r="F391" s="42" t="n">
        <x:f>$B$8*SUM($E$18:E391)/A391</x:f>
        <x:v>101.1336898395722</x:v>
      </x:c>
      <x:c r="G391" s="42" t="n">
        <x:f>$B$11</x:f>
        <x:v>100.53096491487338</x:v>
      </x:c>
      <x:c r="I391" t="n">
        <x:f>A391</x:f>
        <x:v>374</x:v>
      </x:c>
      <x:c r="J391" t="n">
        <x:f>F391</x:f>
        <x:v>101.1336898395722</x:v>
      </x:c>
      <x:c r="K391" t="n">
        <x:f>G391</x:f>
        <x:v>100.53096491487338</x:v>
      </x:c>
    </x:row>
    <x:row r="392">
      <x:c r="A392" t="n">
        <x:v>375</x:v>
      </x:c>
      <x:c r="B392" s="40" t="n">
        <x:v>-1.3695534055000014</x:v>
      </x:c>
      <x:c r="C392" s="40" t="n">
        <x:v>-0.8097165186914497</x:v>
      </x:c>
      <x:c r="D392" s="40" t="n">
        <x:v>0.7242992686857868</x:v>
      </x:c>
      <x:c r="E392" t="n">
        <x:f>--((B392^2/$B$4^2+C392^2/$B$5^2+D392^2/$B$6^2)&lt;=1)</x:f>
        <x:v>1</x:v>
      </x:c>
      <x:c r="F392" s="42" t="n">
        <x:f>$B$8*SUM($E$18:E392)/A392</x:f>
        <x:v>101.376</x:v>
      </x:c>
      <x:c r="G392" s="42" t="n">
        <x:f>$B$11</x:f>
        <x:v>100.53096491487338</x:v>
      </x:c>
      <x:c r="I392" t="n">
        <x:f>A392</x:f>
        <x:v>375</x:v>
      </x:c>
      <x:c r="J392" t="n">
        <x:f>F392</x:f>
        <x:v>101.376</x:v>
      </x:c>
      <x:c r="K392" t="n">
        <x:f>G392</x:f>
        <x:v>100.53096491487338</x:v>
      </x:c>
    </x:row>
    <x:row r="393">
      <x:c r="A393" t="n">
        <x:v>376</x:v>
      </x:c>
      <x:c r="B393" s="40" t="n">
        <x:v>-1.4088665098312334</x:v>
      </x:c>
      <x:c r="C393" s="40" t="n">
        <x:v>-2.100351132395636</x:v>
      </x:c>
      <x:c r="D393" s="40" t="n">
        <x:v>-2.6424245420650765</x:v>
      </x:c>
      <x:c r="E393" t="n">
        <x:f>--((B393^2/$B$4^2+C393^2/$B$5^2+D393^2/$B$6^2)&lt;=1)</x:f>
        <x:v>0</x:v>
      </x:c>
      <x:c r="F393" s="42" t="n">
        <x:f>$B$8*SUM($E$18:E393)/A393</x:f>
        <x:v>101.1063829787234</x:v>
      </x:c>
      <x:c r="G393" s="42" t="n">
        <x:f>$B$11</x:f>
        <x:v>100.53096491487338</x:v>
      </x:c>
      <x:c r="I393" t="n">
        <x:f>A393</x:f>
        <x:v>376</x:v>
      </x:c>
      <x:c r="J393" t="n">
        <x:f>F393</x:f>
        <x:v>101.1063829787234</x:v>
      </x:c>
      <x:c r="K393" t="n">
        <x:f>G393</x:f>
        <x:v>100.53096491487338</x:v>
      </x:c>
    </x:row>
    <x:row r="394">
      <x:c r="A394" t="n">
        <x:v>377</x:v>
      </x:c>
      <x:c r="B394" s="40" t="n">
        <x:v>1.7445098535029762</x:v>
      </x:c>
      <x:c r="C394" s="40" t="n">
        <x:v>2.2326258120214426</x:v>
      </x:c>
      <x:c r="D394" s="40" t="n">
        <x:v>1.7887593888225686</x:v>
      </x:c>
      <x:c r="E394" t="n">
        <x:f>--((B394^2/$B$4^2+C394^2/$B$5^2+D394^2/$B$6^2)&lt;=1)</x:f>
        <x:v>0</x:v>
      </x:c>
      <x:c r="F394" s="42" t="n">
        <x:f>$B$8*SUM($E$18:E394)/A394</x:f>
        <x:v>100.83819628647215</x:v>
      </x:c>
      <x:c r="G394" s="42" t="n">
        <x:f>$B$11</x:f>
        <x:v>100.53096491487338</x:v>
      </x:c>
      <x:c r="I394" t="n">
        <x:f>A394</x:f>
        <x:v>377</x:v>
      </x:c>
      <x:c r="J394" t="n">
        <x:f>F394</x:f>
        <x:v>100.83819628647215</x:v>
      </x:c>
      <x:c r="K394" t="n">
        <x:f>G394</x:f>
        <x:v>100.53096491487338</x:v>
      </x:c>
    </x:row>
    <x:row r="395">
      <x:c r="A395" t="n">
        <x:v>378</x:v>
      </x:c>
      <x:c r="B395" s="40" t="n">
        <x:v>-0.24838385120498696</x:v>
      </x:c>
      <x:c r="C395" s="40" t="n">
        <x:v>0.612716351000564</x:v>
      </x:c>
      <x:c r="D395" s="40" t="n">
        <x:v>-2.4380670157626367</x:v>
      </x:c>
      <x:c r="E395" t="n">
        <x:f>--((B395^2/$B$4^2+C395^2/$B$5^2+D395^2/$B$6^2)&lt;=1)</x:f>
        <x:v>1</x:v>
      </x:c>
      <x:c r="F395" s="42" t="n">
        <x:f>$B$8*SUM($E$18:E395)/A395</x:f>
        <x:v>101.07936507936508</x:v>
      </x:c>
      <x:c r="G395" s="42" t="n">
        <x:f>$B$11</x:f>
        <x:v>100.53096491487338</x:v>
      </x:c>
      <x:c r="I395" t="n">
        <x:f>A395</x:f>
        <x:v>378</x:v>
      </x:c>
      <x:c r="J395" t="n">
        <x:f>F395</x:f>
        <x:v>101.07936507936508</x:v>
      </x:c>
      <x:c r="K395" t="n">
        <x:f>G395</x:f>
        <x:v>100.53096491487338</x:v>
      </x:c>
    </x:row>
    <x:row r="396">
      <x:c r="A396" t="n">
        <x:v>379</x:v>
      </x:c>
      <x:c r="B396" s="40" t="n">
        <x:v>-0.46672070889036066</x:v>
      </x:c>
      <x:c r="C396" s="40" t="n">
        <x:v>-2.1972814464368673</x:v>
      </x:c>
      <x:c r="D396" s="40" t="n">
        <x:v>3.1702808062091963</x:v>
      </x:c>
      <x:c r="E396" t="n">
        <x:f>--((B396^2/$B$4^2+C396^2/$B$5^2+D396^2/$B$6^2)&lt;=1)</x:f>
        <x:v>0</x:v>
      </x:c>
      <x:c r="F396" s="42" t="n">
        <x:f>$B$8*SUM($E$18:E396)/A396</x:f>
        <x:v>100.81266490765171</x:v>
      </x:c>
      <x:c r="G396" s="42" t="n">
        <x:f>$B$11</x:f>
        <x:v>100.53096491487338</x:v>
      </x:c>
      <x:c r="I396" t="n">
        <x:f>A396</x:f>
        <x:v>379</x:v>
      </x:c>
      <x:c r="J396" t="n">
        <x:f>F396</x:f>
        <x:v>100.81266490765171</x:v>
      </x:c>
      <x:c r="K396" t="n">
        <x:f>G396</x:f>
        <x:v>100.53096491487338</x:v>
      </x:c>
    </x:row>
    <x:row r="397">
      <x:c r="A397" t="n">
        <x:v>380</x:v>
      </x:c>
      <x:c r="B397" s="40" t="n">
        <x:v>0.9187428347095117</x:v>
      </x:c>
      <x:c r="C397" s="40" t="n">
        <x:v>1.1631560052540078</x:v>
      </x:c>
      <x:c r="D397" s="40" t="n">
        <x:v>-3.790325147609529</x:v>
      </x:c>
      <x:c r="E397" t="n">
        <x:f>--((B397^2/$B$4^2+C397^2/$B$5^2+D397^2/$B$6^2)&lt;=1)</x:f>
        <x:v>0</x:v>
      </x:c>
      <x:c r="F397" s="42" t="n">
        <x:f>$B$8*SUM($E$18:E397)/A397</x:f>
        <x:v>100.54736842105264</x:v>
      </x:c>
      <x:c r="G397" s="42" t="n">
        <x:f>$B$11</x:f>
        <x:v>100.53096491487338</x:v>
      </x:c>
      <x:c r="I397" t="n">
        <x:f>A397</x:f>
        <x:v>380</x:v>
      </x:c>
      <x:c r="J397" t="n">
        <x:f>F397</x:f>
        <x:v>100.54736842105264</x:v>
      </x:c>
      <x:c r="K397" t="n">
        <x:f>G397</x:f>
        <x:v>100.53096491487338</x:v>
      </x:c>
    </x:row>
    <x:row r="398">
      <x:c r="A398" t="n">
        <x:v>381</x:v>
      </x:c>
      <x:c r="B398" s="40" t="n">
        <x:v>0.21197226101159972</x:v>
      </x:c>
      <x:c r="C398" s="40" t="n">
        <x:v>2.0859988079878393</x:v>
      </x:c>
      <x:c r="D398" s="40" t="n">
        <x:v>0.1759790963658876</x:v>
      </x:c>
      <x:c r="E398" t="n">
        <x:f>--((B398^2/$B$4^2+C398^2/$B$5^2+D398^2/$B$6^2)&lt;=1)</x:f>
        <x:v>1</x:v>
      </x:c>
      <x:c r="F398" s="42" t="n">
        <x:f>$B$8*SUM($E$18:E398)/A398</x:f>
        <x:v>100.78740157480316</x:v>
      </x:c>
      <x:c r="G398" s="42" t="n">
        <x:f>$B$11</x:f>
        <x:v>100.53096491487338</x:v>
      </x:c>
      <x:c r="I398" t="n">
        <x:f>A398</x:f>
        <x:v>381</x:v>
      </x:c>
      <x:c r="J398" t="n">
        <x:f>F398</x:f>
        <x:v>100.78740157480316</x:v>
      </x:c>
      <x:c r="K398" t="n">
        <x:f>G398</x:f>
        <x:v>100.53096491487338</x:v>
      </x:c>
    </x:row>
    <x:row r="399">
      <x:c r="A399" t="n">
        <x:v>382</x:v>
      </x:c>
      <x:c r="B399" s="40" t="n">
        <x:v>1.744559947353849</x:v>
      </x:c>
      <x:c r="C399" s="40" t="n">
        <x:v>-1.5747859676864466</x:v>
      </x:c>
      <x:c r="D399" s="40" t="n">
        <x:v>-1.4391618729076248</x:v>
      </x:c>
      <x:c r="E399" t="n">
        <x:f>--((B399^2/$B$4^2+C399^2/$B$5^2+D399^2/$B$6^2)&lt;=1)</x:f>
        <x:v>0</x:v>
      </x:c>
      <x:c r="F399" s="42" t="n">
        <x:f>$B$8*SUM($E$18:E399)/A399</x:f>
        <x:v>100.52356020942409</x:v>
      </x:c>
      <x:c r="G399" s="42" t="n">
        <x:f>$B$11</x:f>
        <x:v>100.53096491487338</x:v>
      </x:c>
      <x:c r="I399" t="n">
        <x:f>A399</x:f>
        <x:v>382</x:v>
      </x:c>
      <x:c r="J399" t="n">
        <x:f>F399</x:f>
        <x:v>100.52356020942409</x:v>
      </x:c>
      <x:c r="K399" t="n">
        <x:f>G399</x:f>
        <x:v>100.53096491487338</x:v>
      </x:c>
    </x:row>
    <x:row r="400">
      <x:c r="A400" t="n">
        <x:v>383</x:v>
      </x:c>
      <x:c r="B400" s="40" t="n">
        <x:v>1.1212059756375687</x:v>
      </x:c>
      <x:c r="C400" s="40" t="n">
        <x:v>-2.0963964339764165</x:v>
      </x:c>
      <x:c r="D400" s="40" t="n">
        <x:v>-2.1993877938032735</x:v>
      </x:c>
      <x:c r="E400" t="n">
        <x:f>--((B400^2/$B$4^2+C400^2/$B$5^2+D400^2/$B$6^2)&lt;=1)</x:f>
        <x:v>0</x:v>
      </x:c>
      <x:c r="F400" s="42" t="n">
        <x:f>$B$8*SUM($E$18:E400)/A400</x:f>
        <x:v>100.26109660574413</x:v>
      </x:c>
      <x:c r="G400" s="42" t="n">
        <x:f>$B$11</x:f>
        <x:v>100.53096491487338</x:v>
      </x:c>
      <x:c r="I400" t="n">
        <x:f>A400</x:f>
        <x:v>383</x:v>
      </x:c>
      <x:c r="J400" t="n">
        <x:f>F400</x:f>
        <x:v>100.26109660574413</x:v>
      </x:c>
      <x:c r="K400" t="n">
        <x:f>G400</x:f>
        <x:v>100.53096491487338</x:v>
      </x:c>
    </x:row>
    <x:row r="401">
      <x:c r="A401" t="n">
        <x:v>384</x:v>
      </x:c>
      <x:c r="B401" s="40" t="n">
        <x:v>-0.08252174350183861</x:v>
      </x:c>
      <x:c r="C401" s="40" t="n">
        <x:v>-2.948296457197488</x:v>
      </x:c>
      <x:c r="D401" s="40" t="n">
        <x:v>-0.22717776667881573</x:v>
      </x:c>
      <x:c r="E401" t="n">
        <x:f>--((B401^2/$B$4^2+C401^2/$B$5^2+D401^2/$B$6^2)&lt;=1)</x:f>
        <x:v>1</x:v>
      </x:c>
      <x:c r="F401" s="42" t="n">
        <x:f>$B$8*SUM($E$18:E401)/A401</x:f>
        <x:v>100.5</x:v>
      </x:c>
      <x:c r="G401" s="42" t="n">
        <x:f>$B$11</x:f>
        <x:v>100.53096491487338</x:v>
      </x:c>
      <x:c r="I401" t="n">
        <x:f>A401</x:f>
        <x:v>384</x:v>
      </x:c>
      <x:c r="J401" t="n">
        <x:f>F401</x:f>
        <x:v>100.5</x:v>
      </x:c>
      <x:c r="K401" t="n">
        <x:f>G401</x:f>
        <x:v>100.53096491487338</x:v>
      </x:c>
    </x:row>
    <x:row r="402">
      <x:c r="A402" t="n">
        <x:v>385</x:v>
      </x:c>
      <x:c r="B402" s="40" t="n">
        <x:v>-0.49456210607669515</x:v>
      </x:c>
      <x:c r="C402" s="40" t="n">
        <x:v>-2.7164979668610894</x:v>
      </x:c>
      <x:c r="D402" s="40" t="n">
        <x:v>2.736156290594086</x:v>
      </x:c>
      <x:c r="E402" t="n">
        <x:f>--((B402^2/$B$4^2+C402^2/$B$5^2+D402^2/$B$6^2)&lt;=1)</x:f>
        <x:v>0</x:v>
      </x:c>
      <x:c r="F402" s="42" t="n">
        <x:f>$B$8*SUM($E$18:E402)/A402</x:f>
        <x:v>100.23896103896104</x:v>
      </x:c>
      <x:c r="G402" s="42" t="n">
        <x:f>$B$11</x:f>
        <x:v>100.53096491487338</x:v>
      </x:c>
      <x:c r="I402" t="n">
        <x:f>A402</x:f>
        <x:v>385</x:v>
      </x:c>
      <x:c r="J402" t="n">
        <x:f>F402</x:f>
        <x:v>100.23896103896104</x:v>
      </x:c>
      <x:c r="K402" t="n">
        <x:f>G402</x:f>
        <x:v>100.53096491487338</x:v>
      </x:c>
    </x:row>
    <x:row r="403">
      <x:c r="A403" t="n">
        <x:v>386</x:v>
      </x:c>
      <x:c r="B403" s="40" t="n">
        <x:v>1.9465261796972881</x:v>
      </x:c>
      <x:c r="C403" s="40" t="n">
        <x:v>1.57350808982107</x:v>
      </x:c>
      <x:c r="D403" s="40" t="n">
        <x:v>3.3222176442131897</x:v>
      </x:c>
      <x:c r="E403" t="n">
        <x:f>--((B403^2/$B$4^2+C403^2/$B$5^2+D403^2/$B$6^2)&lt;=1)</x:f>
        <x:v>0</x:v>
      </x:c>
      <x:c r="F403" s="42" t="n">
        <x:f>$B$8*SUM($E$18:E403)/A403</x:f>
        <x:v>99.97927461139896</x:v>
      </x:c>
      <x:c r="G403" s="42" t="n">
        <x:f>$B$11</x:f>
        <x:v>100.53096491487338</x:v>
      </x:c>
      <x:c r="I403" t="n">
        <x:f>A403</x:f>
        <x:v>386</x:v>
      </x:c>
      <x:c r="J403" t="n">
        <x:f>F403</x:f>
        <x:v>99.97927461139896</x:v>
      </x:c>
      <x:c r="K403" t="n">
        <x:f>G403</x:f>
        <x:v>100.53096491487338</x:v>
      </x:c>
    </x:row>
    <x:row r="404">
      <x:c r="A404" t="n">
        <x:v>387</x:v>
      </x:c>
      <x:c r="B404" s="40" t="n">
        <x:v>0.8710409440145739</x:v>
      </x:c>
      <x:c r="C404" s="40" t="n">
        <x:v>2.9231179922501624</x:v>
      </x:c>
      <x:c r="D404" s="40" t="n">
        <x:v>-1.574011054817234</x:v>
      </x:c>
      <x:c r="E404" t="n">
        <x:f>--((B404^2/$B$4^2+C404^2/$B$5^2+D404^2/$B$6^2)&lt;=1)</x:f>
        <x:v>0</x:v>
      </x:c>
      <x:c r="F404" s="42" t="n">
        <x:f>$B$8*SUM($E$18:E404)/A404</x:f>
        <x:v>99.72093023255815</x:v>
      </x:c>
      <x:c r="G404" s="42" t="n">
        <x:f>$B$11</x:f>
        <x:v>100.53096491487338</x:v>
      </x:c>
      <x:c r="I404" t="n">
        <x:f>A404</x:f>
        <x:v>387</x:v>
      </x:c>
      <x:c r="J404" t="n">
        <x:f>F404</x:f>
        <x:v>99.72093023255815</x:v>
      </x:c>
      <x:c r="K404" t="n">
        <x:f>G404</x:f>
        <x:v>100.53096491487338</x:v>
      </x:c>
    </x:row>
    <x:row r="405">
      <x:c r="A405" t="n">
        <x:v>388</x:v>
      </x:c>
      <x:c r="B405" s="40" t="n">
        <x:v>1.8047786400153645</x:v>
      </x:c>
      <x:c r="C405" s="40" t="n">
        <x:v>-2.7307180651423404</x:v>
      </x:c>
      <x:c r="D405" s="40" t="n">
        <x:v>-2.76605102323943</x:v>
      </x:c>
      <x:c r="E405" t="n">
        <x:f>--((B405^2/$B$4^2+C405^2/$B$5^2+D405^2/$B$6^2)&lt;=1)</x:f>
        <x:v>0</x:v>
      </x:c>
      <x:c r="F405" s="42" t="n">
        <x:f>$B$8*SUM($E$18:E405)/A405</x:f>
        <x:v>99.4639175257732</x:v>
      </x:c>
      <x:c r="G405" s="42" t="n">
        <x:f>$B$11</x:f>
        <x:v>100.53096491487338</x:v>
      </x:c>
      <x:c r="I405" t="n">
        <x:f>A405</x:f>
        <x:v>388</x:v>
      </x:c>
      <x:c r="J405" t="n">
        <x:f>F405</x:f>
        <x:v>99.4639175257732</x:v>
      </x:c>
      <x:c r="K405" t="n">
        <x:f>G405</x:f>
        <x:v>100.53096491487338</x:v>
      </x:c>
    </x:row>
    <x:row r="406">
      <x:c r="A406" t="n">
        <x:v>389</x:v>
      </x:c>
      <x:c r="B406" s="40" t="n">
        <x:v>-1.5260856911318346</x:v>
      </x:c>
      <x:c r="C406" s="40" t="n">
        <x:v>1.4884257544793558</x:v>
      </x:c>
      <x:c r="D406" s="40" t="n">
        <x:v>1.761123580530458</x:v>
      </x:c>
      <x:c r="E406" t="n">
        <x:f>--((B406^2/$B$4^2+C406^2/$B$5^2+D406^2/$B$6^2)&lt;=1)</x:f>
        <x:v>0</x:v>
      </x:c>
      <x:c r="F406" s="42" t="n">
        <x:f>$B$8*SUM($E$18:E406)/A406</x:f>
        <x:v>99.2082262210797</x:v>
      </x:c>
      <x:c r="G406" s="42" t="n">
        <x:f>$B$11</x:f>
        <x:v>100.53096491487338</x:v>
      </x:c>
      <x:c r="I406" t="n">
        <x:f>A406</x:f>
        <x:v>389</x:v>
      </x:c>
      <x:c r="J406" t="n">
        <x:f>F406</x:f>
        <x:v>99.2082262210797</x:v>
      </x:c>
      <x:c r="K406" t="n">
        <x:f>G406</x:f>
        <x:v>100.53096491487338</x:v>
      </x:c>
    </x:row>
    <x:row r="407">
      <x:c r="A407" t="n">
        <x:v>390</x:v>
      </x:c>
      <x:c r="B407" s="40" t="n">
        <x:v>1.4021347167631304</x:v>
      </x:c>
      <x:c r="C407" s="40" t="n">
        <x:v>-2.5688270049542394</x:v>
      </x:c>
      <x:c r="D407" s="40" t="n">
        <x:v>0.6559898036479064</x:v>
      </x:c>
      <x:c r="E407" t="n">
        <x:f>--((B407^2/$B$4^2+C407^2/$B$5^2+D407^2/$B$6^2)&lt;=1)</x:f>
        <x:v>0</x:v>
      </x:c>
      <x:c r="F407" s="42" t="n">
        <x:f>$B$8*SUM($E$18:E407)/A407</x:f>
        <x:v>98.95384615384616</x:v>
      </x:c>
      <x:c r="G407" s="42" t="n">
        <x:f>$B$11</x:f>
        <x:v>100.53096491487338</x:v>
      </x:c>
      <x:c r="I407" t="n">
        <x:f>A407</x:f>
        <x:v>390</x:v>
      </x:c>
      <x:c r="J407" t="n">
        <x:f>F407</x:f>
        <x:v>98.95384615384616</x:v>
      </x:c>
      <x:c r="K407" t="n">
        <x:f>G407</x:f>
        <x:v>100.53096491487338</x:v>
      </x:c>
    </x:row>
    <x:row r="408">
      <x:c r="A408" t="n">
        <x:v>391</x:v>
      </x:c>
      <x:c r="B408" s="40" t="n">
        <x:v>0.5482955359648303</x:v>
      </x:c>
      <x:c r="C408" s="40" t="n">
        <x:v>0.5527969494220009</x:v>
      </x:c>
      <x:c r="D408" s="40" t="n">
        <x:v>-2.391870810579521</x:v>
      </x:c>
      <x:c r="E408" t="n">
        <x:f>--((B408^2/$B$4^2+C408^2/$B$5^2+D408^2/$B$6^2)&lt;=1)</x:f>
        <x:v>1</x:v>
      </x:c>
      <x:c r="F408" s="42" t="n">
        <x:f>$B$8*SUM($E$18:E408)/A408</x:f>
        <x:v>99.1918158567775</x:v>
      </x:c>
      <x:c r="G408" s="42" t="n">
        <x:f>$B$11</x:f>
        <x:v>100.53096491487338</x:v>
      </x:c>
      <x:c r="I408" t="n">
        <x:f>A408</x:f>
        <x:v>391</x:v>
      </x:c>
      <x:c r="J408" t="n">
        <x:f>F408</x:f>
        <x:v>99.1918158567775</x:v>
      </x:c>
      <x:c r="K408" t="n">
        <x:f>G408</x:f>
        <x:v>100.53096491487338</x:v>
      </x:c>
    </x:row>
    <x:row r="409">
      <x:c r="A409" t="n">
        <x:v>392</x:v>
      </x:c>
      <x:c r="B409" s="40" t="n">
        <x:v>-1.5123132866595497</x:v>
      </x:c>
      <x:c r="C409" s="40" t="n">
        <x:v>1.5364516945694273</x:v>
      </x:c>
      <x:c r="D409" s="40" t="n">
        <x:v>2.0823663046994927</x:v>
      </x:c>
      <x:c r="E409" t="n">
        <x:f>--((B409^2/$B$4^2+C409^2/$B$5^2+D409^2/$B$6^2)&lt;=1)</x:f>
        <x:v>0</x:v>
      </x:c>
      <x:c r="F409" s="42" t="n">
        <x:f>$B$8*SUM($E$18:E409)/A409</x:f>
        <x:v>98.93877551020408</x:v>
      </x:c>
      <x:c r="G409" s="42" t="n">
        <x:f>$B$11</x:f>
        <x:v>100.53096491487338</x:v>
      </x:c>
      <x:c r="I409" t="n">
        <x:f>A409</x:f>
        <x:v>392</x:v>
      </x:c>
      <x:c r="J409" t="n">
        <x:f>F409</x:f>
        <x:v>98.93877551020408</x:v>
      </x:c>
      <x:c r="K409" t="n">
        <x:f>G409</x:f>
        <x:v>100.53096491487338</x:v>
      </x:c>
    </x:row>
    <x:row r="410">
      <x:c r="A410" t="n">
        <x:v>393</x:v>
      </x:c>
      <x:c r="B410" s="40" t="n">
        <x:v>0.3530319998768827</x:v>
      </x:c>
      <x:c r="C410" s="40" t="n">
        <x:v>-0.844773616393574</x:v>
      </x:c>
      <x:c r="D410" s="40" t="n">
        <x:v>0.15144348193712887</x:v>
      </x:c>
      <x:c r="E410" t="n">
        <x:f>--((B410^2/$B$4^2+C410^2/$B$5^2+D410^2/$B$6^2)&lt;=1)</x:f>
        <x:v>1</x:v>
      </x:c>
      <x:c r="F410" s="42" t="n">
        <x:f>$B$8*SUM($E$18:E410)/A410</x:f>
        <x:v>99.17557251908397</x:v>
      </x:c>
      <x:c r="G410" s="42" t="n">
        <x:f>$B$11</x:f>
        <x:v>100.53096491487338</x:v>
      </x:c>
      <x:c r="I410" t="n">
        <x:f>A410</x:f>
        <x:v>393</x:v>
      </x:c>
      <x:c r="J410" t="n">
        <x:f>F410</x:f>
        <x:v>99.17557251908397</x:v>
      </x:c>
      <x:c r="K410" t="n">
        <x:f>G410</x:f>
        <x:v>100.53096491487338</x:v>
      </x:c>
    </x:row>
    <x:row r="411">
      <x:c r="A411" t="n">
        <x:v>394</x:v>
      </x:c>
      <x:c r="B411" s="40" t="n">
        <x:v>0.7443854604217952</x:v>
      </x:c>
      <x:c r="C411" s="40" t="n">
        <x:v>-2.934391673336018</x:v>
      </x:c>
      <x:c r="D411" s="40" t="n">
        <x:v>1.2271615960592603</x:v>
      </x:c>
      <x:c r="E411" t="n">
        <x:f>--((B411^2/$B$4^2+C411^2/$B$5^2+D411^2/$B$6^2)&lt;=1)</x:f>
        <x:v>0</x:v>
      </x:c>
      <x:c r="F411" s="42" t="n">
        <x:f>$B$8*SUM($E$18:E411)/A411</x:f>
        <x:v>98.9238578680203</x:v>
      </x:c>
      <x:c r="G411" s="42" t="n">
        <x:f>$B$11</x:f>
        <x:v>100.53096491487338</x:v>
      </x:c>
      <x:c r="I411" t="n">
        <x:f>A411</x:f>
        <x:v>394</x:v>
      </x:c>
      <x:c r="J411" t="n">
        <x:f>F411</x:f>
        <x:v>98.9238578680203</x:v>
      </x:c>
      <x:c r="K411" t="n">
        <x:f>G411</x:f>
        <x:v>100.53096491487338</x:v>
      </x:c>
    </x:row>
    <x:row r="412">
      <x:c r="A412" t="n">
        <x:v>395</x:v>
      </x:c>
      <x:c r="B412" s="40" t="n">
        <x:v>-1.9507892564455886</x:v>
      </x:c>
      <x:c r="C412" s="40" t="n">
        <x:v>0.5711361127525554</x:v>
      </x:c>
      <x:c r="D412" s="40" t="n">
        <x:v>-1.1252877282928901</x:v>
      </x:c>
      <x:c r="E412" t="n">
        <x:f>--((B412^2/$B$4^2+C412^2/$B$5^2+D412^2/$B$6^2)&lt;=1)</x:f>
        <x:v>0</x:v>
      </x:c>
      <x:c r="F412" s="42" t="n">
        <x:f>$B$8*SUM($E$18:E412)/A412</x:f>
        <x:v>98.67341772151899</x:v>
      </x:c>
      <x:c r="G412" s="42" t="n">
        <x:f>$B$11</x:f>
        <x:v>100.53096491487338</x:v>
      </x:c>
      <x:c r="I412" t="n">
        <x:f>A412</x:f>
        <x:v>395</x:v>
      </x:c>
      <x:c r="J412" t="n">
        <x:f>F412</x:f>
        <x:v>98.67341772151899</x:v>
      </x:c>
      <x:c r="K412" t="n">
        <x:f>G412</x:f>
        <x:v>100.53096491487338</x:v>
      </x:c>
    </x:row>
    <x:row r="413">
      <x:c r="A413" t="n">
        <x:v>396</x:v>
      </x:c>
      <x:c r="B413" s="40" t="n">
        <x:v>-0.18272815263301379</x:v>
      </x:c>
      <x:c r="C413" s="40" t="n">
        <x:v>2.9474677688401663</x:v>
      </x:c>
      <x:c r="D413" s="40" t="n">
        <x:v>-0.48721950958099214</x:v>
      </x:c>
      <x:c r="E413" t="n">
        <x:f>--((B413^2/$B$4^2+C413^2/$B$5^2+D413^2/$B$6^2)&lt;=1)</x:f>
        <x:v>1</x:v>
      </x:c>
      <x:c r="F413" s="42" t="n">
        <x:f>$B$8*SUM($E$18:E413)/A413</x:f>
        <x:v>98.9090909090909</x:v>
      </x:c>
      <x:c r="G413" s="42" t="n">
        <x:f>$B$11</x:f>
        <x:v>100.53096491487338</x:v>
      </x:c>
      <x:c r="I413" t="n">
        <x:f>A413</x:f>
        <x:v>396</x:v>
      </x:c>
      <x:c r="J413" t="n">
        <x:f>F413</x:f>
        <x:v>98.9090909090909</x:v>
      </x:c>
      <x:c r="K413" t="n">
        <x:f>G413</x:f>
        <x:v>100.53096491487338</x:v>
      </x:c>
    </x:row>
    <x:row r="414">
      <x:c r="A414" t="n">
        <x:v>397</x:v>
      </x:c>
      <x:c r="B414" s="40" t="n">
        <x:v>1.3015980447852846</x:v>
      </x:c>
      <x:c r="C414" s="40" t="n">
        <x:v>-1.4542954629690255</x:v>
      </x:c>
      <x:c r="D414" s="40" t="n">
        <x:v>-2.5572632130004624</x:v>
      </x:c>
      <x:c r="E414" t="n">
        <x:f>--((B414^2/$B$4^2+C414^2/$B$5^2+D414^2/$B$6^2)&lt;=1)</x:f>
        <x:v>0</x:v>
      </x:c>
      <x:c r="F414" s="42" t="n">
        <x:f>$B$8*SUM($E$18:E414)/A414</x:f>
        <x:v>98.65994962216625</x:v>
      </x:c>
      <x:c r="G414" s="42" t="n">
        <x:f>$B$11</x:f>
        <x:v>100.53096491487338</x:v>
      </x:c>
      <x:c r="I414" t="n">
        <x:f>A414</x:f>
        <x:v>397</x:v>
      </x:c>
      <x:c r="J414" t="n">
        <x:f>F414</x:f>
        <x:v>98.65994962216625</x:v>
      </x:c>
      <x:c r="K414" t="n">
        <x:f>G414</x:f>
        <x:v>100.53096491487338</x:v>
      </x:c>
    </x:row>
    <x:row r="415">
      <x:c r="A415" t="n">
        <x:v>398</x:v>
      </x:c>
      <x:c r="B415" s="40" t="n">
        <x:v>-0.8185638986236405</x:v>
      </x:c>
      <x:c r="C415" s="40" t="n">
        <x:v>-1.8630523368767051</x:v>
      </x:c>
      <x:c r="D415" s="40" t="n">
        <x:v>2.0521269411627276</x:v>
      </x:c>
      <x:c r="E415" t="n">
        <x:f>--((B415^2/$B$4^2+C415^2/$B$5^2+D415^2/$B$6^2)&lt;=1)</x:f>
        <x:v>1</x:v>
      </x:c>
      <x:c r="F415" s="42" t="n">
        <x:f>$B$8*SUM($E$18:E415)/A415</x:f>
        <x:v>98.89447236180905</x:v>
      </x:c>
      <x:c r="G415" s="42" t="n">
        <x:f>$B$11</x:f>
        <x:v>100.53096491487338</x:v>
      </x:c>
      <x:c r="I415" t="n">
        <x:f>A415</x:f>
        <x:v>398</x:v>
      </x:c>
      <x:c r="J415" t="n">
        <x:f>F415</x:f>
        <x:v>98.89447236180905</x:v>
      </x:c>
      <x:c r="K415" t="n">
        <x:f>G415</x:f>
        <x:v>100.53096491487338</x:v>
      </x:c>
    </x:row>
    <x:row r="416">
      <x:c r="A416" t="n">
        <x:v>399</x:v>
      </x:c>
      <x:c r="B416" s="40" t="n">
        <x:v>-0.16580767280579556</x:v>
      </x:c>
      <x:c r="C416" s="40" t="n">
        <x:v>-2.2564446434789103</x:v>
      </x:c>
      <x:c r="D416" s="40" t="n">
        <x:v>-2.743909406785665</x:v>
      </x:c>
      <x:c r="E416" t="n">
        <x:f>--((B416^2/$B$4^2+C416^2/$B$5^2+D416^2/$B$6^2)&lt;=1)</x:f>
        <x:v>0</x:v>
      </x:c>
      <x:c r="F416" s="42" t="n">
        <x:f>$B$8*SUM($E$18:E416)/A416</x:f>
        <x:v>98.64661654135338</x:v>
      </x:c>
      <x:c r="G416" s="42" t="n">
        <x:f>$B$11</x:f>
        <x:v>100.53096491487338</x:v>
      </x:c>
      <x:c r="I416" t="n">
        <x:f>A416</x:f>
        <x:v>399</x:v>
      </x:c>
      <x:c r="J416" t="n">
        <x:f>F416</x:f>
        <x:v>98.64661654135338</x:v>
      </x:c>
      <x:c r="K416" t="n">
        <x:f>G416</x:f>
        <x:v>100.53096491487338</x:v>
      </x:c>
    </x:row>
    <x:row r="417">
      <x:c r="A417" t="n">
        <x:v>400</x:v>
      </x:c>
      <x:c r="B417" s="40" t="n">
        <x:v>-0.23074349172842723</x:v>
      </x:c>
      <x:c r="C417" s="40" t="n">
        <x:v>0.33153371940033693</x:v>
      </x:c>
      <x:c r="D417" s="40" t="n">
        <x:v>2.2264207580084907</x:v>
      </x:c>
      <x:c r="E417" t="n">
        <x:f>--((B417^2/$B$4^2+C417^2/$B$5^2+D417^2/$B$6^2)&lt;=1)</x:f>
        <x:v>1</x:v>
      </x:c>
      <x:c r="F417" s="42" t="n">
        <x:f>$B$8*SUM($E$18:E417)/A417</x:f>
        <x:v>98.88</x:v>
      </x:c>
      <x:c r="G417" s="42" t="n">
        <x:f>$B$11</x:f>
        <x:v>100.53096491487338</x:v>
      </x:c>
      <x:c r="I417" t="n">
        <x:f>A417</x:f>
        <x:v>400</x:v>
      </x:c>
      <x:c r="J417" t="n">
        <x:f>F417</x:f>
        <x:v>98.88</x:v>
      </x:c>
      <x:c r="K417" t="n">
        <x:f>G417</x:f>
        <x:v>100.53096491487338</x:v>
      </x:c>
    </x:row>
    <x:row r="418">
      <x:c r="A418" t="n">
        <x:v>401</x:v>
      </x:c>
      <x:c r="B418" s="40" t="n">
        <x:v>-0.7922904342300336</x:v>
      </x:c>
      <x:c r="C418" s="40" t="n">
        <x:v>0.5786705961616398</x:v>
      </x:c>
      <x:c r="D418" s="40" t="n">
        <x:v>2.3840628390766883</x:v>
      </x:c>
      <x:c r="E418" t="n">
        <x:f>--((B418^2/$B$4^2+C418^2/$B$5^2+D418^2/$B$6^2)&lt;=1)</x:f>
        <x:v>1</x:v>
      </x:c>
      <x:c r="F418" s="42" t="n">
        <x:f>$B$8*SUM($E$18:E418)/A418</x:f>
        <x:v>99.11221945137157</x:v>
      </x:c>
      <x:c r="G418" s="42" t="n">
        <x:f>$B$11</x:f>
        <x:v>100.53096491487338</x:v>
      </x:c>
      <x:c r="I418" t="n">
        <x:f>A418</x:f>
        <x:v>401</x:v>
      </x:c>
      <x:c r="J418" t="n">
        <x:f>F418</x:f>
        <x:v>99.11221945137157</x:v>
      </x:c>
      <x:c r="K418" t="n">
        <x:f>G418</x:f>
        <x:v>100.53096491487338</x:v>
      </x:c>
    </x:row>
    <x:row r="419">
      <x:c r="A419" t="n">
        <x:v>402</x:v>
      </x:c>
      <x:c r="B419" s="40" t="n">
        <x:v>1.6737675820622169</x:v>
      </x:c>
      <x:c r="C419" s="40" t="n">
        <x:v>1.7536250230224137</x:v>
      </x:c>
      <x:c r="D419" s="40" t="n">
        <x:v>1.9728077124409733</x:v>
      </x:c>
      <x:c r="E419" t="n">
        <x:f>--((B419^2/$B$4^2+C419^2/$B$5^2+D419^2/$B$6^2)&lt;=1)</x:f>
        <x:v>0</x:v>
      </x:c>
      <x:c r="F419" s="42" t="n">
        <x:f>$B$8*SUM($E$18:E419)/A419</x:f>
        <x:v>98.86567164179104</x:v>
      </x:c>
      <x:c r="G419" s="42" t="n">
        <x:f>$B$11</x:f>
        <x:v>100.53096491487338</x:v>
      </x:c>
      <x:c r="I419" t="n">
        <x:f>A419</x:f>
        <x:v>402</x:v>
      </x:c>
      <x:c r="J419" t="n">
        <x:f>F419</x:f>
        <x:v>98.86567164179104</x:v>
      </x:c>
      <x:c r="K419" t="n">
        <x:f>G419</x:f>
        <x:v>100.53096491487338</x:v>
      </x:c>
    </x:row>
    <x:row r="420">
      <x:c r="A420" t="n">
        <x:v>403</x:v>
      </x:c>
      <x:c r="B420" s="40" t="n">
        <x:v>1.1251761417260635</x:v>
      </x:c>
      <x:c r="C420" s="40" t="n">
        <x:v>1.5184396417230577</x:v>
      </x:c>
      <x:c r="D420" s="40" t="n">
        <x:v>-3.8446176955300766</x:v>
      </x:c>
      <x:c r="E420" t="n">
        <x:f>--((B420^2/$B$4^2+C420^2/$B$5^2+D420^2/$B$6^2)&lt;=1)</x:f>
        <x:v>0</x:v>
      </x:c>
      <x:c r="F420" s="42" t="n">
        <x:f>$B$8*SUM($E$18:E420)/A420</x:f>
        <x:v>98.62034739454094</x:v>
      </x:c>
      <x:c r="G420" s="42" t="n">
        <x:f>$B$11</x:f>
        <x:v>100.53096491487338</x:v>
      </x:c>
      <x:c r="I420" t="n">
        <x:f>A420</x:f>
        <x:v>403</x:v>
      </x:c>
      <x:c r="J420" t="n">
        <x:f>F420</x:f>
        <x:v>98.62034739454094</x:v>
      </x:c>
      <x:c r="K420" t="n">
        <x:f>G420</x:f>
        <x:v>100.53096491487338</x:v>
      </x:c>
    </x:row>
    <x:row r="421">
      <x:c r="A421" t="n">
        <x:v>404</x:v>
      </x:c>
      <x:c r="B421" s="40" t="n">
        <x:v>-1.557646356015558</x:v>
      </x:c>
      <x:c r="C421" s="40" t="n">
        <x:v>2.355248968770523</x:v>
      </x:c>
      <x:c r="D421" s="40" t="n">
        <x:v>-1.8149342991466115</x:v>
      </x:c>
      <x:c r="E421" t="n">
        <x:f>--((B421^2/$B$4^2+C421^2/$B$5^2+D421^2/$B$6^2)&lt;=1)</x:f>
        <x:v>0</x:v>
      </x:c>
      <x:c r="F421" s="42" t="n">
        <x:f>$B$8*SUM($E$18:E421)/A421</x:f>
        <x:v>98.37623762376238</x:v>
      </x:c>
      <x:c r="G421" s="42" t="n">
        <x:f>$B$11</x:f>
        <x:v>100.53096491487338</x:v>
      </x:c>
      <x:c r="I421" t="n">
        <x:f>A421</x:f>
        <x:v>404</x:v>
      </x:c>
      <x:c r="J421" t="n">
        <x:f>F421</x:f>
        <x:v>98.37623762376238</x:v>
      </x:c>
      <x:c r="K421" t="n">
        <x:f>G421</x:f>
        <x:v>100.53096491487338</x:v>
      </x:c>
    </x:row>
    <x:row r="422">
      <x:c r="A422" t="n">
        <x:v>405</x:v>
      </x:c>
      <x:c r="B422" s="40" t="n">
        <x:v>1.9881386313502922</x:v>
      </x:c>
      <x:c r="C422" s="40" t="n">
        <x:v>1.834636190053808</x:v>
      </x:c>
      <x:c r="D422" s="40" t="n">
        <x:v>-0.2532980576654902</x:v>
      </x:c>
      <x:c r="E422" t="n">
        <x:f>--((B422^2/$B$4^2+C422^2/$B$5^2+D422^2/$B$6^2)&lt;=1)</x:f>
        <x:v>0</x:v>
      </x:c>
      <x:c r="F422" s="42" t="n">
        <x:f>$B$8*SUM($E$18:E422)/A422</x:f>
        <x:v>98.13333333333334</x:v>
      </x:c>
      <x:c r="G422" s="42" t="n">
        <x:f>$B$11</x:f>
        <x:v>100.53096491487338</x:v>
      </x:c>
      <x:c r="I422" t="n">
        <x:f>A422</x:f>
        <x:v>405</x:v>
      </x:c>
      <x:c r="J422" t="n">
        <x:f>F422</x:f>
        <x:v>98.13333333333334</x:v>
      </x:c>
      <x:c r="K422" t="n">
        <x:f>G422</x:f>
        <x:v>100.53096491487338</x:v>
      </x:c>
    </x:row>
    <x:row r="423">
      <x:c r="A423" t="n">
        <x:v>406</x:v>
      </x:c>
      <x:c r="B423" s="40" t="n">
        <x:v>1.516800097230981</x:v>
      </x:c>
      <x:c r="C423" s="40" t="n">
        <x:v>-1.5163975015233333</x:v>
      </x:c>
      <x:c r="D423" s="40" t="n">
        <x:v>0.7643550297343662</x:v>
      </x:c>
      <x:c r="E423" t="n">
        <x:f>--((B423^2/$B$4^2+C423^2/$B$5^2+D423^2/$B$6^2)&lt;=1)</x:f>
        <x:v>1</x:v>
      </x:c>
      <x:c r="F423" s="42" t="n">
        <x:f>$B$8*SUM($E$18:E423)/A423</x:f>
        <x:v>98.36453201970443</x:v>
      </x:c>
      <x:c r="G423" s="42" t="n">
        <x:f>$B$11</x:f>
        <x:v>100.53096491487338</x:v>
      </x:c>
      <x:c r="I423" t="n">
        <x:f>A423</x:f>
        <x:v>406</x:v>
      </x:c>
      <x:c r="J423" t="n">
        <x:f>F423</x:f>
        <x:v>98.36453201970443</x:v>
      </x:c>
      <x:c r="K423" t="n">
        <x:f>G423</x:f>
        <x:v>100.53096491487338</x:v>
      </x:c>
    </x:row>
    <x:row r="424">
      <x:c r="A424" t="n">
        <x:v>407</x:v>
      </x:c>
      <x:c r="B424" s="40" t="n">
        <x:v>-0.8643662485438441</x:v>
      </x:c>
      <x:c r="C424" s="40" t="n">
        <x:v>0.33526442925456656</x:v>
      </x:c>
      <x:c r="D424" s="40" t="n">
        <x:v>3.3537767949524016</x:v>
      </x:c>
      <x:c r="E424" t="n">
        <x:f>--((B424^2/$B$4^2+C424^2/$B$5^2+D424^2/$B$6^2)&lt;=1)</x:f>
        <x:v>1</x:v>
      </x:c>
      <x:c r="F424" s="42" t="n">
        <x:f>$B$8*SUM($E$18:E424)/A424</x:f>
        <x:v>98.5945945945946</x:v>
      </x:c>
      <x:c r="G424" s="42" t="n">
        <x:f>$B$11</x:f>
        <x:v>100.53096491487338</x:v>
      </x:c>
      <x:c r="I424" t="n">
        <x:f>A424</x:f>
        <x:v>407</x:v>
      </x:c>
      <x:c r="J424" t="n">
        <x:f>F424</x:f>
        <x:v>98.5945945945946</x:v>
      </x:c>
      <x:c r="K424" t="n">
        <x:f>G424</x:f>
        <x:v>100.53096491487338</x:v>
      </x:c>
    </x:row>
    <x:row r="425">
      <x:c r="A425" t="n">
        <x:v>408</x:v>
      </x:c>
      <x:c r="B425" s="40" t="n">
        <x:v>1.347586318643753</x:v>
      </x:c>
      <x:c r="C425" s="40" t="n">
        <x:v>-1.2155282454385201</x:v>
      </x:c>
      <x:c r="D425" s="40" t="n">
        <x:v>-0.9951522229703818</x:v>
      </x:c>
      <x:c r="E425" t="n">
        <x:f>--((B425^2/$B$4^2+C425^2/$B$5^2+D425^2/$B$6^2)&lt;=1)</x:f>
        <x:v>1</x:v>
      </x:c>
      <x:c r="F425" s="42" t="n">
        <x:f>$B$8*SUM($E$18:E425)/A425</x:f>
        <x:v>98.82352941176471</x:v>
      </x:c>
      <x:c r="G425" s="42" t="n">
        <x:f>$B$11</x:f>
        <x:v>100.53096491487338</x:v>
      </x:c>
      <x:c r="I425" t="n">
        <x:f>A425</x:f>
        <x:v>408</x:v>
      </x:c>
      <x:c r="J425" t="n">
        <x:f>F425</x:f>
        <x:v>98.82352941176471</x:v>
      </x:c>
      <x:c r="K425" t="n">
        <x:f>G425</x:f>
        <x:v>100.53096491487338</x:v>
      </x:c>
    </x:row>
    <x:row r="426">
      <x:c r="A426" t="n">
        <x:v>409</x:v>
      </x:c>
      <x:c r="B426" s="40" t="n">
        <x:v>-1.5743218725144685</x:v>
      </x:c>
      <x:c r="C426" s="40" t="n">
        <x:v>-1.0212877226909853</x:v>
      </x:c>
      <x:c r="D426" s="40" t="n">
        <x:v>3.000186550191633</x:v>
      </x:c>
      <x:c r="E426" t="n">
        <x:f>--((B426^2/$B$4^2+C426^2/$B$5^2+D426^2/$B$6^2)&lt;=1)</x:f>
        <x:v>0</x:v>
      </x:c>
      <x:c r="F426" s="42" t="n">
        <x:f>$B$8*SUM($E$18:E426)/A426</x:f>
        <x:v>98.58190709046455</x:v>
      </x:c>
      <x:c r="G426" s="42" t="n">
        <x:f>$B$11</x:f>
        <x:v>100.53096491487338</x:v>
      </x:c>
      <x:c r="I426" t="n">
        <x:f>A426</x:f>
        <x:v>409</x:v>
      </x:c>
      <x:c r="J426" t="n">
        <x:f>F426</x:f>
        <x:v>98.58190709046455</x:v>
      </x:c>
      <x:c r="K426" t="n">
        <x:f>G426</x:f>
        <x:v>100.53096491487338</x:v>
      </x:c>
    </x:row>
    <x:row r="427">
      <x:c r="A427" t="n">
        <x:v>410</x:v>
      </x:c>
      <x:c r="B427" s="40" t="n">
        <x:v>1.9964189218969546</x:v>
      </x:c>
      <x:c r="C427" s="40" t="n">
        <x:v>2.591666215379978</x:v>
      </x:c>
      <x:c r="D427" s="40" t="n">
        <x:v>-2.6925656949053076</x:v>
      </x:c>
      <x:c r="E427" t="n">
        <x:f>--((B427^2/$B$4^2+C427^2/$B$5^2+D427^2/$B$6^2)&lt;=1)</x:f>
        <x:v>0</x:v>
      </x:c>
      <x:c r="F427" s="42" t="n">
        <x:f>$B$8*SUM($E$18:E427)/A427</x:f>
        <x:v>98.34146341463415</x:v>
      </x:c>
      <x:c r="G427" s="42" t="n">
        <x:f>$B$11</x:f>
        <x:v>100.53096491487338</x:v>
      </x:c>
      <x:c r="I427" t="n">
        <x:f>A427</x:f>
        <x:v>410</x:v>
      </x:c>
      <x:c r="J427" t="n">
        <x:f>F427</x:f>
        <x:v>98.34146341463415</x:v>
      </x:c>
      <x:c r="K427" t="n">
        <x:f>G427</x:f>
        <x:v>100.53096491487338</x:v>
      </x:c>
    </x:row>
    <x:row r="428">
      <x:c r="A428" t="n">
        <x:v>411</x:v>
      </x:c>
      <x:c r="B428" s="40" t="n">
        <x:v>0.6627389444261476</x:v>
      </x:c>
      <x:c r="C428" s="40" t="n">
        <x:v>1.091375430402441</x:v>
      </x:c>
      <x:c r="D428" s="40" t="n">
        <x:v>-1.0297560999309843</x:v>
      </x:c>
      <x:c r="E428" t="n">
        <x:f>--((B428^2/$B$4^2+C428^2/$B$5^2+D428^2/$B$6^2)&lt;=1)</x:f>
        <x:v>1</x:v>
      </x:c>
      <x:c r="F428" s="42" t="n">
        <x:f>$B$8*SUM($E$18:E428)/A428</x:f>
        <x:v>98.56934306569343</x:v>
      </x:c>
      <x:c r="G428" s="42" t="n">
        <x:f>$B$11</x:f>
        <x:v>100.53096491487338</x:v>
      </x:c>
      <x:c r="I428" t="n">
        <x:f>A428</x:f>
        <x:v>411</x:v>
      </x:c>
      <x:c r="J428" t="n">
        <x:f>F428</x:f>
        <x:v>98.56934306569343</x:v>
      </x:c>
      <x:c r="K428" t="n">
        <x:f>G428</x:f>
        <x:v>100.53096491487338</x:v>
      </x:c>
    </x:row>
    <x:row r="429">
      <x:c r="A429" t="n">
        <x:v>412</x:v>
      </x:c>
      <x:c r="B429" s="40" t="n">
        <x:v>0.6005000622351879</x:v>
      </x:c>
      <x:c r="C429" s="40" t="n">
        <x:v>2.847542479506635</x:v>
      </x:c>
      <x:c r="D429" s="40" t="n">
        <x:v>-3.581743913429416</x:v>
      </x:c>
      <x:c r="E429" t="n">
        <x:f>--((B429^2/$B$4^2+C429^2/$B$5^2+D429^2/$B$6^2)&lt;=1)</x:f>
        <x:v>0</x:v>
      </x:c>
      <x:c r="F429" s="42" t="n">
        <x:f>$B$8*SUM($E$18:E429)/A429</x:f>
        <x:v>98.33009708737865</x:v>
      </x:c>
      <x:c r="G429" s="42" t="n">
        <x:f>$B$11</x:f>
        <x:v>100.53096491487338</x:v>
      </x:c>
      <x:c r="I429" t="n">
        <x:f>A429</x:f>
        <x:v>412</x:v>
      </x:c>
      <x:c r="J429" t="n">
        <x:f>F429</x:f>
        <x:v>98.33009708737865</x:v>
      </x:c>
      <x:c r="K429" t="n">
        <x:f>G429</x:f>
        <x:v>100.53096491487338</x:v>
      </x:c>
    </x:row>
    <x:row r="430">
      <x:c r="A430" t="n">
        <x:v>413</x:v>
      </x:c>
      <x:c r="B430" s="40" t="n">
        <x:v>-1.638237092063469</x:v>
      </x:c>
      <x:c r="C430" s="40" t="n">
        <x:v>-0.49852477968753295</x:v>
      </x:c>
      <x:c r="D430" s="40" t="n">
        <x:v>1.9399143284449778</x:v>
      </x:c>
      <x:c r="E430" t="n">
        <x:f>--((B430^2/$B$4^2+C430^2/$B$5^2+D430^2/$B$6^2)&lt;=1)</x:f>
        <x:v>1</x:v>
      </x:c>
      <x:c r="F430" s="42" t="n">
        <x:f>$B$8*SUM($E$18:E430)/A430</x:f>
        <x:v>98.55690072639226</x:v>
      </x:c>
      <x:c r="G430" s="42" t="n">
        <x:f>$B$11</x:f>
        <x:v>100.53096491487338</x:v>
      </x:c>
      <x:c r="I430" t="n">
        <x:f>A430</x:f>
        <x:v>413</x:v>
      </x:c>
      <x:c r="J430" t="n">
        <x:f>F430</x:f>
        <x:v>98.55690072639226</x:v>
      </x:c>
      <x:c r="K430" t="n">
        <x:f>G430</x:f>
        <x:v>100.53096491487338</x:v>
      </x:c>
    </x:row>
    <x:row r="431">
      <x:c r="A431" t="n">
        <x:v>414</x:v>
      </x:c>
      <x:c r="B431" s="40" t="n">
        <x:v>1.588133595586501</x:v>
      </x:c>
      <x:c r="C431" s="40" t="n">
        <x:v>0.22462544012385965</x:v>
      </x:c>
      <x:c r="D431" s="40" t="n">
        <x:v>-2.7947779405366964</x:v>
      </x:c>
      <x:c r="E431" t="n">
        <x:f>--((B431^2/$B$4^2+C431^2/$B$5^2+D431^2/$B$6^2)&lt;=1)</x:f>
        <x:v>0</x:v>
      </x:c>
      <x:c r="F431" s="42" t="n">
        <x:f>$B$8*SUM($E$18:E431)/A431</x:f>
        <x:v>98.31884057971014</x:v>
      </x:c>
      <x:c r="G431" s="42" t="n">
        <x:f>$B$11</x:f>
        <x:v>100.53096491487338</x:v>
      </x:c>
      <x:c r="I431" t="n">
        <x:f>A431</x:f>
        <x:v>414</x:v>
      </x:c>
      <x:c r="J431" t="n">
        <x:f>F431</x:f>
        <x:v>98.31884057971014</x:v>
      </x:c>
      <x:c r="K431" t="n">
        <x:f>G431</x:f>
        <x:v>100.53096491487338</x:v>
      </x:c>
    </x:row>
    <x:row r="432">
      <x:c r="A432" t="n">
        <x:v>415</x:v>
      </x:c>
      <x:c r="B432" s="40" t="n">
        <x:v>-1.8840019871821223</x:v>
      </x:c>
      <x:c r="C432" s="40" t="n">
        <x:v>-0.07730748050146996</x:v>
      </x:c>
      <x:c r="D432" s="40" t="n">
        <x:v>-1.9438398748123378</x:v>
      </x:c>
      <x:c r="E432" t="n">
        <x:f>--((B432^2/$B$4^2+C432^2/$B$5^2+D432^2/$B$6^2)&lt;=1)</x:f>
        <x:v>0</x:v>
      </x:c>
      <x:c r="F432" s="42" t="n">
        <x:f>$B$8*SUM($E$18:E432)/A432</x:f>
        <x:v>98.08192771084337</x:v>
      </x:c>
      <x:c r="G432" s="42" t="n">
        <x:f>$B$11</x:f>
        <x:v>100.53096491487338</x:v>
      </x:c>
      <x:c r="I432" t="n">
        <x:f>A432</x:f>
        <x:v>415</x:v>
      </x:c>
      <x:c r="J432" t="n">
        <x:f>F432</x:f>
        <x:v>98.08192771084337</x:v>
      </x:c>
      <x:c r="K432" t="n">
        <x:f>G432</x:f>
        <x:v>100.53096491487338</x:v>
      </x:c>
    </x:row>
    <x:row r="433">
      <x:c r="A433" t="n">
        <x:v>416</x:v>
      </x:c>
      <x:c r="B433" s="40" t="n">
        <x:v>-1.0366877678354118</x:v>
      </x:c>
      <x:c r="C433" s="40" t="n">
        <x:v>-2.3562776548576387</x:v>
      </x:c>
      <x:c r="D433" s="40" t="n">
        <x:v>2.2018660175457185</x:v>
      </x:c>
      <x:c r="E433" t="n">
        <x:f>--((B433^2/$B$4^2+C433^2/$B$5^2+D433^2/$B$6^2)&lt;=1)</x:f>
        <x:v>0</x:v>
      </x:c>
      <x:c r="F433" s="42" t="n">
        <x:f>$B$8*SUM($E$18:E433)/A433</x:f>
        <x:v>97.84615384615384</x:v>
      </x:c>
      <x:c r="G433" s="42" t="n">
        <x:f>$B$11</x:f>
        <x:v>100.53096491487338</x:v>
      </x:c>
      <x:c r="I433" t="n">
        <x:f>A433</x:f>
        <x:v>416</x:v>
      </x:c>
      <x:c r="J433" t="n">
        <x:f>F433</x:f>
        <x:v>97.84615384615384</x:v>
      </x:c>
      <x:c r="K433" t="n">
        <x:f>G433</x:f>
        <x:v>100.53096491487338</x:v>
      </x:c>
    </x:row>
    <x:row r="434">
      <x:c r="A434" t="n">
        <x:v>417</x:v>
      </x:c>
      <x:c r="B434" s="40" t="n">
        <x:v>-1.42791249933346</x:v>
      </x:c>
      <x:c r="C434" s="40" t="n">
        <x:v>-1.57978803284038</x:v>
      </x:c>
      <x:c r="D434" s="40" t="n">
        <x:v>0.2777337393816799</x:v>
      </x:c>
      <x:c r="E434" t="n">
        <x:f>--((B434^2/$B$4^2+C434^2/$B$5^2+D434^2/$B$6^2)&lt;=1)</x:f>
        <x:v>1</x:v>
      </x:c>
      <x:c r="F434" s="42" t="n">
        <x:f>$B$8*SUM($E$18:E434)/A434</x:f>
        <x:v>98.07194244604317</x:v>
      </x:c>
      <x:c r="G434" s="42" t="n">
        <x:f>$B$11</x:f>
        <x:v>100.53096491487338</x:v>
      </x:c>
      <x:c r="I434" t="n">
        <x:f>A434</x:f>
        <x:v>417</x:v>
      </x:c>
      <x:c r="J434" t="n">
        <x:f>F434</x:f>
        <x:v>98.07194244604317</x:v>
      </x:c>
      <x:c r="K434" t="n">
        <x:f>G434</x:f>
        <x:v>100.53096491487338</x:v>
      </x:c>
    </x:row>
    <x:row r="435">
      <x:c r="A435" t="n">
        <x:v>418</x:v>
      </x:c>
      <x:c r="B435" s="40" t="n">
        <x:v>1.1070717627688742</x:v>
      </x:c>
      <x:c r="C435" s="40" t="n">
        <x:v>0.16581816362689317</x:v>
      </x:c>
      <x:c r="D435" s="40" t="n">
        <x:v>-3.8882182446522995</x:v>
      </x:c>
      <x:c r="E435" t="n">
        <x:f>--((B435^2/$B$4^2+C435^2/$B$5^2+D435^2/$B$6^2)&lt;=1)</x:f>
        <x:v>0</x:v>
      </x:c>
      <x:c r="F435" s="42" t="n">
        <x:f>$B$8*SUM($E$18:E435)/A435</x:f>
        <x:v>97.83732057416267</x:v>
      </x:c>
      <x:c r="G435" s="42" t="n">
        <x:f>$B$11</x:f>
        <x:v>100.53096491487338</x:v>
      </x:c>
      <x:c r="I435" t="n">
        <x:f>A435</x:f>
        <x:v>418</x:v>
      </x:c>
      <x:c r="J435" t="n">
        <x:f>F435</x:f>
        <x:v>97.83732057416267</x:v>
      </x:c>
      <x:c r="K435" t="n">
        <x:f>G435</x:f>
        <x:v>100.53096491487338</x:v>
      </x:c>
    </x:row>
    <x:row r="436">
      <x:c r="A436" t="n">
        <x:v>419</x:v>
      </x:c>
      <x:c r="B436" s="40" t="n">
        <x:v>-1.2071830911484085</x:v>
      </x:c>
      <x:c r="C436" s="40" t="n">
        <x:v>-2.5957541692019626</x:v>
      </x:c>
      <x:c r="D436" s="40" t="n">
        <x:v>-3.982118362020823</x:v>
      </x:c>
      <x:c r="E436" t="n">
        <x:f>--((B436^2/$B$4^2+C436^2/$B$5^2+D436^2/$B$6^2)&lt;=1)</x:f>
        <x:v>0</x:v>
      </x:c>
      <x:c r="F436" s="42" t="n">
        <x:f>$B$8*SUM($E$18:E436)/A436</x:f>
        <x:v>97.60381861575179</x:v>
      </x:c>
      <x:c r="G436" s="42" t="n">
        <x:f>$B$11</x:f>
        <x:v>100.53096491487338</x:v>
      </x:c>
      <x:c r="I436" t="n">
        <x:f>A436</x:f>
        <x:v>419</x:v>
      </x:c>
      <x:c r="J436" t="n">
        <x:f>F436</x:f>
        <x:v>97.60381861575179</x:v>
      </x:c>
      <x:c r="K436" t="n">
        <x:f>G436</x:f>
        <x:v>100.53096491487338</x:v>
      </x:c>
    </x:row>
    <x:row r="437">
      <x:c r="A437" t="n">
        <x:v>420</x:v>
      </x:c>
      <x:c r="B437" s="40" t="n">
        <x:v>1.642552908523541</x:v>
      </x:c>
      <x:c r="C437" s="40" t="n">
        <x:v>2.588771575853336</x:v>
      </x:c>
      <x:c r="D437" s="40" t="n">
        <x:v>0.08528505391917651</x:v>
      </x:c>
      <x:c r="E437" t="n">
        <x:f>--((B437^2/$B$4^2+C437^2/$B$5^2+D437^2/$B$6^2)&lt;=1)</x:f>
        <x:v>0</x:v>
      </x:c>
      <x:c r="F437" s="42" t="n">
        <x:f>$B$8*SUM($E$18:E437)/A437</x:f>
        <x:v>97.37142857142857</x:v>
      </x:c>
      <x:c r="G437" s="42" t="n">
        <x:f>$B$11</x:f>
        <x:v>100.53096491487338</x:v>
      </x:c>
      <x:c r="I437" t="n">
        <x:f>A437</x:f>
        <x:v>420</x:v>
      </x:c>
      <x:c r="J437" t="n">
        <x:f>F437</x:f>
        <x:v>97.37142857142857</x:v>
      </x:c>
      <x:c r="K437" t="n">
        <x:f>G437</x:f>
        <x:v>100.53096491487338</x:v>
      </x:c>
    </x:row>
    <x:row r="438">
      <x:c r="A438" t="n">
        <x:v>421</x:v>
      </x:c>
      <x:c r="B438" s="40" t="n">
        <x:v>0.6250761573099606</x:v>
      </x:c>
      <x:c r="C438" s="40" t="n">
        <x:v>-2.256937908339775</x:v>
      </x:c>
      <x:c r="D438" s="40" t="n">
        <x:v>-1.5603558900064414</x:v>
      </x:c>
      <x:c r="E438" t="n">
        <x:f>--((B438^2/$B$4^2+C438^2/$B$5^2+D438^2/$B$6^2)&lt;=1)</x:f>
        <x:v>1</x:v>
      </x:c>
      <x:c r="F438" s="42" t="n">
        <x:f>$B$8*SUM($E$18:E438)/A438</x:f>
        <x:v>97.59619952494062</x:v>
      </x:c>
      <x:c r="G438" s="42" t="n">
        <x:f>$B$11</x:f>
        <x:v>100.53096491487338</x:v>
      </x:c>
      <x:c r="I438" t="n">
        <x:f>A438</x:f>
        <x:v>421</x:v>
      </x:c>
      <x:c r="J438" t="n">
        <x:f>F438</x:f>
        <x:v>97.59619952494062</x:v>
      </x:c>
      <x:c r="K438" t="n">
        <x:f>G438</x:f>
        <x:v>100.53096491487338</x:v>
      </x:c>
    </x:row>
    <x:row r="439">
      <x:c r="A439" t="n">
        <x:v>422</x:v>
      </x:c>
      <x:c r="B439" s="40" t="n">
        <x:v>-1.8553491580212151</x:v>
      </x:c>
      <x:c r="C439" s="40" t="n">
        <x:v>-1.8121155214985574</x:v>
      </x:c>
      <x:c r="D439" s="40" t="n">
        <x:v>-2.557508432038583</x:v>
      </x:c>
      <x:c r="E439" t="n">
        <x:f>--((B439^2/$B$4^2+C439^2/$B$5^2+D439^2/$B$6^2)&lt;=1)</x:f>
        <x:v>0</x:v>
      </x:c>
      <x:c r="F439" s="42" t="n">
        <x:f>$B$8*SUM($E$18:E439)/A439</x:f>
        <x:v>97.36492890995261</x:v>
      </x:c>
      <x:c r="G439" s="42" t="n">
        <x:f>$B$11</x:f>
        <x:v>100.53096491487338</x:v>
      </x:c>
      <x:c r="I439" t="n">
        <x:f>A439</x:f>
        <x:v>422</x:v>
      </x:c>
      <x:c r="J439" t="n">
        <x:f>F439</x:f>
        <x:v>97.36492890995261</x:v>
      </x:c>
      <x:c r="K439" t="n">
        <x:f>G439</x:f>
        <x:v>100.53096491487338</x:v>
      </x:c>
    </x:row>
    <x:row r="440">
      <x:c r="A440" t="n">
        <x:v>423</x:v>
      </x:c>
      <x:c r="B440" s="40" t="n">
        <x:v>-1.9782806634851982</x:v>
      </x:c>
      <x:c r="C440" s="40" t="n">
        <x:v>1.591927343631819</x:v>
      </x:c>
      <x:c r="D440" s="40" t="n">
        <x:v>0.9087515017288874</x:v>
      </x:c>
      <x:c r="E440" t="n">
        <x:f>--((B440^2/$B$4^2+C440^2/$B$5^2+D440^2/$B$6^2)&lt;=1)</x:f>
        <x:v>0</x:v>
      </x:c>
      <x:c r="F440" s="42" t="n">
        <x:f>$B$8*SUM($E$18:E440)/A440</x:f>
        <x:v>97.13475177304964</x:v>
      </x:c>
      <x:c r="G440" s="42" t="n">
        <x:f>$B$11</x:f>
        <x:v>100.53096491487338</x:v>
      </x:c>
      <x:c r="I440" t="n">
        <x:f>A440</x:f>
        <x:v>423</x:v>
      </x:c>
      <x:c r="J440" t="n">
        <x:f>F440</x:f>
        <x:v>97.13475177304964</x:v>
      </x:c>
      <x:c r="K440" t="n">
        <x:f>G440</x:f>
        <x:v>100.53096491487338</x:v>
      </x:c>
    </x:row>
    <x:row r="441">
      <x:c r="A441" t="n">
        <x:v>424</x:v>
      </x:c>
      <x:c r="B441" s="40" t="n">
        <x:v>-1.7933683319424043</x:v>
      </x:c>
      <x:c r="C441" s="40" t="n">
        <x:v>-2.4183927492641177</x:v>
      </x:c>
      <x:c r="D441" s="40" t="n">
        <x:v>-2.1725082262605833</x:v>
      </x:c>
      <x:c r="E441" t="n">
        <x:f>--((B441^2/$B$4^2+C441^2/$B$5^2+D441^2/$B$6^2)&lt;=1)</x:f>
        <x:v>0</x:v>
      </x:c>
      <x:c r="F441" s="42" t="n">
        <x:f>$B$8*SUM($E$18:E441)/A441</x:f>
        <x:v>96.90566037735849</x:v>
      </x:c>
      <x:c r="G441" s="42" t="n">
        <x:f>$B$11</x:f>
        <x:v>100.53096491487338</x:v>
      </x:c>
      <x:c r="I441" t="n">
        <x:f>A441</x:f>
        <x:v>424</x:v>
      </x:c>
      <x:c r="J441" t="n">
        <x:f>F441</x:f>
        <x:v>96.90566037735849</x:v>
      </x:c>
      <x:c r="K441" t="n">
        <x:f>G441</x:f>
        <x:v>100.53096491487338</x:v>
      </x:c>
    </x:row>
    <x:row r="442">
      <x:c r="A442" t="n">
        <x:v>425</x:v>
      </x:c>
      <x:c r="B442" s="40" t="n">
        <x:v>0.42370071059091075</x:v>
      </x:c>
      <x:c r="C442" s="40" t="n">
        <x:v>2.4016685976924563</x:v>
      </x:c>
      <x:c r="D442" s="40" t="n">
        <x:v>0.7376571974795834</x:v>
      </x:c>
      <x:c r="E442" t="n">
        <x:f>--((B442^2/$B$4^2+C442^2/$B$5^2+D442^2/$B$6^2)&lt;=1)</x:f>
        <x:v>1</x:v>
      </x:c>
      <x:c r="F442" s="42" t="n">
        <x:f>$B$8*SUM($E$18:E442)/A442</x:f>
        <x:v>97.12941176470588</x:v>
      </x:c>
      <x:c r="G442" s="42" t="n">
        <x:f>$B$11</x:f>
        <x:v>100.53096491487338</x:v>
      </x:c>
      <x:c r="I442" t="n">
        <x:f>A442</x:f>
        <x:v>425</x:v>
      </x:c>
      <x:c r="J442" t="n">
        <x:f>F442</x:f>
        <x:v>97.12941176470588</x:v>
      </x:c>
      <x:c r="K442" t="n">
        <x:f>G442</x:f>
        <x:v>100.53096491487338</x:v>
      </x:c>
    </x:row>
    <x:row r="443">
      <x:c r="A443" t="n">
        <x:v>426</x:v>
      </x:c>
      <x:c r="B443" s="40" t="n">
        <x:v>1.2059272434376611</x:v>
      </x:c>
      <x:c r="C443" s="40" t="n">
        <x:v>1.3542058243352137</x:v>
      </x:c>
      <x:c r="D443" s="40" t="n">
        <x:v>-0.965872395309817</x:v>
      </x:c>
      <x:c r="E443" t="n">
        <x:f>--((B443^2/$B$4^2+C443^2/$B$5^2+D443^2/$B$6^2)&lt;=1)</x:f>
        <x:v>1</x:v>
      </x:c>
      <x:c r="F443" s="42" t="n">
        <x:f>$B$8*SUM($E$18:E443)/A443</x:f>
        <x:v>97.35211267605634</x:v>
      </x:c>
      <x:c r="G443" s="42" t="n">
        <x:f>$B$11</x:f>
        <x:v>100.53096491487338</x:v>
      </x:c>
      <x:c r="I443" t="n">
        <x:f>A443</x:f>
        <x:v>426</x:v>
      </x:c>
      <x:c r="J443" t="n">
        <x:f>F443</x:f>
        <x:v>97.35211267605634</x:v>
      </x:c>
      <x:c r="K443" t="n">
        <x:f>G443</x:f>
        <x:v>100.53096491487338</x:v>
      </x:c>
    </x:row>
    <x:row r="444">
      <x:c r="A444" t="n">
        <x:v>427</x:v>
      </x:c>
      <x:c r="B444" s="40" t="n">
        <x:v>-1.045788717490446</x:v>
      </x:c>
      <x:c r="C444" s="40" t="n">
        <x:v>-2.5882748573468466</x:v>
      </x:c>
      <x:c r="D444" s="40" t="n">
        <x:v>-2.5060302586416823</x:v>
      </x:c>
      <x:c r="E444" t="n">
        <x:f>--((B444^2/$B$4^2+C444^2/$B$5^2+D444^2/$B$6^2)&lt;=1)</x:f>
        <x:v>0</x:v>
      </x:c>
      <x:c r="F444" s="42" t="n">
        <x:f>$B$8*SUM($E$18:E444)/A444</x:f>
        <x:v>97.12412177985948</x:v>
      </x:c>
      <x:c r="G444" s="42" t="n">
        <x:f>$B$11</x:f>
        <x:v>100.53096491487338</x:v>
      </x:c>
      <x:c r="I444" t="n">
        <x:f>A444</x:f>
        <x:v>427</x:v>
      </x:c>
      <x:c r="J444" t="n">
        <x:f>F444</x:f>
        <x:v>97.12412177985948</x:v>
      </x:c>
      <x:c r="K444" t="n">
        <x:f>G444</x:f>
        <x:v>100.53096491487338</x:v>
      </x:c>
    </x:row>
    <x:row r="445">
      <x:c r="A445" t="n">
        <x:v>428</x:v>
      </x:c>
      <x:c r="B445" s="40" t="n">
        <x:v>1.3976353716922918</x:v>
      </x:c>
      <x:c r="C445" s="40" t="n">
        <x:v>1.1510823677139168</x:v>
      </x:c>
      <x:c r="D445" s="40" t="n">
        <x:v>-2.8951620970500107</x:v>
      </x:c>
      <x:c r="E445" t="n">
        <x:f>--((B445^2/$B$4^2+C445^2/$B$5^2+D445^2/$B$6^2)&lt;=1)</x:f>
        <x:v>0</x:v>
      </x:c>
      <x:c r="F445" s="42" t="n">
        <x:f>$B$8*SUM($E$18:E445)/A445</x:f>
        <x:v>96.89719626168224</x:v>
      </x:c>
      <x:c r="G445" s="42" t="n">
        <x:f>$B$11</x:f>
        <x:v>100.53096491487338</x:v>
      </x:c>
      <x:c r="I445" t="n">
        <x:f>A445</x:f>
        <x:v>428</x:v>
      </x:c>
      <x:c r="J445" t="n">
        <x:f>F445</x:f>
        <x:v>96.89719626168224</x:v>
      </x:c>
      <x:c r="K445" t="n">
        <x:f>G445</x:f>
        <x:v>100.53096491487338</x:v>
      </x:c>
    </x:row>
    <x:row r="446">
      <x:c r="A446" t="n">
        <x:v>429</x:v>
      </x:c>
      <x:c r="B446" s="40" t="n">
        <x:v>-1.7710722393869585</x:v>
      </x:c>
      <x:c r="C446" s="40" t="n">
        <x:v>0.7897712530279071</x:v>
      </x:c>
      <x:c r="D446" s="40" t="n">
        <x:v>-2.1051151749816954</x:v>
      </x:c>
      <x:c r="E446" t="n">
        <x:f>--((B446^2/$B$4^2+C446^2/$B$5^2+D446^2/$B$6^2)&lt;=1)</x:f>
        <x:v>0</x:v>
      </x:c>
      <x:c r="F446" s="42" t="n">
        <x:f>$B$8*SUM($E$18:E446)/A446</x:f>
        <x:v>96.67132867132867</x:v>
      </x:c>
      <x:c r="G446" s="42" t="n">
        <x:f>$B$11</x:f>
        <x:v>100.53096491487338</x:v>
      </x:c>
      <x:c r="I446" t="n">
        <x:f>A446</x:f>
        <x:v>429</x:v>
      </x:c>
      <x:c r="J446" t="n">
        <x:f>F446</x:f>
        <x:v>96.67132867132867</x:v>
      </x:c>
      <x:c r="K446" t="n">
        <x:f>G446</x:f>
        <x:v>100.53096491487338</x:v>
      </x:c>
    </x:row>
    <x:row r="447">
      <x:c r="A447" t="n">
        <x:v>430</x:v>
      </x:c>
      <x:c r="B447" s="40" t="n">
        <x:v>1.2038554145667049</x:v>
      </x:c>
      <x:c r="C447" s="40" t="n">
        <x:v>1.5440965964395117</x:v>
      </x:c>
      <x:c r="D447" s="40" t="n">
        <x:v>-3.7613431358961193</x:v>
      </x:c>
      <x:c r="E447" t="n">
        <x:f>--((B447^2/$B$4^2+C447^2/$B$5^2+D447^2/$B$6^2)&lt;=1)</x:f>
        <x:v>0</x:v>
      </x:c>
      <x:c r="F447" s="42" t="n">
        <x:f>$B$8*SUM($E$18:E447)/A447</x:f>
        <x:v>96.44651162790697</x:v>
      </x:c>
      <x:c r="G447" s="42" t="n">
        <x:f>$B$11</x:f>
        <x:v>100.53096491487338</x:v>
      </x:c>
      <x:c r="I447" t="n">
        <x:f>A447</x:f>
        <x:v>430</x:v>
      </x:c>
      <x:c r="J447" t="n">
        <x:f>F447</x:f>
        <x:v>96.44651162790697</x:v>
      </x:c>
      <x:c r="K447" t="n">
        <x:f>G447</x:f>
        <x:v>100.53096491487338</x:v>
      </x:c>
    </x:row>
    <x:row r="448">
      <x:c r="A448" t="n">
        <x:v>431</x:v>
      </x:c>
      <x:c r="B448" s="40" t="n">
        <x:v>1.7111817206891216</x:v>
      </x:c>
      <x:c r="C448" s="40" t="n">
        <x:v>1.9691871149360152</x:v>
      </x:c>
      <x:c r="D448" s="40" t="n">
        <x:v>-1.5349843037098525</x:v>
      </x:c>
      <x:c r="E448" t="n">
        <x:f>--((B448^2/$B$4^2+C448^2/$B$5^2+D448^2/$B$6^2)&lt;=1)</x:f>
        <x:v>0</x:v>
      </x:c>
      <x:c r="F448" s="42" t="n">
        <x:f>$B$8*SUM($E$18:E448)/A448</x:f>
        <x:v>96.22273781902553</x:v>
      </x:c>
      <x:c r="G448" s="42" t="n">
        <x:f>$B$11</x:f>
        <x:v>100.53096491487338</x:v>
      </x:c>
      <x:c r="I448" t="n">
        <x:f>A448</x:f>
        <x:v>431</x:v>
      </x:c>
      <x:c r="J448" t="n">
        <x:f>F448</x:f>
        <x:v>96.22273781902553</x:v>
      </x:c>
      <x:c r="K448" t="n">
        <x:f>G448</x:f>
        <x:v>100.53096491487338</x:v>
      </x:c>
    </x:row>
    <x:row r="449">
      <x:c r="A449" t="n">
        <x:v>432</x:v>
      </x:c>
      <x:c r="B449" s="40" t="n">
        <x:v>1.0884335964175222</x:v>
      </x:c>
      <x:c r="C449" s="40" t="n">
        <x:v>1.3101033790389298</x:v>
      </x:c>
      <x:c r="D449" s="40" t="n">
        <x:v>3.2156375214543536</x:v>
      </x:c>
      <x:c r="E449" t="n">
        <x:f>--((B449^2/$B$4^2+C449^2/$B$5^2+D449^2/$B$6^2)&lt;=1)</x:f>
        <x:v>0</x:v>
      </x:c>
      <x:c r="F449" s="42" t="n">
        <x:f>$B$8*SUM($E$18:E449)/A449</x:f>
        <x:v>96</x:v>
      </x:c>
      <x:c r="G449" s="42" t="n">
        <x:f>$B$11</x:f>
        <x:v>100.53096491487338</x:v>
      </x:c>
      <x:c r="I449" t="n">
        <x:f>A449</x:f>
        <x:v>432</x:v>
      </x:c>
      <x:c r="J449" t="n">
        <x:f>F449</x:f>
        <x:v>96</x:v>
      </x:c>
      <x:c r="K449" t="n">
        <x:f>G449</x:f>
        <x:v>100.53096491487338</x:v>
      </x:c>
    </x:row>
    <x:row r="450">
      <x:c r="A450" t="n">
        <x:v>433</x:v>
      </x:c>
      <x:c r="B450" s="40" t="n">
        <x:v>0.7924831359145488</x:v>
      </x:c>
      <x:c r="C450" s="40" t="n">
        <x:v>0.5170577716258316</x:v>
      </x:c>
      <x:c r="D450" s="40" t="n">
        <x:v>2.650897007064226</x:v>
      </x:c>
      <x:c r="E450" t="n">
        <x:f>--((B450^2/$B$4^2+C450^2/$B$5^2+D450^2/$B$6^2)&lt;=1)</x:f>
        <x:v>1</x:v>
      </x:c>
      <x:c r="F450" s="42" t="n">
        <x:f>$B$8*SUM($E$18:E450)/A450</x:f>
        <x:v>96.2217090069284</x:v>
      </x:c>
      <x:c r="G450" s="42" t="n">
        <x:f>$B$11</x:f>
        <x:v>100.53096491487338</x:v>
      </x:c>
      <x:c r="I450" t="n">
        <x:f>A450</x:f>
        <x:v>433</x:v>
      </x:c>
      <x:c r="J450" t="n">
        <x:f>F450</x:f>
        <x:v>96.2217090069284</x:v>
      </x:c>
      <x:c r="K450" t="n">
        <x:f>G450</x:f>
        <x:v>100.53096491487338</x:v>
      </x:c>
    </x:row>
    <x:row r="451">
      <x:c r="A451" t="n">
        <x:v>434</x:v>
      </x:c>
      <x:c r="B451" s="40" t="n">
        <x:v>1.3519208746215323</x:v>
      </x:c>
      <x:c r="C451" s="40" t="n">
        <x:v>-1.065220088509334</x:v>
      </x:c>
      <x:c r="D451" s="40" t="n">
        <x:v>-1.0239699462427287</x:v>
      </x:c>
      <x:c r="E451" t="n">
        <x:f>--((B451^2/$B$4^2+C451^2/$B$5^2+D451^2/$B$6^2)&lt;=1)</x:f>
        <x:v>1</x:v>
      </x:c>
      <x:c r="F451" s="42" t="n">
        <x:f>$B$8*SUM($E$18:E451)/A451</x:f>
        <x:v>96.44239631336406</x:v>
      </x:c>
      <x:c r="G451" s="42" t="n">
        <x:f>$B$11</x:f>
        <x:v>100.53096491487338</x:v>
      </x:c>
      <x:c r="I451" t="n">
        <x:f>A451</x:f>
        <x:v>434</x:v>
      </x:c>
      <x:c r="J451" t="n">
        <x:f>F451</x:f>
        <x:v>96.44239631336406</x:v>
      </x:c>
      <x:c r="K451" t="n">
        <x:f>G451</x:f>
        <x:v>100.53096491487338</x:v>
      </x:c>
    </x:row>
    <x:row r="452">
      <x:c r="A452" t="n">
        <x:v>435</x:v>
      </x:c>
      <x:c r="B452" s="40" t="n">
        <x:v>-1.8393948018117343</x:v>
      </x:c>
      <x:c r="C452" s="40" t="n">
        <x:v>1.1836419709795747</x:v>
      </x:c>
      <x:c r="D452" s="40" t="n">
        <x:v>0.6066689486544306</x:v>
      </x:c>
      <x:c r="E452" t="n">
        <x:f>--((B452^2/$B$4^2+C452^2/$B$5^2+D452^2/$B$6^2)&lt;=1)</x:f>
        <x:v>0</x:v>
      </x:c>
      <x:c r="F452" s="42" t="n">
        <x:f>$B$8*SUM($E$18:E452)/A452</x:f>
        <x:v>96.22068965517241</x:v>
      </x:c>
      <x:c r="G452" s="42" t="n">
        <x:f>$B$11</x:f>
        <x:v>100.53096491487338</x:v>
      </x:c>
      <x:c r="I452" t="n">
        <x:f>A452</x:f>
        <x:v>435</x:v>
      </x:c>
      <x:c r="J452" t="n">
        <x:f>F452</x:f>
        <x:v>96.22068965517241</x:v>
      </x:c>
      <x:c r="K452" t="n">
        <x:f>G452</x:f>
        <x:v>100.53096491487338</x:v>
      </x:c>
    </x:row>
    <x:row r="453">
      <x:c r="A453" t="n">
        <x:v>436</x:v>
      </x:c>
      <x:c r="B453" s="40" t="n">
        <x:v>-1.1928715571237785</x:v>
      </x:c>
      <x:c r="C453" s="40" t="n">
        <x:v>2.7418295077846766</x:v>
      </x:c>
      <x:c r="D453" s="40" t="n">
        <x:v>0.5388844721124677</x:v>
      </x:c>
      <x:c r="E453" t="n">
        <x:f>--((B453^2/$B$4^2+C453^2/$B$5^2+D453^2/$B$6^2)&lt;=1)</x:f>
        <x:v>0</x:v>
      </x:c>
      <x:c r="F453" s="42" t="n">
        <x:f>$B$8*SUM($E$18:E453)/A453</x:f>
        <x:v>96</x:v>
      </x:c>
      <x:c r="G453" s="42" t="n">
        <x:f>$B$11</x:f>
        <x:v>100.53096491487338</x:v>
      </x:c>
      <x:c r="I453" t="n">
        <x:f>A453</x:f>
        <x:v>436</x:v>
      </x:c>
      <x:c r="J453" t="n">
        <x:f>F453</x:f>
        <x:v>96</x:v>
      </x:c>
      <x:c r="K453" t="n">
        <x:f>G453</x:f>
        <x:v>100.53096491487338</x:v>
      </x:c>
    </x:row>
    <x:row r="454">
      <x:c r="A454" t="n">
        <x:v>437</x:v>
      </x:c>
      <x:c r="B454" s="40" t="n">
        <x:v>-1.5003052827774277</x:v>
      </x:c>
      <x:c r="C454" s="40" t="n">
        <x:v>0.5251306831732458</x:v>
      </x:c>
      <x:c r="D454" s="40" t="n">
        <x:v>2.6299003135496983</x:v>
      </x:c>
      <x:c r="E454" t="n">
        <x:f>--((B454^2/$B$4^2+C454^2/$B$5^2+D454^2/$B$6^2)&lt;=1)</x:f>
        <x:v>0</x:v>
      </x:c>
      <x:c r="F454" s="42" t="n">
        <x:f>$B$8*SUM($E$18:E454)/A454</x:f>
        <x:v>95.78032036613273</x:v>
      </x:c>
      <x:c r="G454" s="42" t="n">
        <x:f>$B$11</x:f>
        <x:v>100.53096491487338</x:v>
      </x:c>
      <x:c r="I454" t="n">
        <x:f>A454</x:f>
        <x:v>437</x:v>
      </x:c>
      <x:c r="J454" t="n">
        <x:f>F454</x:f>
        <x:v>95.78032036613273</x:v>
      </x:c>
      <x:c r="K454" t="n">
        <x:f>G454</x:f>
        <x:v>100.53096491487338</x:v>
      </x:c>
    </x:row>
    <x:row r="455">
      <x:c r="A455" t="n">
        <x:v>438</x:v>
      </x:c>
      <x:c r="B455" s="40" t="n">
        <x:v>0.018123960771946113</x:v>
      </x:c>
      <x:c r="C455" s="40" t="n">
        <x:v>0.9860692106055233</x:v>
      </x:c>
      <x:c r="D455" s="40" t="n">
        <x:v>-2.109679187864275</x:v>
      </x:c>
      <x:c r="E455" t="n">
        <x:f>--((B455^2/$B$4^2+C455^2/$B$5^2+D455^2/$B$6^2)&lt;=1)</x:f>
        <x:v>1</x:v>
      </x:c>
      <x:c r="F455" s="42" t="n">
        <x:f>$B$8*SUM($E$18:E455)/A455</x:f>
        <x:v>96</x:v>
      </x:c>
      <x:c r="G455" s="42" t="n">
        <x:f>$B$11</x:f>
        <x:v>100.53096491487338</x:v>
      </x:c>
      <x:c r="I455" t="n">
        <x:f>A455</x:f>
        <x:v>438</x:v>
      </x:c>
      <x:c r="J455" t="n">
        <x:f>F455</x:f>
        <x:v>96</x:v>
      </x:c>
      <x:c r="K455" t="n">
        <x:f>G455</x:f>
        <x:v>100.53096491487338</x:v>
      </x:c>
    </x:row>
    <x:row r="456">
      <x:c r="A456" t="n">
        <x:v>439</x:v>
      </x:c>
      <x:c r="B456" s="40" t="n">
        <x:v>0.980752513315378</x:v>
      </x:c>
      <x:c r="C456" s="40" t="n">
        <x:v>-0.37723174680119564</x:v>
      </x:c>
      <x:c r="D456" s="40" t="n">
        <x:v>-1.6289000896559012</x:v>
      </x:c>
      <x:c r="E456" t="n">
        <x:f>--((B456^2/$B$4^2+C456^2/$B$5^2+D456^2/$B$6^2)&lt;=1)</x:f>
        <x:v>1</x:v>
      </x:c>
      <x:c r="F456" s="42" t="n">
        <x:f>$B$8*SUM($E$18:E456)/A456</x:f>
        <x:v>96.21867881548975</x:v>
      </x:c>
      <x:c r="G456" s="42" t="n">
        <x:f>$B$11</x:f>
        <x:v>100.53096491487338</x:v>
      </x:c>
      <x:c r="I456" t="n">
        <x:f>A456</x:f>
        <x:v>439</x:v>
      </x:c>
      <x:c r="J456" t="n">
        <x:f>F456</x:f>
        <x:v>96.21867881548975</x:v>
      </x:c>
      <x:c r="K456" t="n">
        <x:f>G456</x:f>
        <x:v>100.53096491487338</x:v>
      </x:c>
    </x:row>
    <x:row r="457">
      <x:c r="A457" t="n">
        <x:v>440</x:v>
      </x:c>
      <x:c r="B457" s="40" t="n">
        <x:v>0.5200473783055948</x:v>
      </x:c>
      <x:c r="C457" s="40" t="n">
        <x:v>1.536724858458446</x:v>
      </x:c>
      <x:c r="D457" s="40" t="n">
        <x:v>-1.585716530035108</x:v>
      </x:c>
      <x:c r="E457" t="n">
        <x:f>--((B457^2/$B$4^2+C457^2/$B$5^2+D457^2/$B$6^2)&lt;=1)</x:f>
        <x:v>1</x:v>
      </x:c>
      <x:c r="F457" s="42" t="n">
        <x:f>$B$8*SUM($E$18:E457)/A457</x:f>
        <x:v>96.43636363636364</x:v>
      </x:c>
      <x:c r="G457" s="42" t="n">
        <x:f>$B$11</x:f>
        <x:v>100.53096491487338</x:v>
      </x:c>
      <x:c r="I457" t="n">
        <x:f>A457</x:f>
        <x:v>440</x:v>
      </x:c>
      <x:c r="J457" t="n">
        <x:f>F457</x:f>
        <x:v>96.43636363636364</x:v>
      </x:c>
      <x:c r="K457" t="n">
        <x:f>G457</x:f>
        <x:v>100.53096491487338</x:v>
      </x:c>
    </x:row>
    <x:row r="458">
      <x:c r="A458" t="n">
        <x:v>441</x:v>
      </x:c>
      <x:c r="B458" s="40" t="n">
        <x:v>1.40452439904774</x:v>
      </x:c>
      <x:c r="C458" s="40" t="n">
        <x:v>2.986004354031815</x:v>
      </x:c>
      <x:c r="D458" s="40" t="n">
        <x:v>-3.6730400818266054</x:v>
      </x:c>
      <x:c r="E458" t="n">
        <x:f>--((B458^2/$B$4^2+C458^2/$B$5^2+D458^2/$B$6^2)&lt;=1)</x:f>
        <x:v>0</x:v>
      </x:c>
      <x:c r="F458" s="42" t="n">
        <x:f>$B$8*SUM($E$18:E458)/A458</x:f>
        <x:v>96.21768707482993</x:v>
      </x:c>
      <x:c r="G458" s="42" t="n">
        <x:f>$B$11</x:f>
        <x:v>100.53096491487338</x:v>
      </x:c>
      <x:c r="I458" t="n">
        <x:f>A458</x:f>
        <x:v>441</x:v>
      </x:c>
      <x:c r="J458" t="n">
        <x:f>F458</x:f>
        <x:v>96.21768707482993</x:v>
      </x:c>
      <x:c r="K458" t="n">
        <x:f>G458</x:f>
        <x:v>100.53096491487338</x:v>
      </x:c>
    </x:row>
    <x:row r="459">
      <x:c r="A459" t="n">
        <x:v>442</x:v>
      </x:c>
      <x:c r="B459" s="40" t="n">
        <x:v>-1.3791480302356365</x:v>
      </x:c>
      <x:c r="C459" s="40" t="n">
        <x:v>-2.0376640555935834</x:v>
      </x:c>
      <x:c r="D459" s="40" t="n">
        <x:v>-1.4824970936864625</x:v>
      </x:c>
      <x:c r="E459" t="n">
        <x:f>--((B459^2/$B$4^2+C459^2/$B$5^2+D459^2/$B$6^2)&lt;=1)</x:f>
        <x:v>0</x:v>
      </x:c>
      <x:c r="F459" s="42" t="n">
        <x:f>$B$8*SUM($E$18:E459)/A459</x:f>
        <x:v>96</x:v>
      </x:c>
      <x:c r="G459" s="42" t="n">
        <x:f>$B$11</x:f>
        <x:v>100.53096491487338</x:v>
      </x:c>
      <x:c r="I459" t="n">
        <x:f>A459</x:f>
        <x:v>442</x:v>
      </x:c>
      <x:c r="J459" t="n">
        <x:f>F459</x:f>
        <x:v>96</x:v>
      </x:c>
      <x:c r="K459" t="n">
        <x:f>G459</x:f>
        <x:v>100.53096491487338</x:v>
      </x:c>
    </x:row>
    <x:row r="460">
      <x:c r="A460" t="n">
        <x:v>443</x:v>
      </x:c>
      <x:c r="B460" s="40" t="n">
        <x:v>0.9384843677406463</x:v>
      </x:c>
      <x:c r="C460" s="40" t="n">
        <x:v>-1.7855683229774262</x:v>
      </x:c>
      <x:c r="D460" s="40" t="n">
        <x:v>3.0233102127040556</x:v>
      </x:c>
      <x:c r="E460" t="n">
        <x:f>--((B460^2/$B$4^2+C460^2/$B$5^2+D460^2/$B$6^2)&lt;=1)</x:f>
        <x:v>0</x:v>
      </x:c>
      <x:c r="F460" s="42" t="n">
        <x:f>$B$8*SUM($E$18:E460)/A460</x:f>
        <x:v>95.78329571106094</x:v>
      </x:c>
      <x:c r="G460" s="42" t="n">
        <x:f>$B$11</x:f>
        <x:v>100.53096491487338</x:v>
      </x:c>
      <x:c r="I460" t="n">
        <x:f>A460</x:f>
        <x:v>443</x:v>
      </x:c>
      <x:c r="J460" t="n">
        <x:f>F460</x:f>
        <x:v>95.78329571106094</x:v>
      </x:c>
      <x:c r="K460" t="n">
        <x:f>G460</x:f>
        <x:v>100.53096491487338</x:v>
      </x:c>
    </x:row>
    <x:row r="461">
      <x:c r="A461" t="n">
        <x:v>444</x:v>
      </x:c>
      <x:c r="B461" s="40" t="n">
        <x:v>-1.2278340365243836</x:v>
      </x:c>
      <x:c r="C461" s="40" t="n">
        <x:v>0.23662655198633686</x:v>
      </x:c>
      <x:c r="D461" s="40" t="n">
        <x:v>3.295901180571848</x:v>
      </x:c>
      <x:c r="E461" t="n">
        <x:f>--((B461^2/$B$4^2+C461^2/$B$5^2+D461^2/$B$6^2)&lt;=1)</x:f>
        <x:v>0</x:v>
      </x:c>
      <x:c r="F461" s="42" t="n">
        <x:f>$B$8*SUM($E$18:E461)/A461</x:f>
        <x:v>95.56756756756756</x:v>
      </x:c>
      <x:c r="G461" s="42" t="n">
        <x:f>$B$11</x:f>
        <x:v>100.53096491487338</x:v>
      </x:c>
      <x:c r="I461" t="n">
        <x:f>A461</x:f>
        <x:v>444</x:v>
      </x:c>
      <x:c r="J461" t="n">
        <x:f>F461</x:f>
        <x:v>95.56756756756756</x:v>
      </x:c>
      <x:c r="K461" t="n">
        <x:f>G461</x:f>
        <x:v>100.53096491487338</x:v>
      </x:c>
    </x:row>
    <x:row r="462">
      <x:c r="A462" t="n">
        <x:v>445</x:v>
      </x:c>
      <x:c r="B462" s="40" t="n">
        <x:v>-0.916964994728799</x:v>
      </x:c>
      <x:c r="C462" s="40" t="n">
        <x:v>-0.11174761643005038</x:v>
      </x:c>
      <x:c r="D462" s="40" t="n">
        <x:v>-3.122917233851597</x:v>
      </x:c>
      <x:c r="E462" t="n">
        <x:f>--((B462^2/$B$4^2+C462^2/$B$5^2+D462^2/$B$6^2)&lt;=1)</x:f>
        <x:v>1</x:v>
      </x:c>
      <x:c r="F462" s="42" t="n">
        <x:f>$B$8*SUM($E$18:E462)/A462</x:f>
        <x:v>95.78426966292135</x:v>
      </x:c>
      <x:c r="G462" s="42" t="n">
        <x:f>$B$11</x:f>
        <x:v>100.53096491487338</x:v>
      </x:c>
      <x:c r="I462" t="n">
        <x:f>A462</x:f>
        <x:v>445</x:v>
      </x:c>
      <x:c r="J462" t="n">
        <x:f>F462</x:f>
        <x:v>95.78426966292135</x:v>
      </x:c>
      <x:c r="K462" t="n">
        <x:f>G462</x:f>
        <x:v>100.53096491487338</x:v>
      </x:c>
    </x:row>
    <x:row r="463">
      <x:c r="A463" t="n">
        <x:v>446</x:v>
      </x:c>
      <x:c r="B463" s="40" t="n">
        <x:v>0.8396187891252156</x:v>
      </x:c>
      <x:c r="C463" s="40" t="n">
        <x:v>0.4294187070403126</x:v>
      </x:c>
      <x:c r="D463" s="40" t="n">
        <x:v>-0.3355316670525488</x:v>
      </x:c>
      <x:c r="E463" t="n">
        <x:f>--((B463^2/$B$4^2+C463^2/$B$5^2+D463^2/$B$6^2)&lt;=1)</x:f>
        <x:v>1</x:v>
      </x:c>
      <x:c r="F463" s="42" t="n">
        <x:f>$B$8*SUM($E$18:E463)/A463</x:f>
        <x:v>96</x:v>
      </x:c>
      <x:c r="G463" s="42" t="n">
        <x:f>$B$11</x:f>
        <x:v>100.53096491487338</x:v>
      </x:c>
      <x:c r="I463" t="n">
        <x:f>A463</x:f>
        <x:v>446</x:v>
      </x:c>
      <x:c r="J463" t="n">
        <x:f>F463</x:f>
        <x:v>96</x:v>
      </x:c>
      <x:c r="K463" t="n">
        <x:f>G463</x:f>
        <x:v>100.53096491487338</x:v>
      </x:c>
    </x:row>
    <x:row r="464">
      <x:c r="A464" t="n">
        <x:v>447</x:v>
      </x:c>
      <x:c r="B464" s="40" t="n">
        <x:v>1.9208191395947272</x:v>
      </x:c>
      <x:c r="C464" s="40" t="n">
        <x:v>-2.7055557136543618</x:v>
      </x:c>
      <x:c r="D464" s="40" t="n">
        <x:v>-0.949208787298887</x:v>
      </x:c>
      <x:c r="E464" t="n">
        <x:f>--((B464^2/$B$4^2+C464^2/$B$5^2+D464^2/$B$6^2)&lt;=1)</x:f>
        <x:v>0</x:v>
      </x:c>
      <x:c r="F464" s="42" t="n">
        <x:f>$B$8*SUM($E$18:E464)/A464</x:f>
        <x:v>95.78523489932886</x:v>
      </x:c>
      <x:c r="G464" s="42" t="n">
        <x:f>$B$11</x:f>
        <x:v>100.53096491487338</x:v>
      </x:c>
      <x:c r="I464" t="n">
        <x:f>A464</x:f>
        <x:v>447</x:v>
      </x:c>
      <x:c r="J464" t="n">
        <x:f>F464</x:f>
        <x:v>95.78523489932886</x:v>
      </x:c>
      <x:c r="K464" t="n">
        <x:f>G464</x:f>
        <x:v>100.53096491487338</x:v>
      </x:c>
    </x:row>
    <x:row r="465">
      <x:c r="A465" t="n">
        <x:v>448</x:v>
      </x:c>
      <x:c r="B465" s="40" t="n">
        <x:v>0.44617442390827833</x:v>
      </x:c>
      <x:c r="C465" s="40" t="n">
        <x:v>-0.5743412620173061</x:v>
      </x:c>
      <x:c r="D465" s="40" t="n">
        <x:v>-0.08512642701289685</x:v>
      </x:c>
      <x:c r="E465" t="n">
        <x:f>--((B465^2/$B$4^2+C465^2/$B$5^2+D465^2/$B$6^2)&lt;=1)</x:f>
        <x:v>1</x:v>
      </x:c>
      <x:c r="F465" s="42" t="n">
        <x:f>$B$8*SUM($E$18:E465)/A465</x:f>
        <x:v>96</x:v>
      </x:c>
      <x:c r="G465" s="42" t="n">
        <x:f>$B$11</x:f>
        <x:v>100.53096491487338</x:v>
      </x:c>
      <x:c r="I465" t="n">
        <x:f>A465</x:f>
        <x:v>448</x:v>
      </x:c>
      <x:c r="J465" t="n">
        <x:f>F465</x:f>
        <x:v>96</x:v>
      </x:c>
      <x:c r="K465" t="n">
        <x:f>G465</x:f>
        <x:v>100.53096491487338</x:v>
      </x:c>
    </x:row>
    <x:row r="466">
      <x:c r="A466" t="n">
        <x:v>449</x:v>
      </x:c>
      <x:c r="B466" s="40" t="n">
        <x:v>-1.7819987400348176</x:v>
      </x:c>
      <x:c r="C466" s="40" t="n">
        <x:v>0.4978695723933648</x:v>
      </x:c>
      <x:c r="D466" s="40" t="n">
        <x:v>0.43775619246941755</x:v>
      </x:c>
      <x:c r="E466" t="n">
        <x:f>--((B466^2/$B$4^2+C466^2/$B$5^2+D466^2/$B$6^2)&lt;=1)</x:f>
        <x:v>1</x:v>
      </x:c>
      <x:c r="F466" s="42" t="n">
        <x:f>$B$8*SUM($E$18:E466)/A466</x:f>
        <x:v>96.21380846325167</x:v>
      </x:c>
      <x:c r="G466" s="42" t="n">
        <x:f>$B$11</x:f>
        <x:v>100.53096491487338</x:v>
      </x:c>
      <x:c r="I466" t="n">
        <x:f>A466</x:f>
        <x:v>449</x:v>
      </x:c>
      <x:c r="J466" t="n">
        <x:f>F466</x:f>
        <x:v>96.21380846325167</x:v>
      </x:c>
      <x:c r="K466" t="n">
        <x:f>G466</x:f>
        <x:v>100.53096491487338</x:v>
      </x:c>
    </x:row>
    <x:row r="467">
      <x:c r="A467" t="n">
        <x:v>450</x:v>
      </x:c>
      <x:c r="B467" s="40" t="n">
        <x:v>0.46523587971013125</x:v>
      </x:c>
      <x:c r="C467" s="40" t="n">
        <x:v>0.5111481078297762</x:v>
      </x:c>
      <x:c r="D467" s="40" t="n">
        <x:v>-3.8379299198580314</x:v>
      </x:c>
      <x:c r="E467" t="n">
        <x:f>--((B467^2/$B$4^2+C467^2/$B$5^2+D467^2/$B$6^2)&lt;=1)</x:f>
        <x:v>0</x:v>
      </x:c>
      <x:c r="F467" s="42" t="n">
        <x:f>$B$8*SUM($E$18:E467)/A467</x:f>
        <x:v>96</x:v>
      </x:c>
      <x:c r="G467" s="42" t="n">
        <x:f>$B$11</x:f>
        <x:v>100.53096491487338</x:v>
      </x:c>
      <x:c r="I467" t="n">
        <x:f>A467</x:f>
        <x:v>450</x:v>
      </x:c>
      <x:c r="J467" t="n">
        <x:f>F467</x:f>
        <x:v>96</x:v>
      </x:c>
      <x:c r="K467" t="n">
        <x:f>G467</x:f>
        <x:v>100.53096491487338</x:v>
      </x:c>
    </x:row>
    <x:row r="468">
      <x:c r="A468" t="n">
        <x:v>451</x:v>
      </x:c>
      <x:c r="B468" s="40" t="n">
        <x:v>-1.8305977936793316</x:v>
      </x:c>
      <x:c r="C468" s="40" t="n">
        <x:v>0.9440037706102413</x:v>
      </x:c>
      <x:c r="D468" s="40" t="n">
        <x:v>2.737937983369286</x:v>
      </x:c>
      <x:c r="E468" t="n">
        <x:f>--((B468^2/$B$4^2+C468^2/$B$5^2+D468^2/$B$6^2)&lt;=1)</x:f>
        <x:v>0</x:v>
      </x:c>
      <x:c r="F468" s="42" t="n">
        <x:f>$B$8*SUM($E$18:E468)/A468</x:f>
        <x:v>95.78713968957871</x:v>
      </x:c>
      <x:c r="G468" s="42" t="n">
        <x:f>$B$11</x:f>
        <x:v>100.53096491487338</x:v>
      </x:c>
      <x:c r="I468" t="n">
        <x:f>A468</x:f>
        <x:v>451</x:v>
      </x:c>
      <x:c r="J468" t="n">
        <x:f>F468</x:f>
        <x:v>95.78713968957871</x:v>
      </x:c>
      <x:c r="K468" t="n">
        <x:f>G468</x:f>
        <x:v>100.53096491487338</x:v>
      </x:c>
    </x:row>
    <x:row r="469">
      <x:c r="A469" t="n">
        <x:v>452</x:v>
      </x:c>
      <x:c r="B469" s="40" t="n">
        <x:v>1.5365828454672688</x:v>
      </x:c>
      <x:c r="C469" s="40" t="n">
        <x:v>1.3212961740159823</x:v>
      </x:c>
      <x:c r="D469" s="40" t="n">
        <x:v>3.789312585386708</x:v>
      </x:c>
      <x:c r="E469" t="n">
        <x:f>--((B469^2/$B$4^2+C469^2/$B$5^2+D469^2/$B$6^2)&lt;=1)</x:f>
        <x:v>0</x:v>
      </x:c>
      <x:c r="F469" s="42" t="n">
        <x:f>$B$8*SUM($E$18:E469)/A469</x:f>
        <x:v>95.57522123893806</x:v>
      </x:c>
      <x:c r="G469" s="42" t="n">
        <x:f>$B$11</x:f>
        <x:v>100.53096491487338</x:v>
      </x:c>
      <x:c r="I469" t="n">
        <x:f>A469</x:f>
        <x:v>452</x:v>
      </x:c>
      <x:c r="J469" t="n">
        <x:f>F469</x:f>
        <x:v>95.57522123893806</x:v>
      </x:c>
      <x:c r="K469" t="n">
        <x:f>G469</x:f>
        <x:v>100.53096491487338</x:v>
      </x:c>
    </x:row>
    <x:row r="470">
      <x:c r="A470" t="n">
        <x:v>453</x:v>
      </x:c>
      <x:c r="B470" s="40" t="n">
        <x:v>0.8383131404024828</x:v>
      </x:c>
      <x:c r="C470" s="40" t="n">
        <x:v>0.8492832200451392</x:v>
      </x:c>
      <x:c r="D470" s="40" t="n">
        <x:v>1.2272384960291385</x:v>
      </x:c>
      <x:c r="E470" t="n">
        <x:f>--((B470^2/$B$4^2+C470^2/$B$5^2+D470^2/$B$6^2)&lt;=1)</x:f>
        <x:v>1</x:v>
      </x:c>
      <x:c r="F470" s="42" t="n">
        <x:f>$B$8*SUM($E$18:E470)/A470</x:f>
        <x:v>95.78807947019868</x:v>
      </x:c>
      <x:c r="G470" s="42" t="n">
        <x:f>$B$11</x:f>
        <x:v>100.53096491487338</x:v>
      </x:c>
      <x:c r="I470" t="n">
        <x:f>A470</x:f>
        <x:v>453</x:v>
      </x:c>
      <x:c r="J470" t="n">
        <x:f>F470</x:f>
        <x:v>95.78807947019868</x:v>
      </x:c>
      <x:c r="K470" t="n">
        <x:f>G470</x:f>
        <x:v>100.53096491487338</x:v>
      </x:c>
    </x:row>
    <x:row r="471">
      <x:c r="A471" t="n">
        <x:v>454</x:v>
      </x:c>
      <x:c r="B471" s="40" t="n">
        <x:v>-1.307488614309987</x:v>
      </x:c>
      <x:c r="C471" s="40" t="n">
        <x:v>1.7414589323366103</x:v>
      </x:c>
      <x:c r="D471" s="40" t="n">
        <x:v>1.2836179079469536</x:v>
      </x:c>
      <x:c r="E471" t="n">
        <x:f>--((B471^2/$B$4^2+C471^2/$B$5^2+D471^2/$B$6^2)&lt;=1)</x:f>
        <x:v>1</x:v>
      </x:c>
      <x:c r="F471" s="42" t="n">
        <x:f>$B$8*SUM($E$18:E471)/A471</x:f>
        <x:v>96</x:v>
      </x:c>
      <x:c r="G471" s="42" t="n">
        <x:f>$B$11</x:f>
        <x:v>100.53096491487338</x:v>
      </x:c>
      <x:c r="I471" t="n">
        <x:f>A471</x:f>
        <x:v>454</x:v>
      </x:c>
      <x:c r="J471" t="n">
        <x:f>F471</x:f>
        <x:v>96</x:v>
      </x:c>
      <x:c r="K471" t="n">
        <x:f>G471</x:f>
        <x:v>100.53096491487338</x:v>
      </x:c>
    </x:row>
    <x:row r="472">
      <x:c r="A472" t="n">
        <x:v>455</x:v>
      </x:c>
      <x:c r="B472" s="40" t="n">
        <x:v>-1.6331159767032077</x:v>
      </x:c>
      <x:c r="C472" s="40" t="n">
        <x:v>0.7485638081075496</x:v>
      </x:c>
      <x:c r="D472" s="40" t="n">
        <x:v>0.22383886264566755</x:v>
      </x:c>
      <x:c r="E472" t="n">
        <x:f>--((B472^2/$B$4^2+C472^2/$B$5^2+D472^2/$B$6^2)&lt;=1)</x:f>
        <x:v>1</x:v>
      </x:c>
      <x:c r="F472" s="42" t="n">
        <x:f>$B$8*SUM($E$18:E472)/A472</x:f>
        <x:v>96.21098901098901</x:v>
      </x:c>
      <x:c r="G472" s="42" t="n">
        <x:f>$B$11</x:f>
        <x:v>100.53096491487338</x:v>
      </x:c>
      <x:c r="I472" t="n">
        <x:f>A472</x:f>
        <x:v>455</x:v>
      </x:c>
      <x:c r="J472" t="n">
        <x:f>F472</x:f>
        <x:v>96.21098901098901</x:v>
      </x:c>
      <x:c r="K472" t="n">
        <x:f>G472</x:f>
        <x:v>100.53096491487338</x:v>
      </x:c>
    </x:row>
    <x:row r="473">
      <x:c r="A473" t="n">
        <x:v>456</x:v>
      </x:c>
      <x:c r="B473" s="40" t="n">
        <x:v>-1.265867084478724</x:v>
      </x:c>
      <x:c r="C473" s="40" t="n">
        <x:v>0.22504597522322722</x:v>
      </x:c>
      <x:c r="D473" s="40" t="n">
        <x:v>-1.325812706284946</x:v>
      </x:c>
      <x:c r="E473" t="n">
        <x:f>--((B473^2/$B$4^2+C473^2/$B$5^2+D473^2/$B$6^2)&lt;=1)</x:f>
        <x:v>1</x:v>
      </x:c>
      <x:c r="F473" s="42" t="n">
        <x:f>$B$8*SUM($E$18:E473)/A473</x:f>
        <x:v>96.42105263157895</x:v>
      </x:c>
      <x:c r="G473" s="42" t="n">
        <x:f>$B$11</x:f>
        <x:v>100.53096491487338</x:v>
      </x:c>
      <x:c r="I473" t="n">
        <x:f>A473</x:f>
        <x:v>456</x:v>
      </x:c>
      <x:c r="J473" t="n">
        <x:f>F473</x:f>
        <x:v>96.42105263157895</x:v>
      </x:c>
      <x:c r="K473" t="n">
        <x:f>G473</x:f>
        <x:v>100.53096491487338</x:v>
      </x:c>
    </x:row>
    <x:row r="474">
      <x:c r="A474" t="n">
        <x:v>457</x:v>
      </x:c>
      <x:c r="B474" s="40" t="n">
        <x:v>1.92010871821677</x:v>
      </x:c>
      <x:c r="C474" s="40" t="n">
        <x:v>0.6371785733268656</x:v>
      </x:c>
      <x:c r="D474" s="40" t="n">
        <x:v>-2.808177406563831</x:v>
      </x:c>
      <x:c r="E474" t="n">
        <x:f>--((B474^2/$B$4^2+C474^2/$B$5^2+D474^2/$B$6^2)&lt;=1)</x:f>
        <x:v>0</x:v>
      </x:c>
      <x:c r="F474" s="42" t="n">
        <x:f>$B$8*SUM($E$18:E474)/A474</x:f>
        <x:v>96.21006564551422</x:v>
      </x:c>
      <x:c r="G474" s="42" t="n">
        <x:f>$B$11</x:f>
        <x:v>100.53096491487338</x:v>
      </x:c>
      <x:c r="I474" t="n">
        <x:f>A474</x:f>
        <x:v>457</x:v>
      </x:c>
      <x:c r="J474" t="n">
        <x:f>F474</x:f>
        <x:v>96.21006564551422</x:v>
      </x:c>
      <x:c r="K474" t="n">
        <x:f>G474</x:f>
        <x:v>100.53096491487338</x:v>
      </x:c>
    </x:row>
    <x:row r="475">
      <x:c r="A475" t="n">
        <x:v>458</x:v>
      </x:c>
      <x:c r="B475" s="40" t="n">
        <x:v>-0.16575743016604072</x:v>
      </x:c>
      <x:c r="C475" s="40" t="n">
        <x:v>-2.392839799480006</x:v>
      </x:c>
      <x:c r="D475" s="40" t="n">
        <x:v>0.6725067415684052</x:v>
      </x:c>
      <x:c r="E475" t="n">
        <x:f>--((B475^2/$B$4^2+C475^2/$B$5^2+D475^2/$B$6^2)&lt;=1)</x:f>
        <x:v>1</x:v>
      </x:c>
      <x:c r="F475" s="42" t="n">
        <x:f>$B$8*SUM($E$18:E475)/A475</x:f>
        <x:v>96.41921397379913</x:v>
      </x:c>
      <x:c r="G475" s="42" t="n">
        <x:f>$B$11</x:f>
        <x:v>100.53096491487338</x:v>
      </x:c>
      <x:c r="I475" t="n">
        <x:f>A475</x:f>
        <x:v>458</x:v>
      </x:c>
      <x:c r="J475" t="n">
        <x:f>F475</x:f>
        <x:v>96.41921397379913</x:v>
      </x:c>
      <x:c r="K475" t="n">
        <x:f>G475</x:f>
        <x:v>100.53096491487338</x:v>
      </x:c>
    </x:row>
    <x:row r="476">
      <x:c r="A476" t="n">
        <x:v>459</x:v>
      </x:c>
      <x:c r="B476" s="40" t="n">
        <x:v>1.1363237933656318</x:v>
      </x:c>
      <x:c r="C476" s="40" t="n">
        <x:v>-1.3610607556468801</x:v>
      </x:c>
      <x:c r="D476" s="40" t="n">
        <x:v>-3.6404687719263435</x:v>
      </x:c>
      <x:c r="E476" t="n">
        <x:f>--((B476^2/$B$4^2+C476^2/$B$5^2+D476^2/$B$6^2)&lt;=1)</x:f>
        <x:v>0</x:v>
      </x:c>
      <x:c r="F476" s="42" t="n">
        <x:f>$B$8*SUM($E$18:E476)/A476</x:f>
        <x:v>96.20915032679738</x:v>
      </x:c>
      <x:c r="G476" s="42" t="n">
        <x:f>$B$11</x:f>
        <x:v>100.53096491487338</x:v>
      </x:c>
      <x:c r="I476" t="n">
        <x:f>A476</x:f>
        <x:v>459</x:v>
      </x:c>
      <x:c r="J476" t="n">
        <x:f>F476</x:f>
        <x:v>96.20915032679738</x:v>
      </x:c>
      <x:c r="K476" t="n">
        <x:f>G476</x:f>
        <x:v>100.53096491487338</x:v>
      </x:c>
    </x:row>
    <x:row r="477">
      <x:c r="A477" t="n">
        <x:v>460</x:v>
      </x:c>
      <x:c r="B477" s="40" t="n">
        <x:v>0.5456333684311074</x:v>
      </x:c>
      <x:c r="C477" s="40" t="n">
        <x:v>0.1643986839487872</x:v>
      </x:c>
      <x:c r="D477" s="40" t="n">
        <x:v>2.5960205415349913</x:v>
      </x:c>
      <x:c r="E477" t="n">
        <x:f>--((B477^2/$B$4^2+C477^2/$B$5^2+D477^2/$B$6^2)&lt;=1)</x:f>
        <x:v>1</x:v>
      </x:c>
      <x:c r="F477" s="42" t="n">
        <x:f>$B$8*SUM($E$18:E477)/A477</x:f>
        <x:v>96.41739130434783</x:v>
      </x:c>
      <x:c r="G477" s="42" t="n">
        <x:f>$B$11</x:f>
        <x:v>100.53096491487338</x:v>
      </x:c>
      <x:c r="I477" t="n">
        <x:f>A477</x:f>
        <x:v>460</x:v>
      </x:c>
      <x:c r="J477" t="n">
        <x:f>F477</x:f>
        <x:v>96.41739130434783</x:v>
      </x:c>
      <x:c r="K477" t="n">
        <x:f>G477</x:f>
        <x:v>100.53096491487338</x:v>
      </x:c>
    </x:row>
    <x:row r="478">
      <x:c r="A478" t="n">
        <x:v>461</x:v>
      </x:c>
      <x:c r="B478" s="40" t="n">
        <x:v>0.2896525998345494</x:v>
      </x:c>
      <x:c r="C478" s="40" t="n">
        <x:v>2.237923292410242</x:v>
      </x:c>
      <x:c r="D478" s="40" t="n">
        <x:v>-0.6327064042350763</x:v>
      </x:c>
      <x:c r="E478" t="n">
        <x:f>--((B478^2/$B$4^2+C478^2/$B$5^2+D478^2/$B$6^2)&lt;=1)</x:f>
        <x:v>1</x:v>
      </x:c>
      <x:c r="F478" s="42" t="n">
        <x:f>$B$8*SUM($E$18:E478)/A478</x:f>
        <x:v>96.62472885032538</x:v>
      </x:c>
      <x:c r="G478" s="42" t="n">
        <x:f>$B$11</x:f>
        <x:v>100.53096491487338</x:v>
      </x:c>
      <x:c r="I478" t="n">
        <x:f>A478</x:f>
        <x:v>461</x:v>
      </x:c>
      <x:c r="J478" t="n">
        <x:f>F478</x:f>
        <x:v>96.62472885032538</x:v>
      </x:c>
      <x:c r="K478" t="n">
        <x:f>G478</x:f>
        <x:v>100.53096491487338</x:v>
      </x:c>
    </x:row>
    <x:row r="479">
      <x:c r="A479" t="n">
        <x:v>462</x:v>
      </x:c>
      <x:c r="B479" s="40" t="n">
        <x:v>-1.4194789813398012</x:v>
      </x:c>
      <x:c r="C479" s="40" t="n">
        <x:v>1.074309337727959</x:v>
      </x:c>
      <x:c r="D479" s="40" t="n">
        <x:v>-0.6819662067042014</x:v>
      </x:c>
      <x:c r="E479" t="n">
        <x:f>--((B479^2/$B$4^2+C479^2/$B$5^2+D479^2/$B$6^2)&lt;=1)</x:f>
        <x:v>1</x:v>
      </x:c>
      <x:c r="F479" s="42" t="n">
        <x:f>$B$8*SUM($E$18:E479)/A479</x:f>
        <x:v>96.83116883116882</x:v>
      </x:c>
      <x:c r="G479" s="42" t="n">
        <x:f>$B$11</x:f>
        <x:v>100.53096491487338</x:v>
      </x:c>
      <x:c r="I479" t="n">
        <x:f>A479</x:f>
        <x:v>462</x:v>
      </x:c>
      <x:c r="J479" t="n">
        <x:f>F479</x:f>
        <x:v>96.83116883116882</x:v>
      </x:c>
      <x:c r="K479" t="n">
        <x:f>G479</x:f>
        <x:v>100.53096491487338</x:v>
      </x:c>
    </x:row>
    <x:row r="480">
      <x:c r="A480" t="n">
        <x:v>463</x:v>
      </x:c>
      <x:c r="B480" s="40" t="n">
        <x:v>1.7840978142323802</x:v>
      </x:c>
      <x:c r="C480" s="40" t="n">
        <x:v>-2.4575515291686143</x:v>
      </x:c>
      <x:c r="D480" s="40" t="n">
        <x:v>-1.3826331321927539</x:v>
      </x:c>
      <x:c r="E480" t="n">
        <x:f>--((B480^2/$B$4^2+C480^2/$B$5^2+D480^2/$B$6^2)&lt;=1)</x:f>
        <x:v>0</x:v>
      </x:c>
      <x:c r="F480" s="42" t="n">
        <x:f>$B$8*SUM($E$18:E480)/A480</x:f>
        <x:v>96.62203023758099</x:v>
      </x:c>
      <x:c r="G480" s="42" t="n">
        <x:f>$B$11</x:f>
        <x:v>100.53096491487338</x:v>
      </x:c>
      <x:c r="I480" t="n">
        <x:f>A480</x:f>
        <x:v>463</x:v>
      </x:c>
      <x:c r="J480" t="n">
        <x:f>F480</x:f>
        <x:v>96.62203023758099</x:v>
      </x:c>
      <x:c r="K480" t="n">
        <x:f>G480</x:f>
        <x:v>100.53096491487338</x:v>
      </x:c>
    </x:row>
    <x:row r="481">
      <x:c r="A481" t="n">
        <x:v>464</x:v>
      </x:c>
      <x:c r="B481" s="40" t="n">
        <x:v>-0.7946294699411283</x:v>
      </x:c>
      <x:c r="C481" s="40" t="n">
        <x:v>0.5536497026664264</x:v>
      </x:c>
      <x:c r="D481" s="40" t="n">
        <x:v>3.7548311095886913</x:v>
      </x:c>
      <x:c r="E481" t="n">
        <x:f>--((B481^2/$B$4^2+C481^2/$B$5^2+D481^2/$B$6^2)&lt;=1)</x:f>
        <x:v>0</x:v>
      </x:c>
      <x:c r="F481" s="42" t="n">
        <x:f>$B$8*SUM($E$18:E481)/A481</x:f>
        <x:v>96.41379310344827</x:v>
      </x:c>
      <x:c r="G481" s="42" t="n">
        <x:f>$B$11</x:f>
        <x:v>100.53096491487338</x:v>
      </x:c>
      <x:c r="I481" t="n">
        <x:f>A481</x:f>
        <x:v>464</x:v>
      </x:c>
      <x:c r="J481" t="n">
        <x:f>F481</x:f>
        <x:v>96.41379310344827</x:v>
      </x:c>
      <x:c r="K481" t="n">
        <x:f>G481</x:f>
        <x:v>100.53096491487338</x:v>
      </x:c>
    </x:row>
    <x:row r="482">
      <x:c r="A482" t="n">
        <x:v>465</x:v>
      </x:c>
      <x:c r="B482" s="40" t="n">
        <x:v>0.3120688632301687</x:v>
      </x:c>
      <x:c r="C482" s="40" t="n">
        <x:v>-1.6695720741774063</x:v>
      </x:c>
      <x:c r="D482" s="40" t="n">
        <x:v>-2.6006643778342493</x:v>
      </x:c>
      <x:c r="E482" t="n">
        <x:f>--((B482^2/$B$4^2+C482^2/$B$5^2+D482^2/$B$6^2)&lt;=1)</x:f>
        <x:v>1</x:v>
      </x:c>
      <x:c r="F482" s="42" t="n">
        <x:f>$B$8*SUM($E$18:E482)/A482</x:f>
        <x:v>96.61935483870968</x:v>
      </x:c>
      <x:c r="G482" s="42" t="n">
        <x:f>$B$11</x:f>
        <x:v>100.53096491487338</x:v>
      </x:c>
      <x:c r="I482" t="n">
        <x:f>A482</x:f>
        <x:v>465</x:v>
      </x:c>
      <x:c r="J482" t="n">
        <x:f>F482</x:f>
        <x:v>96.61935483870968</x:v>
      </x:c>
      <x:c r="K482" t="n">
        <x:f>G482</x:f>
        <x:v>100.53096491487338</x:v>
      </x:c>
    </x:row>
    <x:row r="483">
      <x:c r="A483" t="n">
        <x:v>466</x:v>
      </x:c>
      <x:c r="B483" s="40" t="n">
        <x:v>0.7991037783562644</x:v>
      </x:c>
      <x:c r="C483" s="40" t="n">
        <x:v>1.4040993587323376</x:v>
      </x:c>
      <x:c r="D483" s="40" t="n">
        <x:v>-2.7895374281983107</x:v>
      </x:c>
      <x:c r="E483" t="n">
        <x:f>--((B483^2/$B$4^2+C483^2/$B$5^2+D483^2/$B$6^2)&lt;=1)</x:f>
        <x:v>1</x:v>
      </x:c>
      <x:c r="F483" s="42" t="n">
        <x:f>$B$8*SUM($E$18:E483)/A483</x:f>
        <x:v>96.82403433476395</x:v>
      </x:c>
      <x:c r="G483" s="42" t="n">
        <x:f>$B$11</x:f>
        <x:v>100.53096491487338</x:v>
      </x:c>
      <x:c r="I483" t="n">
        <x:f>A483</x:f>
        <x:v>466</x:v>
      </x:c>
      <x:c r="J483" t="n">
        <x:f>F483</x:f>
        <x:v>96.82403433476395</x:v>
      </x:c>
      <x:c r="K483" t="n">
        <x:f>G483</x:f>
        <x:v>100.53096491487338</x:v>
      </x:c>
    </x:row>
    <x:row r="484">
      <x:c r="A484" t="n">
        <x:v>467</x:v>
      </x:c>
      <x:c r="B484" s="40" t="n">
        <x:v>0.5969326209812356</x:v>
      </x:c>
      <x:c r="C484" s="40" t="n">
        <x:v>1.964645115052483</x:v>
      </x:c>
      <x:c r="D484" s="40" t="n">
        <x:v>-2.6757479876397587</x:v>
      </x:c>
      <x:c r="E484" t="n">
        <x:f>--((B484^2/$B$4^2+C484^2/$B$5^2+D484^2/$B$6^2)&lt;=1)</x:f>
        <x:v>1</x:v>
      </x:c>
      <x:c r="F484" s="42" t="n">
        <x:f>$B$8*SUM($E$18:E484)/A484</x:f>
        <x:v>97.02783725910064</x:v>
      </x:c>
      <x:c r="G484" s="42" t="n">
        <x:f>$B$11</x:f>
        <x:v>100.53096491487338</x:v>
      </x:c>
      <x:c r="I484" t="n">
        <x:f>A484</x:f>
        <x:v>467</x:v>
      </x:c>
      <x:c r="J484" t="n">
        <x:f>F484</x:f>
        <x:v>97.02783725910064</x:v>
      </x:c>
      <x:c r="K484" t="n">
        <x:f>G484</x:f>
        <x:v>100.53096491487338</x:v>
      </x:c>
    </x:row>
    <x:row r="485">
      <x:c r="A485" t="n">
        <x:v>468</x:v>
      </x:c>
      <x:c r="B485" s="40" t="n">
        <x:v>1.7623776387820738</x:v>
      </x:c>
      <x:c r="C485" s="40" t="n">
        <x:v>0.5607376355398399</x:v>
      </x:c>
      <x:c r="D485" s="40" t="n">
        <x:v>1.268219862806112</x:v>
      </x:c>
      <x:c r="E485" t="n">
        <x:f>--((B485^2/$B$4^2+C485^2/$B$5^2+D485^2/$B$6^2)&lt;=1)</x:f>
        <x:v>1</x:v>
      </x:c>
      <x:c r="F485" s="42" t="n">
        <x:f>$B$8*SUM($E$18:E485)/A485</x:f>
        <x:v>97.23076923076923</x:v>
      </x:c>
      <x:c r="G485" s="42" t="n">
        <x:f>$B$11</x:f>
        <x:v>100.53096491487338</x:v>
      </x:c>
      <x:c r="I485" t="n">
        <x:f>A485</x:f>
        <x:v>468</x:v>
      </x:c>
      <x:c r="J485" t="n">
        <x:f>F485</x:f>
        <x:v>97.23076923076923</x:v>
      </x:c>
      <x:c r="K485" t="n">
        <x:f>G485</x:f>
        <x:v>100.53096491487338</x:v>
      </x:c>
    </x:row>
    <x:row r="486">
      <x:c r="A486" t="n">
        <x:v>469</x:v>
      </x:c>
      <x:c r="B486" s="40" t="n">
        <x:v>-1.406244040319768</x:v>
      </x:c>
      <x:c r="C486" s="40" t="n">
        <x:v>0.5481756585102584</x:v>
      </x:c>
      <x:c r="D486" s="40" t="n">
        <x:v>3.935162549836787</x:v>
      </x:c>
      <x:c r="E486" t="n">
        <x:f>--((B486^2/$B$4^2+C486^2/$B$5^2+D486^2/$B$6^2)&lt;=1)</x:f>
        <x:v>0</x:v>
      </x:c>
      <x:c r="F486" s="42" t="n">
        <x:f>$B$8*SUM($E$18:E486)/A486</x:f>
        <x:v>97.02345415778251</x:v>
      </x:c>
      <x:c r="G486" s="42" t="n">
        <x:f>$B$11</x:f>
        <x:v>100.53096491487338</x:v>
      </x:c>
      <x:c r="I486" t="n">
        <x:f>A486</x:f>
        <x:v>469</x:v>
      </x:c>
      <x:c r="J486" t="n">
        <x:f>F486</x:f>
        <x:v>97.02345415778251</x:v>
      </x:c>
      <x:c r="K486" t="n">
        <x:f>G486</x:f>
        <x:v>100.53096491487338</x:v>
      </x:c>
    </x:row>
    <x:row r="487">
      <x:c r="A487" t="n">
        <x:v>470</x:v>
      </x:c>
      <x:c r="B487" s="40" t="n">
        <x:v>0.03341095378776826</x:v>
      </x:c>
      <x:c r="C487" s="40" t="n">
        <x:v>-0.9684513407351156</x:v>
      </x:c>
      <x:c r="D487" s="40" t="n">
        <x:v>-2.1161986367859624</x:v>
      </x:c>
      <x:c r="E487" t="n">
        <x:f>--((B487^2/$B$4^2+C487^2/$B$5^2+D487^2/$B$6^2)&lt;=1)</x:f>
        <x:v>1</x:v>
      </x:c>
      <x:c r="F487" s="42" t="n">
        <x:f>$B$8*SUM($E$18:E487)/A487</x:f>
        <x:v>97.22553191489362</x:v>
      </x:c>
      <x:c r="G487" s="42" t="n">
        <x:f>$B$11</x:f>
        <x:v>100.53096491487338</x:v>
      </x:c>
      <x:c r="I487" t="n">
        <x:f>A487</x:f>
        <x:v>470</x:v>
      </x:c>
      <x:c r="J487" t="n">
        <x:f>F487</x:f>
        <x:v>97.22553191489362</x:v>
      </x:c>
      <x:c r="K487" t="n">
        <x:f>G487</x:f>
        <x:v>100.53096491487338</x:v>
      </x:c>
    </x:row>
    <x:row r="488">
      <x:c r="A488" t="n">
        <x:v>471</x:v>
      </x:c>
      <x:c r="B488" s="40" t="n">
        <x:v>-0.3838624370369361</x:v>
      </x:c>
      <x:c r="C488" s="40" t="n">
        <x:v>-0.32249987303214356</x:v>
      </x:c>
      <x:c r="D488" s="40" t="n">
        <x:v>3.2449391765399023</x:v>
      </x:c>
      <x:c r="E488" t="n">
        <x:f>--((B488^2/$B$4^2+C488^2/$B$5^2+D488^2/$B$6^2)&lt;=1)</x:f>
        <x:v>1</x:v>
      </x:c>
      <x:c r="F488" s="42" t="n">
        <x:f>$B$8*SUM($E$18:E488)/A488</x:f>
        <x:v>97.4267515923567</x:v>
      </x:c>
      <x:c r="G488" s="42" t="n">
        <x:f>$B$11</x:f>
        <x:v>100.53096491487338</x:v>
      </x:c>
      <x:c r="I488" t="n">
        <x:f>A488</x:f>
        <x:v>471</x:v>
      </x:c>
      <x:c r="J488" t="n">
        <x:f>F488</x:f>
        <x:v>97.4267515923567</x:v>
      </x:c>
      <x:c r="K488" t="n">
        <x:f>G488</x:f>
        <x:v>100.53096491487338</x:v>
      </x:c>
    </x:row>
    <x:row r="489">
      <x:c r="A489" t="n">
        <x:v>472</x:v>
      </x:c>
      <x:c r="B489" s="40" t="n">
        <x:v>-0.10332508206952751</x:v>
      </x:c>
      <x:c r="C489" s="40" t="n">
        <x:v>2.184650122892073</x:v>
      </x:c>
      <x:c r="D489" s="40" t="n">
        <x:v>-1.7710675263346207</x:v>
      </x:c>
      <x:c r="E489" t="n">
        <x:f>--((B489^2/$B$4^2+C489^2/$B$5^2+D489^2/$B$6^2)&lt;=1)</x:f>
        <x:v>1</x:v>
      </x:c>
      <x:c r="F489" s="42" t="n">
        <x:f>$B$8*SUM($E$18:E489)/A489</x:f>
        <x:v>97.62711864406779</x:v>
      </x:c>
      <x:c r="G489" s="42" t="n">
        <x:f>$B$11</x:f>
        <x:v>100.53096491487338</x:v>
      </x:c>
      <x:c r="I489" t="n">
        <x:f>A489</x:f>
        <x:v>472</x:v>
      </x:c>
      <x:c r="J489" t="n">
        <x:f>F489</x:f>
        <x:v>97.62711864406779</x:v>
      </x:c>
      <x:c r="K489" t="n">
        <x:f>G489</x:f>
        <x:v>100.53096491487338</x:v>
      </x:c>
    </x:row>
    <x:row r="490">
      <x:c r="A490" t="n">
        <x:v>473</x:v>
      </x:c>
      <x:c r="B490" s="40" t="n">
        <x:v>-1.5231298952090215</x:v>
      </x:c>
      <x:c r="C490" s="40" t="n">
        <x:v>1.3399219858029392</x:v>
      </x:c>
      <x:c r="D490" s="40" t="n">
        <x:v>1.1831993610024014</x:v>
      </x:c>
      <x:c r="E490" t="n">
        <x:f>--((B490^2/$B$4^2+C490^2/$B$5^2+D490^2/$B$6^2)&lt;=1)</x:f>
        <x:v>1</x:v>
      </x:c>
      <x:c r="F490" s="42" t="n">
        <x:f>$B$8*SUM($E$18:E490)/A490</x:f>
        <x:v>97.82663847780127</x:v>
      </x:c>
      <x:c r="G490" s="42" t="n">
        <x:f>$B$11</x:f>
        <x:v>100.53096491487338</x:v>
      </x:c>
      <x:c r="I490" t="n">
        <x:f>A490</x:f>
        <x:v>473</x:v>
      </x:c>
      <x:c r="J490" t="n">
        <x:f>F490</x:f>
        <x:v>97.82663847780127</x:v>
      </x:c>
      <x:c r="K490" t="n">
        <x:f>G490</x:f>
        <x:v>100.53096491487338</x:v>
      </x:c>
    </x:row>
    <x:row r="491">
      <x:c r="A491" t="n">
        <x:v>474</x:v>
      </x:c>
      <x:c r="B491" s="40" t="n">
        <x:v>-1.4636215605089387</x:v>
      </x:c>
      <x:c r="C491" s="40" t="n">
        <x:v>0.11852195817505873</x:v>
      </x:c>
      <x:c r="D491" s="40" t="n">
        <x:v>-3.6760083845330582</x:v>
      </x:c>
      <x:c r="E491" t="n">
        <x:f>--((B491^2/$B$4^2+C491^2/$B$5^2+D491^2/$B$6^2)&lt;=1)</x:f>
        <x:v>0</x:v>
      </x:c>
      <x:c r="F491" s="42" t="n">
        <x:f>$B$8*SUM($E$18:E491)/A491</x:f>
        <x:v>97.62025316455696</x:v>
      </x:c>
      <x:c r="G491" s="42" t="n">
        <x:f>$B$11</x:f>
        <x:v>100.53096491487338</x:v>
      </x:c>
      <x:c r="I491" t="n">
        <x:f>A491</x:f>
        <x:v>474</x:v>
      </x:c>
      <x:c r="J491" t="n">
        <x:f>F491</x:f>
        <x:v>97.62025316455696</x:v>
      </x:c>
      <x:c r="K491" t="n">
        <x:f>G491</x:f>
        <x:v>100.53096491487338</x:v>
      </x:c>
    </x:row>
    <x:row r="492">
      <x:c r="A492" t="n">
        <x:v>475</x:v>
      </x:c>
      <x:c r="B492" s="40" t="n">
        <x:v>-0.8876978168749705</x:v>
      </x:c>
      <x:c r="C492" s="40" t="n">
        <x:v>-0.7906056825097743</x:v>
      </x:c>
      <x:c r="D492" s="40" t="n">
        <x:v>-0.03476820339048814</x:v>
      </x:c>
      <x:c r="E492" t="n">
        <x:f>--((B492^2/$B$4^2+C492^2/$B$5^2+D492^2/$B$6^2)&lt;=1)</x:f>
        <x:v>1</x:v>
      </x:c>
      <x:c r="F492" s="42" t="n">
        <x:f>$B$8*SUM($E$18:E492)/A492</x:f>
        <x:v>97.81894736842105</x:v>
      </x:c>
      <x:c r="G492" s="42" t="n">
        <x:f>$B$11</x:f>
        <x:v>100.53096491487338</x:v>
      </x:c>
      <x:c r="I492" t="n">
        <x:f>A492</x:f>
        <x:v>475</x:v>
      </x:c>
      <x:c r="J492" t="n">
        <x:f>F492</x:f>
        <x:v>97.81894736842105</x:v>
      </x:c>
      <x:c r="K492" t="n">
        <x:f>G492</x:f>
        <x:v>100.53096491487338</x:v>
      </x:c>
    </x:row>
    <x:row r="493">
      <x:c r="A493" t="n">
        <x:v>476</x:v>
      </x:c>
      <x:c r="B493" s="40" t="n">
        <x:v>-0.7811815849566748</x:v>
      </x:c>
      <x:c r="C493" s="40" t="n">
        <x:v>-2.6977215702686737</x:v>
      </x:c>
      <x:c r="D493" s="40" t="n">
        <x:v>1.2365597302318543</x:v>
      </x:c>
      <x:c r="E493" t="n">
        <x:f>--((B493^2/$B$4^2+C493^2/$B$5^2+D493^2/$B$6^2)&lt;=1)</x:f>
        <x:v>0</x:v>
      </x:c>
      <x:c r="F493" s="42" t="n">
        <x:f>$B$8*SUM($E$18:E493)/A493</x:f>
        <x:v>97.61344537815125</x:v>
      </x:c>
      <x:c r="G493" s="42" t="n">
        <x:f>$B$11</x:f>
        <x:v>100.53096491487338</x:v>
      </x:c>
      <x:c r="I493" t="n">
        <x:f>A493</x:f>
        <x:v>476</x:v>
      </x:c>
      <x:c r="J493" t="n">
        <x:f>F493</x:f>
        <x:v>97.61344537815125</x:v>
      </x:c>
      <x:c r="K493" t="n">
        <x:f>G493</x:f>
        <x:v>100.53096491487338</x:v>
      </x:c>
    </x:row>
    <x:row r="494">
      <x:c r="A494" t="n">
        <x:v>477</x:v>
      </x:c>
      <x:c r="B494" s="40" t="n">
        <x:v>-0.2883871452746001</x:v>
      </x:c>
      <x:c r="C494" s="40" t="n">
        <x:v>-2.1419555920416893</x:v>
      </x:c>
      <x:c r="D494" s="40" t="n">
        <x:v>0.29055821778102864</x:v>
      </x:c>
      <x:c r="E494" t="n">
        <x:f>--((B494^2/$B$4^2+C494^2/$B$5^2+D494^2/$B$6^2)&lt;=1)</x:f>
        <x:v>1</x:v>
      </x:c>
      <x:c r="F494" s="42" t="n">
        <x:f>$B$8*SUM($E$18:E494)/A494</x:f>
        <x:v>97.81132075471699</x:v>
      </x:c>
      <x:c r="G494" s="42" t="n">
        <x:f>$B$11</x:f>
        <x:v>100.53096491487338</x:v>
      </x:c>
      <x:c r="I494" t="n">
        <x:f>A494</x:f>
        <x:v>477</x:v>
      </x:c>
      <x:c r="J494" t="n">
        <x:f>F494</x:f>
        <x:v>97.81132075471699</x:v>
      </x:c>
      <x:c r="K494" t="n">
        <x:f>G494</x:f>
        <x:v>100.53096491487338</x:v>
      </x:c>
    </x:row>
    <x:row r="495">
      <x:c r="A495" t="n">
        <x:v>478</x:v>
      </x:c>
      <x:c r="B495" s="40" t="n">
        <x:v>0.4439501881465131</x:v>
      </x:c>
      <x:c r="C495" s="40" t="n">
        <x:v>-1.8418488627637761</x:v>
      </x:c>
      <x:c r="D495" s="40" t="n">
        <x:v>-2.097316920945671</x:v>
      </x:c>
      <x:c r="E495" t="n">
        <x:f>--((B495^2/$B$4^2+C495^2/$B$5^2+D495^2/$B$6^2)&lt;=1)</x:f>
        <x:v>1</x:v>
      </x:c>
      <x:c r="F495" s="42" t="n">
        <x:f>$B$8*SUM($E$18:E495)/A495</x:f>
        <x:v>98.00836820083683</x:v>
      </x:c>
      <x:c r="G495" s="42" t="n">
        <x:f>$B$11</x:f>
        <x:v>100.53096491487338</x:v>
      </x:c>
      <x:c r="I495" t="n">
        <x:f>A495</x:f>
        <x:v>478</x:v>
      </x:c>
      <x:c r="J495" t="n">
        <x:f>F495</x:f>
        <x:v>98.00836820083683</x:v>
      </x:c>
      <x:c r="K495" t="n">
        <x:f>G495</x:f>
        <x:v>100.53096491487338</x:v>
      </x:c>
    </x:row>
    <x:row r="496">
      <x:c r="A496" t="n">
        <x:v>479</x:v>
      </x:c>
      <x:c r="B496" s="40" t="n">
        <x:v>0.538516469673052</x:v>
      </x:c>
      <x:c r="C496" s="40" t="n">
        <x:v>-0.7596987404479516</x:v>
      </x:c>
      <x:c r="D496" s="40" t="n">
        <x:v>2.6279755861433243</x:v>
      </x:c>
      <x:c r="E496" t="n">
        <x:f>--((B496^2/$B$4^2+C496^2/$B$5^2+D496^2/$B$6^2)&lt;=1)</x:f>
        <x:v>1</x:v>
      </x:c>
      <x:c r="F496" s="42" t="n">
        <x:f>$B$8*SUM($E$18:E496)/A496</x:f>
        <x:v>98.20459290187891</x:v>
      </x:c>
      <x:c r="G496" s="42" t="n">
        <x:f>$B$11</x:f>
        <x:v>100.53096491487338</x:v>
      </x:c>
      <x:c r="I496" t="n">
        <x:f>A496</x:f>
        <x:v>479</x:v>
      </x:c>
      <x:c r="J496" t="n">
        <x:f>F496</x:f>
        <x:v>98.20459290187891</x:v>
      </x:c>
      <x:c r="K496" t="n">
        <x:f>G496</x:f>
        <x:v>100.53096491487338</x:v>
      </x:c>
    </x:row>
    <x:row r="497">
      <x:c r="A497" t="n">
        <x:v>480</x:v>
      </x:c>
      <x:c r="B497" s="40" t="n">
        <x:v>-0.35275641365771904</x:v>
      </x:c>
      <x:c r="C497" s="40" t="n">
        <x:v>2.6648618824576475</x:v>
      </x:c>
      <x:c r="D497" s="40" t="n">
        <x:v>3.7610920899059224</x:v>
      </x:c>
      <x:c r="E497" t="n">
        <x:f>--((B497^2/$B$4^2+C497^2/$B$5^2+D497^2/$B$6^2)&lt;=1)</x:f>
        <x:v>0</x:v>
      </x:c>
      <x:c r="F497" s="42" t="n">
        <x:f>$B$8*SUM($E$18:E497)/A497</x:f>
        <x:v>98</x:v>
      </x:c>
      <x:c r="G497" s="42" t="n">
        <x:f>$B$11</x:f>
        <x:v>100.53096491487338</x:v>
      </x:c>
      <x:c r="I497" t="n">
        <x:f>A497</x:f>
        <x:v>480</x:v>
      </x:c>
      <x:c r="J497" t="n">
        <x:f>F497</x:f>
        <x:v>98</x:v>
      </x:c>
      <x:c r="K497" t="n">
        <x:f>G497</x:f>
        <x:v>100.53096491487338</x:v>
      </x:c>
    </x:row>
    <x:row r="498">
      <x:c r="A498" t="n">
        <x:v>481</x:v>
      </x:c>
      <x:c r="B498" s="40" t="n">
        <x:v>-0.36486756228521156</x:v>
      </x:c>
      <x:c r="C498" s="40" t="n">
        <x:v>0.030920369152491745</x:v>
      </x:c>
      <x:c r="D498" s="40" t="n">
        <x:v>-0.32643123446347744</x:v>
      </x:c>
      <x:c r="E498" t="n">
        <x:f>--((B498^2/$B$4^2+C498^2/$B$5^2+D498^2/$B$6^2)&lt;=1)</x:f>
        <x:v>1</x:v>
      </x:c>
      <x:c r="F498" s="42" t="n">
        <x:f>$B$8*SUM($E$18:E498)/A498</x:f>
        <x:v>98.1954261954262</x:v>
      </x:c>
      <x:c r="G498" s="42" t="n">
        <x:f>$B$11</x:f>
        <x:v>100.53096491487338</x:v>
      </x:c>
      <x:c r="I498" t="n">
        <x:f>A498</x:f>
        <x:v>481</x:v>
      </x:c>
      <x:c r="J498" t="n">
        <x:f>F498</x:f>
        <x:v>98.1954261954262</x:v>
      </x:c>
      <x:c r="K498" t="n">
        <x:f>G498</x:f>
        <x:v>100.53096491487338</x:v>
      </x:c>
    </x:row>
    <x:row r="499">
      <x:c r="A499" t="n">
        <x:v>482</x:v>
      </x:c>
      <x:c r="B499" s="40" t="n">
        <x:v>-1.129485893212152</x:v>
      </x:c>
      <x:c r="C499" s="40" t="n">
        <x:v>-1.5909590204446136</x:v>
      </x:c>
      <x:c r="D499" s="40" t="n">
        <x:v>1.0873541215140294</x:v>
      </x:c>
      <x:c r="E499" t="n">
        <x:f>--((B499^2/$B$4^2+C499^2/$B$5^2+D499^2/$B$6^2)&lt;=1)</x:f>
        <x:v>1</x:v>
      </x:c>
      <x:c r="F499" s="42" t="n">
        <x:f>$B$8*SUM($E$18:E499)/A499</x:f>
        <x:v>98.39004149377594</x:v>
      </x:c>
      <x:c r="G499" s="42" t="n">
        <x:f>$B$11</x:f>
        <x:v>100.53096491487338</x:v>
      </x:c>
      <x:c r="I499" t="n">
        <x:f>A499</x:f>
        <x:v>482</x:v>
      </x:c>
      <x:c r="J499" t="n">
        <x:f>F499</x:f>
        <x:v>98.39004149377594</x:v>
      </x:c>
      <x:c r="K499" t="n">
        <x:f>G499</x:f>
        <x:v>100.53096491487338</x:v>
      </x:c>
    </x:row>
    <x:row r="500">
      <x:c r="A500" t="n">
        <x:v>483</x:v>
      </x:c>
      <x:c r="B500" s="40" t="n">
        <x:v>0.353224993636033</x:v>
      </x:c>
      <x:c r="C500" s="40" t="n">
        <x:v>-2.365499175230916</x:v>
      </x:c>
      <x:c r="D500" s="40" t="n">
        <x:v>2.3233061467645806</x:v>
      </x:c>
      <x:c r="E500" t="n">
        <x:f>--((B500^2/$B$4^2+C500^2/$B$5^2+D500^2/$B$6^2)&lt;=1)</x:f>
        <x:v>1</x:v>
      </x:c>
      <x:c r="F500" s="42" t="n">
        <x:f>$B$8*SUM($E$18:E500)/A500</x:f>
        <x:v>98.58385093167702</x:v>
      </x:c>
      <x:c r="G500" s="42" t="n">
        <x:f>$B$11</x:f>
        <x:v>100.53096491487338</x:v>
      </x:c>
      <x:c r="I500" t="n">
        <x:f>A500</x:f>
        <x:v>483</x:v>
      </x:c>
      <x:c r="J500" t="n">
        <x:f>F500</x:f>
        <x:v>98.58385093167702</x:v>
      </x:c>
      <x:c r="K500" t="n">
        <x:f>G500</x:f>
        <x:v>100.53096491487338</x:v>
      </x:c>
    </x:row>
    <x:row r="501">
      <x:c r="A501" t="n">
        <x:v>484</x:v>
      </x:c>
      <x:c r="B501" s="40" t="n">
        <x:v>-0.7318363547310485</x:v>
      </x:c>
      <x:c r="C501" s="40" t="n">
        <x:v>-0.9701668523822158</x:v>
      </x:c>
      <x:c r="D501" s="40" t="n">
        <x:v>-2.068087515025648</x:v>
      </x:c>
      <x:c r="E501" t="n">
        <x:f>--((B501^2/$B$4^2+C501^2/$B$5^2+D501^2/$B$6^2)&lt;=1)</x:f>
        <x:v>1</x:v>
      </x:c>
      <x:c r="F501" s="42" t="n">
        <x:f>$B$8*SUM($E$18:E501)/A501</x:f>
        <x:v>98.77685950413223</x:v>
      </x:c>
      <x:c r="G501" s="42" t="n">
        <x:f>$B$11</x:f>
        <x:v>100.53096491487338</x:v>
      </x:c>
      <x:c r="I501" t="n">
        <x:f>A501</x:f>
        <x:v>484</x:v>
      </x:c>
      <x:c r="J501" t="n">
        <x:f>F501</x:f>
        <x:v>98.77685950413223</x:v>
      </x:c>
      <x:c r="K501" t="n">
        <x:f>G501</x:f>
        <x:v>100.53096491487338</x:v>
      </x:c>
    </x:row>
    <x:row r="502">
      <x:c r="A502" t="n">
        <x:v>485</x:v>
      </x:c>
      <x:c r="B502" s="40" t="n">
        <x:v>-1.8557606628905452</x:v>
      </x:c>
      <x:c r="C502" s="40" t="n">
        <x:v>1.8943838133063409</x:v>
      </x:c>
      <x:c r="D502" s="40" t="n">
        <x:v>2.9156030554302834</x:v>
      </x:c>
      <x:c r="E502" t="n">
        <x:f>--((B502^2/$B$4^2+C502^2/$B$5^2+D502^2/$B$6^2)&lt;=1)</x:f>
        <x:v>0</x:v>
      </x:c>
      <x:c r="F502" s="42" t="n">
        <x:f>$B$8*SUM($E$18:E502)/A502</x:f>
        <x:v>98.57319587628866</x:v>
      </x:c>
      <x:c r="G502" s="42" t="n">
        <x:f>$B$11</x:f>
        <x:v>100.53096491487338</x:v>
      </x:c>
      <x:c r="I502" t="n">
        <x:f>A502</x:f>
        <x:v>485</x:v>
      </x:c>
      <x:c r="J502" t="n">
        <x:f>F502</x:f>
        <x:v>98.57319587628866</x:v>
      </x:c>
      <x:c r="K502" t="n">
        <x:f>G502</x:f>
        <x:v>100.53096491487338</x:v>
      </x:c>
    </x:row>
    <x:row r="503">
      <x:c r="A503" t="n">
        <x:v>486</x:v>
      </x:c>
      <x:c r="B503" s="40" t="n">
        <x:v>-0.32639982337255846</x:v>
      </x:c>
      <x:c r="C503" s="40" t="n">
        <x:v>-0.6999432395369523</x:v>
      </x:c>
      <x:c r="D503" s="40" t="n">
        <x:v>-1.7583927575200198</x:v>
      </x:c>
      <x:c r="E503" t="n">
        <x:f>--((B503^2/$B$4^2+C503^2/$B$5^2+D503^2/$B$6^2)&lt;=1)</x:f>
        <x:v>1</x:v>
      </x:c>
      <x:c r="F503" s="42" t="n">
        <x:f>$B$8*SUM($E$18:E503)/A503</x:f>
        <x:v>98.76543209876543</x:v>
      </x:c>
      <x:c r="G503" s="42" t="n">
        <x:f>$B$11</x:f>
        <x:v>100.53096491487338</x:v>
      </x:c>
      <x:c r="I503" t="n">
        <x:f>A503</x:f>
        <x:v>486</x:v>
      </x:c>
      <x:c r="J503" t="n">
        <x:f>F503</x:f>
        <x:v>98.76543209876543</x:v>
      </x:c>
      <x:c r="K503" t="n">
        <x:f>G503</x:f>
        <x:v>100.53096491487338</x:v>
      </x:c>
    </x:row>
    <x:row r="504">
      <x:c r="A504" t="n">
        <x:v>487</x:v>
      </x:c>
      <x:c r="B504" s="40" t="n">
        <x:v>-0.10346929963931872</x:v>
      </x:c>
      <x:c r="C504" s="40" t="n">
        <x:v>1.6350348361344809</x:v>
      </x:c>
      <x:c r="D504" s="40" t="n">
        <x:v>2.2066464281219105</x:v>
      </x:c>
      <x:c r="E504" t="n">
        <x:f>--((B504^2/$B$4^2+C504^2/$B$5^2+D504^2/$B$6^2)&lt;=1)</x:f>
        <x:v>1</x:v>
      </x:c>
      <x:c r="F504" s="42" t="n">
        <x:f>$B$8*SUM($E$18:E504)/A504</x:f>
        <x:v>98.95687885010267</x:v>
      </x:c>
      <x:c r="G504" s="42" t="n">
        <x:f>$B$11</x:f>
        <x:v>100.53096491487338</x:v>
      </x:c>
      <x:c r="I504" t="n">
        <x:f>A504</x:f>
        <x:v>487</x:v>
      </x:c>
      <x:c r="J504" t="n">
        <x:f>F504</x:f>
        <x:v>98.95687885010267</x:v>
      </x:c>
      <x:c r="K504" t="n">
        <x:f>G504</x:f>
        <x:v>100.53096491487338</x:v>
      </x:c>
    </x:row>
    <x:row r="505">
      <x:c r="A505" t="n">
        <x:v>488</x:v>
      </x:c>
      <x:c r="B505" s="40" t="n">
        <x:v>-1.097628527183156</x:v>
      </x:c>
      <x:c r="C505" s="40" t="n">
        <x:v>1.8162298567612734</x:v>
      </x:c>
      <x:c r="D505" s="40" t="n">
        <x:v>-3.1032061405886235</x:v>
      </x:c>
      <x:c r="E505" t="n">
        <x:f>--((B505^2/$B$4^2+C505^2/$B$5^2+D505^2/$B$6^2)&lt;=1)</x:f>
        <x:v>0</x:v>
      </x:c>
      <x:c r="F505" s="42" t="n">
        <x:f>$B$8*SUM($E$18:E505)/A505</x:f>
        <x:v>98.75409836065573</x:v>
      </x:c>
      <x:c r="G505" s="42" t="n">
        <x:f>$B$11</x:f>
        <x:v>100.53096491487338</x:v>
      </x:c>
      <x:c r="I505" t="n">
        <x:f>A505</x:f>
        <x:v>488</x:v>
      </x:c>
      <x:c r="J505" t="n">
        <x:f>F505</x:f>
        <x:v>98.75409836065573</x:v>
      </x:c>
      <x:c r="K505" t="n">
        <x:f>G505</x:f>
        <x:v>100.53096491487338</x:v>
      </x:c>
    </x:row>
    <x:row r="506">
      <x:c r="A506" t="n">
        <x:v>489</x:v>
      </x:c>
      <x:c r="B506" s="40" t="n">
        <x:v>0.2898317324884627</x:v>
      </x:c>
      <x:c r="C506" s="40" t="n">
        <x:v>-2.3350753818077754</x:v>
      </x:c>
      <x:c r="D506" s="40" t="n">
        <x:v>-1.6929063726866422</x:v>
      </x:c>
      <x:c r="E506" t="n">
        <x:f>--((B506^2/$B$4^2+C506^2/$B$5^2+D506^2/$B$6^2)&lt;=1)</x:f>
        <x:v>1</x:v>
      </x:c>
      <x:c r="F506" s="42" t="n">
        <x:f>$B$8*SUM($E$18:E506)/A506</x:f>
        <x:v>98.94478527607362</x:v>
      </x:c>
      <x:c r="G506" s="42" t="n">
        <x:f>$B$11</x:f>
        <x:v>100.53096491487338</x:v>
      </x:c>
      <x:c r="I506" t="n">
        <x:f>A506</x:f>
        <x:v>489</x:v>
      </x:c>
      <x:c r="J506" t="n">
        <x:f>F506</x:f>
        <x:v>98.94478527607362</x:v>
      </x:c>
      <x:c r="K506" t="n">
        <x:f>G506</x:f>
        <x:v>100.53096491487338</x:v>
      </x:c>
    </x:row>
    <x:row r="507">
      <x:c r="A507" t="n">
        <x:v>490</x:v>
      </x:c>
      <x:c r="B507" s="40" t="n">
        <x:v>0.26308760172768375</x:v>
      </x:c>
      <x:c r="C507" s="40" t="n">
        <x:v>0.6519585157607022</x:v>
      </x:c>
      <x:c r="D507" s="40" t="n">
        <x:v>0.26895947151894184</x:v>
      </x:c>
      <x:c r="E507" t="n">
        <x:f>--((B507^2/$B$4^2+C507^2/$B$5^2+D507^2/$B$6^2)&lt;=1)</x:f>
        <x:v>1</x:v>
      </x:c>
      <x:c r="F507" s="42" t="n">
        <x:f>$B$8*SUM($E$18:E507)/A507</x:f>
        <x:v>99.13469387755102</x:v>
      </x:c>
      <x:c r="G507" s="42" t="n">
        <x:f>$B$11</x:f>
        <x:v>100.53096491487338</x:v>
      </x:c>
      <x:c r="I507" t="n">
        <x:f>A507</x:f>
        <x:v>490</x:v>
      </x:c>
      <x:c r="J507" t="n">
        <x:f>F507</x:f>
        <x:v>99.13469387755102</x:v>
      </x:c>
      <x:c r="K507" t="n">
        <x:f>G507</x:f>
        <x:v>100.53096491487338</x:v>
      </x:c>
    </x:row>
    <x:row r="508">
      <x:c r="A508" t="n">
        <x:v>491</x:v>
      </x:c>
      <x:c r="B508" s="40" t="n">
        <x:v>0.8080087244414855</x:v>
      </x:c>
      <x:c r="C508" s="40" t="n">
        <x:v>2.7545763802266645</x:v>
      </x:c>
      <x:c r="D508" s="40" t="n">
        <x:v>0.1993767656345211</x:v>
      </x:c>
      <x:c r="E508" t="n">
        <x:f>--((B508^2/$B$4^2+C508^2/$B$5^2+D508^2/$B$6^2)&lt;=1)</x:f>
        <x:v>0</x:v>
      </x:c>
      <x:c r="F508" s="42" t="n">
        <x:f>$B$8*SUM($E$18:E508)/A508</x:f>
        <x:v>98.93279022403259</x:v>
      </x:c>
      <x:c r="G508" s="42" t="n">
        <x:f>$B$11</x:f>
        <x:v>100.53096491487338</x:v>
      </x:c>
      <x:c r="I508" t="n">
        <x:f>A508</x:f>
        <x:v>491</x:v>
      </x:c>
      <x:c r="J508" t="n">
        <x:f>F508</x:f>
        <x:v>98.93279022403259</x:v>
      </x:c>
      <x:c r="K508" t="n">
        <x:f>G508</x:f>
        <x:v>100.53096491487338</x:v>
      </x:c>
    </x:row>
    <x:row r="509">
      <x:c r="A509" t="n">
        <x:v>492</x:v>
      </x:c>
      <x:c r="B509" s="40" t="n">
        <x:v>0.5917939288048402</x:v>
      </x:c>
      <x:c r="C509" s="40" t="n">
        <x:v>-0.5871715505786765</x:v>
      </x:c>
      <x:c r="D509" s="40" t="n">
        <x:v>2.80344947589093</x:v>
      </x:c>
      <x:c r="E509" t="n">
        <x:f>--((B509^2/$B$4^2+C509^2/$B$5^2+D509^2/$B$6^2)&lt;=1)</x:f>
        <x:v>1</x:v>
      </x:c>
      <x:c r="F509" s="42" t="n">
        <x:f>$B$8*SUM($E$18:E509)/A509</x:f>
        <x:v>99.1219512195122</x:v>
      </x:c>
      <x:c r="G509" s="42" t="n">
        <x:f>$B$11</x:f>
        <x:v>100.53096491487338</x:v>
      </x:c>
      <x:c r="I509" t="n">
        <x:f>A509</x:f>
        <x:v>492</x:v>
      </x:c>
      <x:c r="J509" t="n">
        <x:f>F509</x:f>
        <x:v>99.1219512195122</x:v>
      </x:c>
      <x:c r="K509" t="n">
        <x:f>G509</x:f>
        <x:v>100.53096491487338</x:v>
      </x:c>
    </x:row>
    <x:row r="510">
      <x:c r="A510" t="n">
        <x:v>493</x:v>
      </x:c>
      <x:c r="B510" s="40" t="n">
        <x:v>0.6097322260841262</x:v>
      </x:c>
      <x:c r="C510" s="40" t="n">
        <x:v>-2.694335465981866</x:v>
      </x:c>
      <x:c r="D510" s="40" t="n">
        <x:v>3.9690180611088577</x:v>
      </x:c>
      <x:c r="E510" t="n">
        <x:f>--((B510^2/$B$4^2+C510^2/$B$5^2+D510^2/$B$6^2)&lt;=1)</x:f>
        <x:v>0</x:v>
      </x:c>
      <x:c r="F510" s="42" t="n">
        <x:f>$B$8*SUM($E$18:E510)/A510</x:f>
        <x:v>98.920892494929</x:v>
      </x:c>
      <x:c r="G510" s="42" t="n">
        <x:f>$B$11</x:f>
        <x:v>100.53096491487338</x:v>
      </x:c>
      <x:c r="I510" t="n">
        <x:f>A510</x:f>
        <x:v>493</x:v>
      </x:c>
      <x:c r="J510" t="n">
        <x:f>F510</x:f>
        <x:v>98.920892494929</x:v>
      </x:c>
      <x:c r="K510" t="n">
        <x:f>G510</x:f>
        <x:v>100.53096491487338</x:v>
      </x:c>
    </x:row>
    <x:row r="511">
      <x:c r="A511" t="n">
        <x:v>494</x:v>
      </x:c>
      <x:c r="B511" s="40" t="n">
        <x:v>-0.7351433927038276</x:v>
      </x:c>
      <x:c r="C511" s="40" t="n">
        <x:v>2.5398161415472718</x:v>
      </x:c>
      <x:c r="D511" s="40" t="n">
        <x:v>-3.142313233118875</x:v>
      </x:c>
      <x:c r="E511" t="n">
        <x:f>--((B511^2/$B$4^2+C511^2/$B$5^2+D511^2/$B$6^2)&lt;=1)</x:f>
        <x:v>0</x:v>
      </x:c>
      <x:c r="F511" s="42" t="n">
        <x:f>$B$8*SUM($E$18:E511)/A511</x:f>
        <x:v>98.72064777327935</x:v>
      </x:c>
      <x:c r="G511" s="42" t="n">
        <x:f>$B$11</x:f>
        <x:v>100.53096491487338</x:v>
      </x:c>
      <x:c r="I511" t="n">
        <x:f>A511</x:f>
        <x:v>494</x:v>
      </x:c>
      <x:c r="J511" t="n">
        <x:f>F511</x:f>
        <x:v>98.72064777327935</x:v>
      </x:c>
      <x:c r="K511" t="n">
        <x:f>G511</x:f>
        <x:v>100.53096491487338</x:v>
      </x:c>
    </x:row>
    <x:row r="512">
      <x:c r="A512" t="n">
        <x:v>495</x:v>
      </x:c>
      <x:c r="B512" s="40" t="n">
        <x:v>1.1497288879438154</x:v>
      </x:c>
      <x:c r="C512" s="40" t="n">
        <x:v>2.3019976894348977</x:v>
      </x:c>
      <x:c r="D512" s="40" t="n">
        <x:v>-1.8288949373997037</x:v>
      </x:c>
      <x:c r="E512" t="n">
        <x:f>--((B512^2/$B$4^2+C512^2/$B$5^2+D512^2/$B$6^2)&lt;=1)</x:f>
        <x:v>0</x:v>
      </x:c>
      <x:c r="F512" s="42" t="n">
        <x:f>$B$8*SUM($E$18:E512)/A512</x:f>
        <x:v>98.52121212121212</x:v>
      </x:c>
      <x:c r="G512" s="42" t="n">
        <x:f>$B$11</x:f>
        <x:v>100.53096491487338</x:v>
      </x:c>
      <x:c r="I512" t="n">
        <x:f>A512</x:f>
        <x:v>495</x:v>
      </x:c>
      <x:c r="J512" t="n">
        <x:f>F512</x:f>
        <x:v>98.52121212121212</x:v>
      </x:c>
      <x:c r="K512" t="n">
        <x:f>G512</x:f>
        <x:v>100.53096491487338</x:v>
      </x:c>
    </x:row>
    <x:row r="513">
      <x:c r="A513" t="n">
        <x:v>496</x:v>
      </x:c>
      <x:c r="B513" s="40" t="n">
        <x:v>0.19657753439871772</x:v>
      </x:c>
      <x:c r="C513" s="40" t="n">
        <x:v>0.13284868325401078</x:v>
      </x:c>
      <x:c r="D513" s="40" t="n">
        <x:v>-1.1392143182153935</x:v>
      </x:c>
      <x:c r="E513" t="n">
        <x:f>--((B513^2/$B$4^2+C513^2/$B$5^2+D513^2/$B$6^2)&lt;=1)</x:f>
        <x:v>1</x:v>
      </x:c>
      <x:c r="F513" s="42" t="n">
        <x:f>$B$8*SUM($E$18:E513)/A513</x:f>
        <x:v>98.70967741935483</x:v>
      </x:c>
      <x:c r="G513" s="42" t="n">
        <x:f>$B$11</x:f>
        <x:v>100.53096491487338</x:v>
      </x:c>
      <x:c r="I513" t="n">
        <x:f>A513</x:f>
        <x:v>496</x:v>
      </x:c>
      <x:c r="J513" t="n">
        <x:f>F513</x:f>
        <x:v>98.70967741935483</x:v>
      </x:c>
      <x:c r="K513" t="n">
        <x:f>G513</x:f>
        <x:v>100.53096491487338</x:v>
      </x:c>
    </x:row>
    <x:row r="514">
      <x:c r="A514" t="n">
        <x:v>497</x:v>
      </x:c>
      <x:c r="B514" s="40" t="n">
        <x:v>-0.27432721928043957</x:v>
      </x:c>
      <x:c r="C514" s="40" t="n">
        <x:v>0.3135187220640576</x:v>
      </x:c>
      <x:c r="D514" s="40" t="n">
        <x:v>-0.16865273751995957</x:v>
      </x:c>
      <x:c r="E514" t="n">
        <x:f>--((B514^2/$B$4^2+C514^2/$B$5^2+D514^2/$B$6^2)&lt;=1)</x:f>
        <x:v>1</x:v>
      </x:c>
      <x:c r="F514" s="42" t="n">
        <x:f>$B$8*SUM($E$18:E514)/A514</x:f>
        <x:v>98.897384305835</x:v>
      </x:c>
      <x:c r="G514" s="42" t="n">
        <x:f>$B$11</x:f>
        <x:v>100.53096491487338</x:v>
      </x:c>
      <x:c r="I514" t="n">
        <x:f>A514</x:f>
        <x:v>497</x:v>
      </x:c>
      <x:c r="J514" t="n">
        <x:f>F514</x:f>
        <x:v>98.897384305835</x:v>
      </x:c>
      <x:c r="K514" t="n">
        <x:f>G514</x:f>
        <x:v>100.53096491487338</x:v>
      </x:c>
    </x:row>
    <x:row r="515">
      <x:c r="A515" t="n">
        <x:v>498</x:v>
      </x:c>
      <x:c r="B515" s="40" t="n">
        <x:v>0.5040499237642284</x:v>
      </x:c>
      <x:c r="C515" s="40" t="n">
        <x:v>-1.7295533833432506</x:v>
      </x:c>
      <x:c r="D515" s="40" t="n">
        <x:v>-0.04872205476480751</x:v>
      </x:c>
      <x:c r="E515" t="n">
        <x:f>--((B515^2/$B$4^2+C515^2/$B$5^2+D515^2/$B$6^2)&lt;=1)</x:f>
        <x:v>1</x:v>
      </x:c>
      <x:c r="F515" s="42" t="n">
        <x:f>$B$8*SUM($E$18:E515)/A515</x:f>
        <x:v>99.08433734939759</x:v>
      </x:c>
      <x:c r="G515" s="42" t="n">
        <x:f>$B$11</x:f>
        <x:v>100.53096491487338</x:v>
      </x:c>
      <x:c r="I515" t="n">
        <x:f>A515</x:f>
        <x:v>498</x:v>
      </x:c>
      <x:c r="J515" t="n">
        <x:f>F515</x:f>
        <x:v>99.08433734939759</x:v>
      </x:c>
      <x:c r="K515" t="n">
        <x:f>G515</x:f>
        <x:v>100.53096491487338</x:v>
      </x:c>
    </x:row>
    <x:row r="516">
      <x:c r="A516" t="n">
        <x:v>499</x:v>
      </x:c>
      <x:c r="B516" s="40" t="n">
        <x:v>-0.5573706621989829</x:v>
      </x:c>
      <x:c r="C516" s="40" t="n">
        <x:v>1.9167045332678239</x:v>
      </x:c>
      <x:c r="D516" s="40" t="n">
        <x:v>2.849560505187333</x:v>
      </x:c>
      <x:c r="E516" t="n">
        <x:f>--((B516^2/$B$4^2+C516^2/$B$5^2+D516^2/$B$6^2)&lt;=1)</x:f>
        <x:v>1</x:v>
      </x:c>
      <x:c r="F516" s="42" t="n">
        <x:f>$B$8*SUM($E$18:E516)/A516</x:f>
        <x:v>99.27054108216433</x:v>
      </x:c>
      <x:c r="G516" s="42" t="n">
        <x:f>$B$11</x:f>
        <x:v>100.53096491487338</x:v>
      </x:c>
      <x:c r="I516" t="n">
        <x:f>A516</x:f>
        <x:v>499</x:v>
      </x:c>
      <x:c r="J516" t="n">
        <x:f>F516</x:f>
        <x:v>99.27054108216433</x:v>
      </x:c>
      <x:c r="K516" t="n">
        <x:f>G516</x:f>
        <x:v>100.53096491487338</x:v>
      </x:c>
    </x:row>
    <x:row r="517">
      <x:c r="A517" t="n">
        <x:v>500</x:v>
      </x:c>
      <x:c r="B517" s="40" t="n">
        <x:v>0.05095697842703295</x:v>
      </x:c>
      <x:c r="C517" s="40" t="n">
        <x:v>-0.008399769647241762</x:v>
      </x:c>
      <x:c r="D517" s="40" t="n">
        <x:v>2.164474422280798</x:v>
      </x:c>
      <x:c r="E517" t="n">
        <x:f>--((B517^2/$B$4^2+C517^2/$B$5^2+D517^2/$B$6^2)&lt;=1)</x:f>
        <x:v>1</x:v>
      </x:c>
      <x:c r="F517" s="42" t="n">
        <x:f>$B$8*SUM($E$18:E517)/A517</x:f>
        <x:v>99.456</x:v>
      </x:c>
      <x:c r="G517" s="42" t="n">
        <x:f>$B$11</x:f>
        <x:v>100.53096491487338</x:v>
      </x:c>
      <x:c r="I517" t="n">
        <x:f>A517</x:f>
        <x:v>500</x:v>
      </x:c>
      <x:c r="J517" t="n">
        <x:f>F517</x:f>
        <x:v>99.456</x:v>
      </x:c>
      <x:c r="K517" t="n">
        <x:f>G517</x:f>
        <x:v>100.53096491487338</x:v>
      </x:c>
    </x:row>
    <x:row r="518">
      <x:c r="A518" t="n">
        <x:v>501</x:v>
      </x:c>
      <x:c r="B518" s="40" t="n">
        <x:v>0.9468227539288812</x:v>
      </x:c>
      <x:c r="C518" s="40" t="n">
        <x:v>-2.796733229144661</x:v>
      </x:c>
      <x:c r="D518" s="40" t="n">
        <x:v>-3.8491873676963735</x:v>
      </x:c>
      <x:c r="E518" t="n">
        <x:f>--((B518^2/$B$4^2+C518^2/$B$5^2+D518^2/$B$6^2)&lt;=1)</x:f>
        <x:v>0</x:v>
      </x:c>
      <x:c r="F518" s="42" t="n">
        <x:f>$B$8*SUM($E$18:E518)/A518</x:f>
        <x:v>99.25748502994011</x:v>
      </x:c>
      <x:c r="G518" s="42" t="n">
        <x:f>$B$11</x:f>
        <x:v>100.53096491487338</x:v>
      </x:c>
      <x:c r="I518" t="n">
        <x:f>A518</x:f>
        <x:v>501</x:v>
      </x:c>
      <x:c r="J518" t="n">
        <x:f>F518</x:f>
        <x:v>99.25748502994011</x:v>
      </x:c>
      <x:c r="K518" t="n">
        <x:f>G518</x:f>
        <x:v>100.53096491487338</x:v>
      </x:c>
    </x:row>
    <x:row r="519">
      <x:c r="A519" t="n">
        <x:v>502</x:v>
      </x:c>
      <x:c r="B519" s="40" t="n">
        <x:v>1.5456115468948308</x:v>
      </x:c>
      <x:c r="C519" s="40" t="n">
        <x:v>1.0980897386939867</x:v>
      </x:c>
      <x:c r="D519" s="40" t="n">
        <x:v>-0.3598259153344969</x:v>
      </x:c>
      <x:c r="E519" t="n">
        <x:f>--((B519^2/$B$4^2+C519^2/$B$5^2+D519^2/$B$6^2)&lt;=1)</x:f>
        <x:v>1</x:v>
      </x:c>
      <x:c r="F519" s="42" t="n">
        <x:f>$B$8*SUM($E$18:E519)/A519</x:f>
        <x:v>99.44223107569721</x:v>
      </x:c>
      <x:c r="G519" s="42" t="n">
        <x:f>$B$11</x:f>
        <x:v>100.53096491487338</x:v>
      </x:c>
      <x:c r="I519" t="n">
        <x:f>A519</x:f>
        <x:v>502</x:v>
      </x:c>
      <x:c r="J519" t="n">
        <x:f>F519</x:f>
        <x:v>99.44223107569721</x:v>
      </x:c>
      <x:c r="K519" t="n">
        <x:f>G519</x:f>
        <x:v>100.53096491487338</x:v>
      </x:c>
    </x:row>
    <x:row r="520">
      <x:c r="A520" t="n">
        <x:v>503</x:v>
      </x:c>
      <x:c r="B520" s="40" t="n">
        <x:v>1.6842287891807666</x:v>
      </x:c>
      <x:c r="C520" s="40" t="n">
        <x:v>2.702977618816236</x:v>
      </x:c>
      <x:c r="D520" s="40" t="n">
        <x:v>0.9445907059527103</x:v>
      </x:c>
      <x:c r="E520" t="n">
        <x:f>--((B520^2/$B$4^2+C520^2/$B$5^2+D520^2/$B$6^2)&lt;=1)</x:f>
        <x:v>0</x:v>
      </x:c>
      <x:c r="F520" s="42" t="n">
        <x:f>$B$8*SUM($E$18:E520)/A520</x:f>
        <x:v>99.24453280318092</x:v>
      </x:c>
      <x:c r="G520" s="42" t="n">
        <x:f>$B$11</x:f>
        <x:v>100.53096491487338</x:v>
      </x:c>
      <x:c r="I520" t="n">
        <x:f>A520</x:f>
        <x:v>503</x:v>
      </x:c>
      <x:c r="J520" t="n">
        <x:f>F520</x:f>
        <x:v>99.24453280318092</x:v>
      </x:c>
      <x:c r="K520" t="n">
        <x:f>G520</x:f>
        <x:v>100.53096491487338</x:v>
      </x:c>
    </x:row>
    <x:row r="521">
      <x:c r="A521" t="n">
        <x:v>504</x:v>
      </x:c>
      <x:c r="B521" s="40" t="n">
        <x:v>0.014531700732396846</x:v>
      </x:c>
      <x:c r="C521" s="40" t="n">
        <x:v>1.9749029420745021</x:v>
      </x:c>
      <x:c r="D521" s="40" t="n">
        <x:v>-0.31683530325581266</x:v>
      </x:c>
      <x:c r="E521" t="n">
        <x:f>--((B521^2/$B$4^2+C521^2/$B$5^2+D521^2/$B$6^2)&lt;=1)</x:f>
        <x:v>1</x:v>
      </x:c>
      <x:c r="F521" s="42" t="n">
        <x:f>$B$8*SUM($E$18:E521)/A521</x:f>
        <x:v>99.42857142857143</x:v>
      </x:c>
      <x:c r="G521" s="42" t="n">
        <x:f>$B$11</x:f>
        <x:v>100.53096491487338</x:v>
      </x:c>
      <x:c r="I521" t="n">
        <x:f>A521</x:f>
        <x:v>504</x:v>
      </x:c>
      <x:c r="J521" t="n">
        <x:f>F521</x:f>
        <x:v>99.42857142857143</x:v>
      </x:c>
      <x:c r="K521" t="n">
        <x:f>G521</x:f>
        <x:v>100.53096491487338</x:v>
      </x:c>
    </x:row>
    <x:row r="522">
      <x:c r="A522" t="n">
        <x:v>505</x:v>
      </x:c>
      <x:c r="B522" s="40" t="n">
        <x:v>0.08110045896227636</x:v>
      </x:c>
      <x:c r="C522" s="40" t="n">
        <x:v>-1.3368111587367613</x:v>
      </x:c>
      <x:c r="D522" s="40" t="n">
        <x:v>-2.9548379517943815</x:v>
      </x:c>
      <x:c r="E522" t="n">
        <x:f>--((B522^2/$B$4^2+C522^2/$B$5^2+D522^2/$B$6^2)&lt;=1)</x:f>
        <x:v>1</x:v>
      </x:c>
      <x:c r="F522" s="42" t="n">
        <x:f>$B$8*SUM($E$18:E522)/A522</x:f>
        <x:v>99.61188118811882</x:v>
      </x:c>
      <x:c r="G522" s="42" t="n">
        <x:f>$B$11</x:f>
        <x:v>100.53096491487338</x:v>
      </x:c>
      <x:c r="I522" t="n">
        <x:f>A522</x:f>
        <x:v>505</x:v>
      </x:c>
      <x:c r="J522" t="n">
        <x:f>F522</x:f>
        <x:v>99.61188118811882</x:v>
      </x:c>
      <x:c r="K522" t="n">
        <x:f>G522</x:f>
        <x:v>100.53096491487338</x:v>
      </x:c>
    </x:row>
    <x:row r="523">
      <x:c r="A523" t="n">
        <x:v>506</x:v>
      </x:c>
      <x:c r="B523" s="40" t="n">
        <x:v>1.1994816430553459</x:v>
      </x:c>
      <x:c r="C523" s="40" t="n">
        <x:v>-2.680049490399956</x:v>
      </x:c>
      <x:c r="D523" s="40" t="n">
        <x:v>-0.8202073304748145</x:v>
      </x:c>
      <x:c r="E523" t="n">
        <x:f>--((B523^2/$B$4^2+C523^2/$B$5^2+D523^2/$B$6^2)&lt;=1)</x:f>
        <x:v>0</x:v>
      </x:c>
      <x:c r="F523" s="42" t="n">
        <x:f>$B$8*SUM($E$18:E523)/A523</x:f>
        <x:v>99.41501976284584</x:v>
      </x:c>
      <x:c r="G523" s="42" t="n">
        <x:f>$B$11</x:f>
        <x:v>100.53096491487338</x:v>
      </x:c>
      <x:c r="I523" t="n">
        <x:f>A523</x:f>
        <x:v>506</x:v>
      </x:c>
      <x:c r="J523" t="n">
        <x:f>F523</x:f>
        <x:v>99.41501976284584</x:v>
      </x:c>
      <x:c r="K523" t="n">
        <x:f>G523</x:f>
        <x:v>100.53096491487338</x:v>
      </x:c>
    </x:row>
    <x:row r="524">
      <x:c r="A524" t="n">
        <x:v>507</x:v>
      </x:c>
      <x:c r="B524" s="40" t="n">
        <x:v>-0.742197233023195</x:v>
      </x:c>
      <x:c r="C524" s="40" t="n">
        <x:v>2.642108475229083</x:v>
      </x:c>
      <x:c r="D524" s="40" t="n">
        <x:v>-0.7067544389621112</x:v>
      </x:c>
      <x:c r="E524" t="n">
        <x:f>--((B524^2/$B$4^2+C524^2/$B$5^2+D524^2/$B$6^2)&lt;=1)</x:f>
        <x:v>1</x:v>
      </x:c>
      <x:c r="F524" s="42" t="n">
        <x:f>$B$8*SUM($E$18:E524)/A524</x:f>
        <x:v>99.59763313609467</x:v>
      </x:c>
      <x:c r="G524" s="42" t="n">
        <x:f>$B$11</x:f>
        <x:v>100.53096491487338</x:v>
      </x:c>
      <x:c r="I524" t="n">
        <x:f>A524</x:f>
        <x:v>507</x:v>
      </x:c>
      <x:c r="J524" t="n">
        <x:f>F524</x:f>
        <x:v>99.59763313609467</x:v>
      </x:c>
      <x:c r="K524" t="n">
        <x:f>G524</x:f>
        <x:v>100.53096491487338</x:v>
      </x:c>
    </x:row>
    <x:row r="525">
      <x:c r="A525" t="n">
        <x:v>508</x:v>
      </x:c>
      <x:c r="B525" s="40" t="n">
        <x:v>1.3495294493802743</x:v>
      </x:c>
      <x:c r="C525" s="40" t="n">
        <x:v>2.622376349278209</x:v>
      </x:c>
      <x:c r="D525" s="40" t="n">
        <x:v>-2.49827262040193</x:v>
      </x:c>
      <x:c r="E525" t="n">
        <x:f>--((B525^2/$B$4^2+C525^2/$B$5^2+D525^2/$B$6^2)&lt;=1)</x:f>
        <x:v>0</x:v>
      </x:c>
      <x:c r="F525" s="42" t="n">
        <x:f>$B$8*SUM($E$18:E525)/A525</x:f>
        <x:v>99.4015748031496</x:v>
      </x:c>
      <x:c r="G525" s="42" t="n">
        <x:f>$B$11</x:f>
        <x:v>100.53096491487338</x:v>
      </x:c>
      <x:c r="I525" t="n">
        <x:f>A525</x:f>
        <x:v>508</x:v>
      </x:c>
      <x:c r="J525" t="n">
        <x:f>F525</x:f>
        <x:v>99.4015748031496</x:v>
      </x:c>
      <x:c r="K525" t="n">
        <x:f>G525</x:f>
        <x:v>100.53096491487338</x:v>
      </x:c>
    </x:row>
    <x:row r="526">
      <x:c r="A526" t="n">
        <x:v>509</x:v>
      </x:c>
      <x:c r="B526" s="40" t="n">
        <x:v>-0.02343341393030629</x:v>
      </x:c>
      <x:c r="C526" s="40" t="n">
        <x:v>0.19449191827721624</x:v>
      </x:c>
      <x:c r="D526" s="40" t="n">
        <x:v>2.0504569157676276</x:v>
      </x:c>
      <x:c r="E526" t="n">
        <x:f>--((B526^2/$B$4^2+C526^2/$B$5^2+D526^2/$B$6^2)&lt;=1)</x:f>
        <x:v>1</x:v>
      </x:c>
      <x:c r="F526" s="42" t="n">
        <x:f>$B$8*SUM($E$18:E526)/A526</x:f>
        <x:v>99.58349705304519</x:v>
      </x:c>
      <x:c r="G526" s="42" t="n">
        <x:f>$B$11</x:f>
        <x:v>100.53096491487338</x:v>
      </x:c>
      <x:c r="I526" t="n">
        <x:f>A526</x:f>
        <x:v>509</x:v>
      </x:c>
      <x:c r="J526" t="n">
        <x:f>F526</x:f>
        <x:v>99.58349705304519</x:v>
      </x:c>
      <x:c r="K526" t="n">
        <x:f>G526</x:f>
        <x:v>100.53096491487338</x:v>
      </x:c>
    </x:row>
    <x:row r="527">
      <x:c r="A527" t="n">
        <x:v>510</x:v>
      </x:c>
      <x:c r="B527" s="40" t="n">
        <x:v>-1.5365731026589264</x:v>
      </x:c>
      <x:c r="C527" s="40" t="n">
        <x:v>0.8539044700292107</x:v>
      </x:c>
      <x:c r="D527" s="40" t="n">
        <x:v>-1.4287945588601856</x:v>
      </x:c>
      <x:c r="E527" t="n">
        <x:f>--((B527^2/$B$4^2+C527^2/$B$5^2+D527^2/$B$6^2)&lt;=1)</x:f>
        <x:v>1</x:v>
      </x:c>
      <x:c r="F527" s="42" t="n">
        <x:f>$B$8*SUM($E$18:E527)/A527</x:f>
        <x:v>99.76470588235294</x:v>
      </x:c>
      <x:c r="G527" s="42" t="n">
        <x:f>$B$11</x:f>
        <x:v>100.53096491487338</x:v>
      </x:c>
      <x:c r="I527" t="n">
        <x:f>A527</x:f>
        <x:v>510</x:v>
      </x:c>
      <x:c r="J527" t="n">
        <x:f>F527</x:f>
        <x:v>99.76470588235294</x:v>
      </x:c>
      <x:c r="K527" t="n">
        <x:f>G527</x:f>
        <x:v>100.53096491487338</x:v>
      </x:c>
    </x:row>
    <x:row r="528">
      <x:c r="A528" t="n">
        <x:v>511</x:v>
      </x:c>
      <x:c r="B528" s="40" t="n">
        <x:v>-1.7117634117082252</x:v>
      </x:c>
      <x:c r="C528" s="40" t="n">
        <x:v>-0.22439963573515032</x:v>
      </x:c>
      <x:c r="D528" s="40" t="n">
        <x:v>0.7118983245489297</x:v>
      </x:c>
      <x:c r="E528" t="n">
        <x:f>--((B528^2/$B$4^2+C528^2/$B$5^2+D528^2/$B$6^2)&lt;=1)</x:f>
        <x:v>1</x:v>
      </x:c>
      <x:c r="F528" s="42" t="n">
        <x:f>$B$8*SUM($E$18:E528)/A528</x:f>
        <x:v>99.94520547945206</x:v>
      </x:c>
      <x:c r="G528" s="42" t="n">
        <x:f>$B$11</x:f>
        <x:v>100.53096491487338</x:v>
      </x:c>
      <x:c r="I528" t="n">
        <x:f>A528</x:f>
        <x:v>511</x:v>
      </x:c>
      <x:c r="J528" t="n">
        <x:f>F528</x:f>
        <x:v>99.94520547945206</x:v>
      </x:c>
      <x:c r="K528" t="n">
        <x:f>G528</x:f>
        <x:v>100.53096491487338</x:v>
      </x:c>
    </x:row>
    <x:row r="529">
      <x:c r="A529" t="n">
        <x:v>512</x:v>
      </x:c>
      <x:c r="B529" s="40" t="n">
        <x:v>1.3679728441578525</x:v>
      </x:c>
      <x:c r="C529" s="40" t="n">
        <x:v>-0.481407797407448</x:v>
      </x:c>
      <x:c r="D529" s="40" t="n">
        <x:v>0.12584144767014038</x:v>
      </x:c>
      <x:c r="E529" t="n">
        <x:f>--((B529^2/$B$4^2+C529^2/$B$5^2+D529^2/$B$6^2)&lt;=1)</x:f>
        <x:v>1</x:v>
      </x:c>
      <x:c r="F529" s="42" t="n">
        <x:f>$B$8*SUM($E$18:E529)/A529</x:f>
        <x:v>100.125</x:v>
      </x:c>
      <x:c r="G529" s="42" t="n">
        <x:f>$B$11</x:f>
        <x:v>100.53096491487338</x:v>
      </x:c>
      <x:c r="I529" t="n">
        <x:f>A529</x:f>
        <x:v>512</x:v>
      </x:c>
      <x:c r="J529" t="n">
        <x:f>F529</x:f>
        <x:v>100.125</x:v>
      </x:c>
      <x:c r="K529" t="n">
        <x:f>G529</x:f>
        <x:v>100.53096491487338</x:v>
      </x:c>
    </x:row>
    <x:row r="530">
      <x:c r="A530" t="n">
        <x:v>513</x:v>
      </x:c>
      <x:c r="B530" s="40" t="n">
        <x:v>-1.7777283323724884</x:v>
      </x:c>
      <x:c r="C530" s="40" t="n">
        <x:v>-2.283309384427798</x:v>
      </x:c>
      <x:c r="D530" s="40" t="n">
        <x:v>3.01941663373111</x:v>
      </x:c>
      <x:c r="E530" t="n">
        <x:f>--((B530^2/$B$4^2+C530^2/$B$5^2+D530^2/$B$6^2)&lt;=1)</x:f>
        <x:v>0</x:v>
      </x:c>
      <x:c r="F530" s="42" t="n">
        <x:f>$B$8*SUM($E$18:E530)/A530</x:f>
        <x:v>99.9298245614035</x:v>
      </x:c>
      <x:c r="G530" s="42" t="n">
        <x:f>$B$11</x:f>
        <x:v>100.53096491487338</x:v>
      </x:c>
      <x:c r="I530" t="n">
        <x:f>A530</x:f>
        <x:v>513</x:v>
      </x:c>
      <x:c r="J530" t="n">
        <x:f>F530</x:f>
        <x:v>99.9298245614035</x:v>
      </x:c>
      <x:c r="K530" t="n">
        <x:f>G530</x:f>
        <x:v>100.53096491487338</x:v>
      </x:c>
    </x:row>
    <x:row r="531">
      <x:c r="A531" t="n">
        <x:v>514</x:v>
      </x:c>
      <x:c r="B531" s="40" t="n">
        <x:v>-0.8775542554653764</x:v>
      </x:c>
      <x:c r="C531" s="40" t="n">
        <x:v>-2.419482609833424</x:v>
      </x:c>
      <x:c r="D531" s="40" t="n">
        <x:v>-3.0238805450972945</x:v>
      </x:c>
      <x:c r="E531" t="n">
        <x:f>--((B531^2/$B$4^2+C531^2/$B$5^2+D531^2/$B$6^2)&lt;=1)</x:f>
        <x:v>0</x:v>
      </x:c>
      <x:c r="F531" s="42" t="n">
        <x:f>$B$8*SUM($E$18:E531)/A531</x:f>
        <x:v>99.73540856031128</x:v>
      </x:c>
      <x:c r="G531" s="42" t="n">
        <x:f>$B$11</x:f>
        <x:v>100.53096491487338</x:v>
      </x:c>
      <x:c r="I531" t="n">
        <x:f>A531</x:f>
        <x:v>514</x:v>
      </x:c>
      <x:c r="J531" t="n">
        <x:f>F531</x:f>
        <x:v>99.73540856031128</x:v>
      </x:c>
      <x:c r="K531" t="n">
        <x:f>G531</x:f>
        <x:v>100.53096491487338</x:v>
      </x:c>
    </x:row>
    <x:row r="532">
      <x:c r="A532" t="n">
        <x:v>515</x:v>
      </x:c>
      <x:c r="B532" s="40" t="n">
        <x:v>-0.6634798379938167</x:v>
      </x:c>
      <x:c r="C532" s="40" t="n">
        <x:v>-1.6036071199428752</x:v>
      </x:c>
      <x:c r="D532" s="40" t="n">
        <x:v>-3.085895933972319</x:v>
      </x:c>
      <x:c r="E532" t="n">
        <x:f>--((B532^2/$B$4^2+C532^2/$B$5^2+D532^2/$B$6^2)&lt;=1)</x:f>
        <x:v>1</x:v>
      </x:c>
      <x:c r="F532" s="42" t="n">
        <x:f>$B$8*SUM($E$18:E532)/A532</x:f>
        <x:v>99.91456310679612</x:v>
      </x:c>
      <x:c r="G532" s="42" t="n">
        <x:f>$B$11</x:f>
        <x:v>100.53096491487338</x:v>
      </x:c>
      <x:c r="I532" t="n">
        <x:f>A532</x:f>
        <x:v>515</x:v>
      </x:c>
      <x:c r="J532" t="n">
        <x:f>F532</x:f>
        <x:v>99.91456310679612</x:v>
      </x:c>
      <x:c r="K532" t="n">
        <x:f>G532</x:f>
        <x:v>100.53096491487338</x:v>
      </x:c>
    </x:row>
    <x:row r="533">
      <x:c r="A533" t="n">
        <x:v>516</x:v>
      </x:c>
      <x:c r="B533" s="40" t="n">
        <x:v>-1.3080222192336248</x:v>
      </x:c>
      <x:c r="C533" s="40" t="n">
        <x:v>2.019844478439266</x:v>
      </x:c>
      <x:c r="D533" s="40" t="n">
        <x:v>-1.5974426470158738</x:v>
      </x:c>
      <x:c r="E533" t="n">
        <x:f>--((B533^2/$B$4^2+C533^2/$B$5^2+D533^2/$B$6^2)&lt;=1)</x:f>
        <x:v>0</x:v>
      </x:c>
      <x:c r="F533" s="42" t="n">
        <x:f>$B$8*SUM($E$18:E533)/A533</x:f>
        <x:v>99.72093023255815</x:v>
      </x:c>
      <x:c r="G533" s="42" t="n">
        <x:f>$B$11</x:f>
        <x:v>100.53096491487338</x:v>
      </x:c>
      <x:c r="I533" t="n">
        <x:f>A533</x:f>
        <x:v>516</x:v>
      </x:c>
      <x:c r="J533" t="n">
        <x:f>F533</x:f>
        <x:v>99.72093023255815</x:v>
      </x:c>
      <x:c r="K533" t="n">
        <x:f>G533</x:f>
        <x:v>100.53096491487338</x:v>
      </x:c>
    </x:row>
    <x:row r="534">
      <x:c r="A534" t="n">
        <x:v>517</x:v>
      </x:c>
      <x:c r="B534" s="40" t="n">
        <x:v>-0.7444265207920431</x:v>
      </x:c>
      <x:c r="C534" s="40" t="n">
        <x:v>-2.12500619558592</x:v>
      </x:c>
      <x:c r="D534" s="40" t="n">
        <x:v>-0.5502802549933197</x:v>
      </x:c>
      <x:c r="E534" t="n">
        <x:f>--((B534^2/$B$4^2+C534^2/$B$5^2+D534^2/$B$6^2)&lt;=1)</x:f>
        <x:v>1</x:v>
      </x:c>
      <x:c r="F534" s="42" t="n">
        <x:f>$B$8*SUM($E$18:E534)/A534</x:f>
        <x:v>99.89941972920697</x:v>
      </x:c>
      <x:c r="G534" s="42" t="n">
        <x:f>$B$11</x:f>
        <x:v>100.53096491487338</x:v>
      </x:c>
      <x:c r="I534" t="n">
        <x:f>A534</x:f>
        <x:v>517</x:v>
      </x:c>
      <x:c r="J534" t="n">
        <x:f>F534</x:f>
        <x:v>99.89941972920697</x:v>
      </x:c>
      <x:c r="K534" t="n">
        <x:f>G534</x:f>
        <x:v>100.53096491487338</x:v>
      </x:c>
    </x:row>
    <x:row r="535">
      <x:c r="A535" t="n">
        <x:v>518</x:v>
      </x:c>
      <x:c r="B535" s="40" t="n">
        <x:v>0.9707702669003426</x:v>
      </x:c>
      <x:c r="C535" s="40" t="n">
        <x:v>-1.6398080885117357</x:v>
      </x:c>
      <x:c r="D535" s="40" t="n">
        <x:v>-1.6116620099828838</x:v>
      </x:c>
      <x:c r="E535" t="n">
        <x:f>--((B535^2/$B$4^2+C535^2/$B$5^2+D535^2/$B$6^2)&lt;=1)</x:f>
        <x:v>1</x:v>
      </x:c>
      <x:c r="F535" s="42" t="n">
        <x:f>$B$8*SUM($E$18:E535)/A535</x:f>
        <x:v>100.07722007722008</x:v>
      </x:c>
      <x:c r="G535" s="42" t="n">
        <x:f>$B$11</x:f>
        <x:v>100.53096491487338</x:v>
      </x:c>
      <x:c r="I535" t="n">
        <x:f>A535</x:f>
        <x:v>518</x:v>
      </x:c>
      <x:c r="J535" t="n">
        <x:f>F535</x:f>
        <x:v>100.07722007722008</x:v>
      </x:c>
      <x:c r="K535" t="n">
        <x:f>G535</x:f>
        <x:v>100.53096491487338</x:v>
      </x:c>
    </x:row>
    <x:row r="536">
      <x:c r="A536" t="n">
        <x:v>519</x:v>
      </x:c>
      <x:c r="B536" s="40" t="n">
        <x:v>-1.941268625759717</x:v>
      </x:c>
      <x:c r="C536" s="40" t="n">
        <x:v>0.29168435593324515</x:v>
      </x:c>
      <x:c r="D536" s="40" t="n">
        <x:v>2.1054966591619504</x:v>
      </x:c>
      <x:c r="E536" t="n">
        <x:f>--((B536^2/$B$4^2+C536^2/$B$5^2+D536^2/$B$6^2)&lt;=1)</x:f>
        <x:v>0</x:v>
      </x:c>
      <x:c r="F536" s="42" t="n">
        <x:f>$B$8*SUM($E$18:E536)/A536</x:f>
        <x:v>99.88439306358381</x:v>
      </x:c>
      <x:c r="G536" s="42" t="n">
        <x:f>$B$11</x:f>
        <x:v>100.53096491487338</x:v>
      </x:c>
      <x:c r="I536" t="n">
        <x:f>A536</x:f>
        <x:v>519</x:v>
      </x:c>
      <x:c r="J536" t="n">
        <x:f>F536</x:f>
        <x:v>99.88439306358381</x:v>
      </x:c>
      <x:c r="K536" t="n">
        <x:f>G536</x:f>
        <x:v>100.53096491487338</x:v>
      </x:c>
    </x:row>
    <x:row r="537">
      <x:c r="A537" t="n">
        <x:v>520</x:v>
      </x:c>
      <x:c r="B537" s="40" t="n">
        <x:v>1.3086936980827457</x:v>
      </x:c>
      <x:c r="C537" s="40" t="n">
        <x:v>-1.7092126915303536</x:v>
      </x:c>
      <x:c r="D537" s="40" t="n">
        <x:v>-2.0378732551256027</x:v>
      </x:c>
      <x:c r="E537" t="n">
        <x:f>--((B537^2/$B$4^2+C537^2/$B$5^2+D537^2/$B$6^2)&lt;=1)</x:f>
        <x:v>0</x:v>
      </x:c>
      <x:c r="F537" s="42" t="n">
        <x:f>$B$8*SUM($E$18:E537)/A537</x:f>
        <x:v>99.6923076923077</x:v>
      </x:c>
      <x:c r="G537" s="42" t="n">
        <x:f>$B$11</x:f>
        <x:v>100.53096491487338</x:v>
      </x:c>
      <x:c r="I537" t="n">
        <x:f>A537</x:f>
        <x:v>520</x:v>
      </x:c>
      <x:c r="J537" t="n">
        <x:f>F537</x:f>
        <x:v>99.6923076923077</x:v>
      </x:c>
      <x:c r="K537" t="n">
        <x:f>G537</x:f>
        <x:v>100.53096491487338</x:v>
      </x:c>
    </x:row>
    <x:row r="538">
      <x:c r="A538" t="n">
        <x:v>521</x:v>
      </x:c>
      <x:c r="B538" s="40" t="n">
        <x:v>1.4261920942982327</x:v>
      </x:c>
      <x:c r="C538" s="40" t="n">
        <x:v>-2.0207598916932774</x:v>
      </x:c>
      <x:c r="D538" s="40" t="n">
        <x:v>-3.321802057822042</x:v>
      </x:c>
      <x:c r="E538" t="n">
        <x:f>--((B538^2/$B$4^2+C538^2/$B$5^2+D538^2/$B$6^2)&lt;=1)</x:f>
        <x:v>0</x:v>
      </x:c>
      <x:c r="F538" s="42" t="n">
        <x:f>$B$8*SUM($E$18:E538)/A538</x:f>
        <x:v>99.50095969289828</x:v>
      </x:c>
      <x:c r="G538" s="42" t="n">
        <x:f>$B$11</x:f>
        <x:v>100.53096491487338</x:v>
      </x:c>
      <x:c r="I538" t="n">
        <x:f>A538</x:f>
        <x:v>521</x:v>
      </x:c>
      <x:c r="J538" t="n">
        <x:f>F538</x:f>
        <x:v>99.50095969289828</x:v>
      </x:c>
      <x:c r="K538" t="n">
        <x:f>G538</x:f>
        <x:v>100.53096491487338</x:v>
      </x:c>
    </x:row>
    <x:row r="539">
      <x:c r="A539" t="n">
        <x:v>522</x:v>
      </x:c>
      <x:c r="B539" s="40" t="n">
        <x:v>-0.5109537072338073</x:v>
      </x:c>
      <x:c r="C539" s="40" t="n">
        <x:v>0.37989745018777343</x:v>
      </x:c>
      <x:c r="D539" s="40" t="n">
        <x:v>-0.6896015209268196</x:v>
      </x:c>
      <x:c r="E539" t="n">
        <x:f>--((B539^2/$B$4^2+C539^2/$B$5^2+D539^2/$B$6^2)&lt;=1)</x:f>
        <x:v>1</x:v>
      </x:c>
      <x:c r="F539" s="42" t="n">
        <x:f>$B$8*SUM($E$18:E539)/A539</x:f>
        <x:v>99.67816091954023</x:v>
      </x:c>
      <x:c r="G539" s="42" t="n">
        <x:f>$B$11</x:f>
        <x:v>100.53096491487338</x:v>
      </x:c>
      <x:c r="I539" t="n">
        <x:f>A539</x:f>
        <x:v>522</x:v>
      </x:c>
      <x:c r="J539" t="n">
        <x:f>F539</x:f>
        <x:v>99.67816091954023</x:v>
      </x:c>
      <x:c r="K539" t="n">
        <x:f>G539</x:f>
        <x:v>100.53096491487338</x:v>
      </x:c>
    </x:row>
    <x:row r="540">
      <x:c r="A540" t="n">
        <x:v>523</x:v>
      </x:c>
      <x:c r="B540" s="40" t="n">
        <x:v>-1.3855484037574608</x:v>
      </x:c>
      <x:c r="C540" s="40" t="n">
        <x:v>-0.7914403740203069</x:v>
      </x:c>
      <x:c r="D540" s="40" t="n">
        <x:v>2.187034305107872</x:v>
      </x:c>
      <x:c r="E540" t="n">
        <x:f>--((B540^2/$B$4^2+C540^2/$B$5^2+D540^2/$B$6^2)&lt;=1)</x:f>
        <x:v>1</x:v>
      </x:c>
      <x:c r="F540" s="42" t="n">
        <x:f>$B$8*SUM($E$18:E540)/A540</x:f>
        <x:v>99.85468451242829</x:v>
      </x:c>
      <x:c r="G540" s="42" t="n">
        <x:f>$B$11</x:f>
        <x:v>100.53096491487338</x:v>
      </x:c>
      <x:c r="I540" t="n">
        <x:f>A540</x:f>
        <x:v>523</x:v>
      </x:c>
      <x:c r="J540" t="n">
        <x:f>F540</x:f>
        <x:v>99.85468451242829</x:v>
      </x:c>
      <x:c r="K540" t="n">
        <x:f>G540</x:f>
        <x:v>100.53096491487338</x:v>
      </x:c>
    </x:row>
    <x:row r="541">
      <x:c r="A541" t="n">
        <x:v>524</x:v>
      </x:c>
      <x:c r="B541" s="40" t="n">
        <x:v>0.40336163178032347</x:v>
      </x:c>
      <x:c r="C541" s="40" t="n">
        <x:v>0.7569557150428152</x:v>
      </x:c>
      <x:c r="D541" s="40" t="n">
        <x:v>2.8044955486939305</x:v>
      </x:c>
      <x:c r="E541" t="n">
        <x:f>--((B541^2/$B$4^2+C541^2/$B$5^2+D541^2/$B$6^2)&lt;=1)</x:f>
        <x:v>1</x:v>
      </x:c>
      <x:c r="F541" s="42" t="n">
        <x:f>$B$8*SUM($E$18:E541)/A541</x:f>
        <x:v>100.03053435114504</x:v>
      </x:c>
      <x:c r="G541" s="42" t="n">
        <x:f>$B$11</x:f>
        <x:v>100.53096491487338</x:v>
      </x:c>
      <x:c r="I541" t="n">
        <x:f>A541</x:f>
        <x:v>524</x:v>
      </x:c>
      <x:c r="J541" t="n">
        <x:f>F541</x:f>
        <x:v>100.03053435114504</x:v>
      </x:c>
      <x:c r="K541" t="n">
        <x:f>G541</x:f>
        <x:v>100.53096491487338</x:v>
      </x:c>
    </x:row>
    <x:row r="542">
      <x:c r="A542" t="n">
        <x:v>525</x:v>
      </x:c>
      <x:c r="B542" s="40" t="n">
        <x:v>-1.5213097765404227</x:v>
      </x:c>
      <x:c r="C542" s="40" t="n">
        <x:v>2.4732320424520573</x:v>
      </x:c>
      <x:c r="D542" s="40" t="n">
        <x:v>1.8667587869068063</x:v>
      </x:c>
      <x:c r="E542" t="n">
        <x:f>--((B542^2/$B$4^2+C542^2/$B$5^2+D542^2/$B$6^2)&lt;=1)</x:f>
        <x:v>0</x:v>
      </x:c>
      <x:c r="F542" s="42" t="n">
        <x:f>$B$8*SUM($E$18:E542)/A542</x:f>
        <x:v>99.84</x:v>
      </x:c>
      <x:c r="G542" s="42" t="n">
        <x:f>$B$11</x:f>
        <x:v>100.53096491487338</x:v>
      </x:c>
      <x:c r="I542" t="n">
        <x:f>A542</x:f>
        <x:v>525</x:v>
      </x:c>
      <x:c r="J542" t="n">
        <x:f>F542</x:f>
        <x:v>99.84</x:v>
      </x:c>
      <x:c r="K542" t="n">
        <x:f>G542</x:f>
        <x:v>100.53096491487338</x:v>
      </x:c>
    </x:row>
    <x:row r="543">
      <x:c r="A543" t="n">
        <x:v>526</x:v>
      </x:c>
      <x:c r="B543" s="40" t="n">
        <x:v>-0.54032255568699</x:v>
      </x:c>
      <x:c r="C543" s="40" t="n">
        <x:v>-2.094041211389594</x:v>
      </x:c>
      <x:c r="D543" s="40" t="n">
        <x:v>0.4630934279979524</x:v>
      </x:c>
      <x:c r="E543" t="n">
        <x:f>--((B543^2/$B$4^2+C543^2/$B$5^2+D543^2/$B$6^2)&lt;=1)</x:f>
        <x:v>1</x:v>
      </x:c>
      <x:c r="F543" s="42" t="n">
        <x:f>$B$8*SUM($E$18:E543)/A543</x:f>
        <x:v>100.01520912547528</x:v>
      </x:c>
      <x:c r="G543" s="42" t="n">
        <x:f>$B$11</x:f>
        <x:v>100.53096491487338</x:v>
      </x:c>
      <x:c r="I543" t="n">
        <x:f>A543</x:f>
        <x:v>526</x:v>
      </x:c>
      <x:c r="J543" t="n">
        <x:f>F543</x:f>
        <x:v>100.01520912547528</x:v>
      </x:c>
      <x:c r="K543" t="n">
        <x:f>G543</x:f>
        <x:v>100.53096491487338</x:v>
      </x:c>
    </x:row>
    <x:row r="544">
      <x:c r="A544" t="n">
        <x:v>527</x:v>
      </x:c>
      <x:c r="B544" s="40" t="n">
        <x:v>1.8337167236038896</x:v>
      </x:c>
      <x:c r="C544" s="40" t="n">
        <x:v>2.480601958878383</x:v>
      </x:c>
      <x:c r="D544" s="40" t="n">
        <x:v>1.7935336139934135</x:v>
      </x:c>
      <x:c r="E544" t="n">
        <x:f>--((B544^2/$B$4^2+C544^2/$B$5^2+D544^2/$B$6^2)&lt;=1)</x:f>
        <x:v>0</x:v>
      </x:c>
      <x:c r="F544" s="42" t="n">
        <x:f>$B$8*SUM($E$18:E544)/A544</x:f>
        <x:v>99.82542694497154</x:v>
      </x:c>
      <x:c r="G544" s="42" t="n">
        <x:f>$B$11</x:f>
        <x:v>100.53096491487338</x:v>
      </x:c>
      <x:c r="I544" t="n">
        <x:f>A544</x:f>
        <x:v>527</x:v>
      </x:c>
      <x:c r="J544" t="n">
        <x:f>F544</x:f>
        <x:v>99.82542694497154</x:v>
      </x:c>
      <x:c r="K544" t="n">
        <x:f>G544</x:f>
        <x:v>100.53096491487338</x:v>
      </x:c>
    </x:row>
    <x:row r="545">
      <x:c r="A545" t="n">
        <x:v>528</x:v>
      </x:c>
      <x:c r="B545" s="40" t="n">
        <x:v>1.9818578903345485</x:v>
      </x:c>
      <x:c r="C545" s="40" t="n">
        <x:v>2.4149398045375117</x:v>
      </x:c>
      <x:c r="D545" s="40" t="n">
        <x:v>1.451116282430891</x:v>
      </x:c>
      <x:c r="E545" t="n">
        <x:f>--((B545^2/$B$4^2+C545^2/$B$5^2+D545^2/$B$6^2)&lt;=1)</x:f>
        <x:v>0</x:v>
      </x:c>
      <x:c r="F545" s="42" t="n">
        <x:f>$B$8*SUM($E$18:E545)/A545</x:f>
        <x:v>99.63636363636364</x:v>
      </x:c>
      <x:c r="G545" s="42" t="n">
        <x:f>$B$11</x:f>
        <x:v>100.53096491487338</x:v>
      </x:c>
      <x:c r="I545" t="n">
        <x:f>A545</x:f>
        <x:v>528</x:v>
      </x:c>
      <x:c r="J545" t="n">
        <x:f>F545</x:f>
        <x:v>99.63636363636364</x:v>
      </x:c>
      <x:c r="K545" t="n">
        <x:f>G545</x:f>
        <x:v>100.53096491487338</x:v>
      </x:c>
    </x:row>
    <x:row r="546">
      <x:c r="A546" t="n">
        <x:v>529</x:v>
      </x:c>
      <x:c r="B546" s="40" t="n">
        <x:v>1.0884195654183424</x:v>
      </x:c>
      <x:c r="C546" s="40" t="n">
        <x:v>1.9745255000154174</x:v>
      </x:c>
      <x:c r="D546" s="40" t="n">
        <x:v>-2.1250669400395132</x:v>
      </x:c>
      <x:c r="E546" t="n">
        <x:f>--((B546^2/$B$4^2+C546^2/$B$5^2+D546^2/$B$6^2)&lt;=1)</x:f>
        <x:v>0</x:v>
      </x:c>
      <x:c r="F546" s="42" t="n">
        <x:f>$B$8*SUM($E$18:E546)/A546</x:f>
        <x:v>99.44801512287334</x:v>
      </x:c>
      <x:c r="G546" s="42" t="n">
        <x:f>$B$11</x:f>
        <x:v>100.53096491487338</x:v>
      </x:c>
      <x:c r="I546" t="n">
        <x:f>A546</x:f>
        <x:v>529</x:v>
      </x:c>
      <x:c r="J546" t="n">
        <x:f>F546</x:f>
        <x:v>99.44801512287334</x:v>
      </x:c>
      <x:c r="K546" t="n">
        <x:f>G546</x:f>
        <x:v>100.53096491487338</x:v>
      </x:c>
    </x:row>
    <x:row r="547">
      <x:c r="A547" t="n">
        <x:v>530</x:v>
      </x:c>
      <x:c r="B547" s="40" t="n">
        <x:v>-0.7561539603169352</x:v>
      </x:c>
      <x:c r="C547" s="40" t="n">
        <x:v>0.7877155038365111</x:v>
      </x:c>
      <x:c r="D547" s="40" t="n">
        <x:v>0.4060711376255499</x:v>
      </x:c>
      <x:c r="E547" t="n">
        <x:f>--((B547^2/$B$4^2+C547^2/$B$5^2+D547^2/$B$6^2)&lt;=1)</x:f>
        <x:v>1</x:v>
      </x:c>
      <x:c r="F547" s="42" t="n">
        <x:f>$B$8*SUM($E$18:E547)/A547</x:f>
        <x:v>99.62264150943396</x:v>
      </x:c>
      <x:c r="G547" s="42" t="n">
        <x:f>$B$11</x:f>
        <x:v>100.53096491487338</x:v>
      </x:c>
      <x:c r="I547" t="n">
        <x:f>A547</x:f>
        <x:v>530</x:v>
      </x:c>
      <x:c r="J547" t="n">
        <x:f>F547</x:f>
        <x:v>99.62264150943396</x:v>
      </x:c>
      <x:c r="K547" t="n">
        <x:f>G547</x:f>
        <x:v>100.53096491487338</x:v>
      </x:c>
    </x:row>
    <x:row r="548">
      <x:c r="A548" t="n">
        <x:v>531</x:v>
      </x:c>
      <x:c r="B548" s="40" t="n">
        <x:v>0.75066019666437</x:v>
      </x:c>
      <x:c r="C548" s="40" t="n">
        <x:v>0.7208799447932845</x:v>
      </x:c>
      <x:c r="D548" s="40" t="n">
        <x:v>2.164874661107456</x:v>
      </x:c>
      <x:c r="E548" t="n">
        <x:f>--((B548^2/$B$4^2+C548^2/$B$5^2+D548^2/$B$6^2)&lt;=1)</x:f>
        <x:v>1</x:v>
      </x:c>
      <x:c r="F548" s="42" t="n">
        <x:f>$B$8*SUM($E$18:E548)/A548</x:f>
        <x:v>99.79661016949153</x:v>
      </x:c>
      <x:c r="G548" s="42" t="n">
        <x:f>$B$11</x:f>
        <x:v>100.53096491487338</x:v>
      </x:c>
      <x:c r="I548" t="n">
        <x:f>A548</x:f>
        <x:v>531</x:v>
      </x:c>
      <x:c r="J548" t="n">
        <x:f>F548</x:f>
        <x:v>99.79661016949153</x:v>
      </x:c>
      <x:c r="K548" t="n">
        <x:f>G548</x:f>
        <x:v>100.53096491487338</x:v>
      </x:c>
    </x:row>
    <x:row r="549">
      <x:c r="A549" t="n">
        <x:v>532</x:v>
      </x:c>
      <x:c r="B549" s="40" t="n">
        <x:v>0.8216254619360508</x:v>
      </x:c>
      <x:c r="C549" s="40" t="n">
        <x:v>0.8352759596190094</x:v>
      </x:c>
      <x:c r="D549" s="40" t="n">
        <x:v>-1.4630347049988943</x:v>
      </x:c>
      <x:c r="E549" t="n">
        <x:f>--((B549^2/$B$4^2+C549^2/$B$5^2+D549^2/$B$6^2)&lt;=1)</x:f>
        <x:v>1</x:v>
      </x:c>
      <x:c r="F549" s="42" t="n">
        <x:f>$B$8*SUM($E$18:E549)/A549</x:f>
        <x:v>99.96992481203007</x:v>
      </x:c>
      <x:c r="G549" s="42" t="n">
        <x:f>$B$11</x:f>
        <x:v>100.53096491487338</x:v>
      </x:c>
      <x:c r="I549" t="n">
        <x:f>A549</x:f>
        <x:v>532</x:v>
      </x:c>
      <x:c r="J549" t="n">
        <x:f>F549</x:f>
        <x:v>99.96992481203007</x:v>
      </x:c>
      <x:c r="K549" t="n">
        <x:f>G549</x:f>
        <x:v>100.53096491487338</x:v>
      </x:c>
    </x:row>
    <x:row r="550">
      <x:c r="A550" t="n">
        <x:v>533</x:v>
      </x:c>
      <x:c r="B550" s="40" t="n">
        <x:v>-0.448633219345401</x:v>
      </x:c>
      <x:c r="C550" s="40" t="n">
        <x:v>1.142973307306879</x:v>
      </x:c>
      <x:c r="D550" s="40" t="n">
        <x:v>1.2317851737354513</x:v>
      </x:c>
      <x:c r="E550" t="n">
        <x:f>--((B550^2/$B$4^2+C550^2/$B$5^2+D550^2/$B$6^2)&lt;=1)</x:f>
        <x:v>1</x:v>
      </x:c>
      <x:c r="F550" s="42" t="n">
        <x:f>$B$8*SUM($E$18:E550)/A550</x:f>
        <x:v>100.14258911819887</x:v>
      </x:c>
      <x:c r="G550" s="42" t="n">
        <x:f>$B$11</x:f>
        <x:v>100.53096491487338</x:v>
      </x:c>
      <x:c r="I550" t="n">
        <x:f>A550</x:f>
        <x:v>533</x:v>
      </x:c>
      <x:c r="J550" t="n">
        <x:f>F550</x:f>
        <x:v>100.14258911819887</x:v>
      </x:c>
      <x:c r="K550" t="n">
        <x:f>G550</x:f>
        <x:v>100.53096491487338</x:v>
      </x:c>
    </x:row>
    <x:row r="551">
      <x:c r="A551" t="n">
        <x:v>534</x:v>
      </x:c>
      <x:c r="B551" s="40" t="n">
        <x:v>0.5635545383446376</x:v>
      </x:c>
      <x:c r="C551" s="40" t="n">
        <x:v>-2.9011067964230577</x:v>
      </x:c>
      <x:c r="D551" s="40" t="n">
        <x:v>-0.14815657984961206</x:v>
      </x:c>
      <x:c r="E551" t="n">
        <x:f>--((B551^2/$B$4^2+C551^2/$B$5^2+D551^2/$B$6^2)&lt;=1)</x:f>
        <x:v>0</x:v>
      </x:c>
      <x:c r="F551" s="42" t="n">
        <x:f>$B$8*SUM($E$18:E551)/A551</x:f>
        <x:v>99.95505617977528</x:v>
      </x:c>
      <x:c r="G551" s="42" t="n">
        <x:f>$B$11</x:f>
        <x:v>100.53096491487338</x:v>
      </x:c>
      <x:c r="I551" t="n">
        <x:f>A551</x:f>
        <x:v>534</x:v>
      </x:c>
      <x:c r="J551" t="n">
        <x:f>F551</x:f>
        <x:v>99.95505617977528</x:v>
      </x:c>
      <x:c r="K551" t="n">
        <x:f>G551</x:f>
        <x:v>100.53096491487338</x:v>
      </x:c>
    </x:row>
    <x:row r="552">
      <x:c r="A552" t="n">
        <x:v>535</x:v>
      </x:c>
      <x:c r="B552" s="40" t="n">
        <x:v>-1.957089420097295</x:v>
      </x:c>
      <x:c r="C552" s="40" t="n">
        <x:v>2.748555474963898</x:v>
      </x:c>
      <x:c r="D552" s="40" t="n">
        <x:v>0.02527080756015998</x:v>
      </x:c>
      <x:c r="E552" t="n">
        <x:f>--((B552^2/$B$4^2+C552^2/$B$5^2+D552^2/$B$6^2)&lt;=1)</x:f>
        <x:v>0</x:v>
      </x:c>
      <x:c r="F552" s="42" t="n">
        <x:f>$B$8*SUM($E$18:E552)/A552</x:f>
        <x:v>99.76822429906542</x:v>
      </x:c>
      <x:c r="G552" s="42" t="n">
        <x:f>$B$11</x:f>
        <x:v>100.53096491487338</x:v>
      </x:c>
      <x:c r="I552" t="n">
        <x:f>A552</x:f>
        <x:v>535</x:v>
      </x:c>
      <x:c r="J552" t="n">
        <x:f>F552</x:f>
        <x:v>99.76822429906542</x:v>
      </x:c>
      <x:c r="K552" t="n">
        <x:f>G552</x:f>
        <x:v>100.53096491487338</x:v>
      </x:c>
    </x:row>
    <x:row r="553">
      <x:c r="A553" t="n">
        <x:v>536</x:v>
      </x:c>
      <x:c r="B553" s="40" t="n">
        <x:v>-1.1637693655910342</x:v>
      </x:c>
      <x:c r="C553" s="40" t="n">
        <x:v>0.5136225687934788</x:v>
      </x:c>
      <x:c r="D553" s="40" t="n">
        <x:v>-3.279559697742722</x:v>
      </x:c>
      <x:c r="E553" t="n">
        <x:f>--((B553^2/$B$4^2+C553^2/$B$5^2+D553^2/$B$6^2)&lt;=1)</x:f>
        <x:v>0</x:v>
      </x:c>
      <x:c r="F553" s="42" t="n">
        <x:f>$B$8*SUM($E$18:E553)/A553</x:f>
        <x:v>99.58208955223881</x:v>
      </x:c>
      <x:c r="G553" s="42" t="n">
        <x:f>$B$11</x:f>
        <x:v>100.53096491487338</x:v>
      </x:c>
      <x:c r="I553" t="n">
        <x:f>A553</x:f>
        <x:v>536</x:v>
      </x:c>
      <x:c r="J553" t="n">
        <x:f>F553</x:f>
        <x:v>99.58208955223881</x:v>
      </x:c>
      <x:c r="K553" t="n">
        <x:f>G553</x:f>
        <x:v>100.53096491487338</x:v>
      </x:c>
    </x:row>
    <x:row r="554">
      <x:c r="A554" t="n">
        <x:v>537</x:v>
      </x:c>
      <x:c r="B554" s="40" t="n">
        <x:v>0.10035321186904467</x:v>
      </x:c>
      <x:c r="C554" s="40" t="n">
        <x:v>1.6887950364145299</x:v>
      </x:c>
      <x:c r="D554" s="40" t="n">
        <x:v>1.3297373224430382</x:v>
      </x:c>
      <x:c r="E554" t="n">
        <x:f>--((B554^2/$B$4^2+C554^2/$B$5^2+D554^2/$B$6^2)&lt;=1)</x:f>
        <x:v>1</x:v>
      </x:c>
      <x:c r="F554" s="42" t="n">
        <x:f>$B$8*SUM($E$18:E554)/A554</x:f>
        <x:v>99.75418994413408</x:v>
      </x:c>
      <x:c r="G554" s="42" t="n">
        <x:f>$B$11</x:f>
        <x:v>100.53096491487338</x:v>
      </x:c>
      <x:c r="I554" t="n">
        <x:f>A554</x:f>
        <x:v>537</x:v>
      </x:c>
      <x:c r="J554" t="n">
        <x:f>F554</x:f>
        <x:v>99.75418994413408</x:v>
      </x:c>
      <x:c r="K554" t="n">
        <x:f>G554</x:f>
        <x:v>100.53096491487338</x:v>
      </x:c>
    </x:row>
    <x:row r="555">
      <x:c r="A555" t="n">
        <x:v>538</x:v>
      </x:c>
      <x:c r="B555" s="40" t="n">
        <x:v>-1.3449947829668165</x:v>
      </x:c>
      <x:c r="C555" s="40" t="n">
        <x:v>-0.7363089656318209</x:v>
      </x:c>
      <x:c r="D555" s="40" t="n">
        <x:v>2.9254962828361606</x:v>
      </x:c>
      <x:c r="E555" t="n">
        <x:f>--((B555^2/$B$4^2+C555^2/$B$5^2+D555^2/$B$6^2)&lt;=1)</x:f>
        <x:v>0</x:v>
      </x:c>
      <x:c r="F555" s="42" t="n">
        <x:f>$B$8*SUM($E$18:E555)/A555</x:f>
        <x:v>99.56877323420075</x:v>
      </x:c>
      <x:c r="G555" s="42" t="n">
        <x:f>$B$11</x:f>
        <x:v>100.53096491487338</x:v>
      </x:c>
      <x:c r="I555" t="n">
        <x:f>A555</x:f>
        <x:v>538</x:v>
      </x:c>
      <x:c r="J555" t="n">
        <x:f>F555</x:f>
        <x:v>99.56877323420075</x:v>
      </x:c>
      <x:c r="K555" t="n">
        <x:f>G555</x:f>
        <x:v>100.53096491487338</x:v>
      </x:c>
    </x:row>
    <x:row r="556">
      <x:c r="A556" t="n">
        <x:v>539</x:v>
      </x:c>
      <x:c r="B556" s="40" t="n">
        <x:v>-1.3363725284938655</x:v>
      </x:c>
      <x:c r="C556" s="40" t="n">
        <x:v>-2.9256167165052243</x:v>
      </x:c>
      <x:c r="D556" s="40" t="n">
        <x:v>-2.8685496957930976</x:v>
      </x:c>
      <x:c r="E556" t="n">
        <x:f>--((B556^2/$B$4^2+C556^2/$B$5^2+D556^2/$B$6^2)&lt;=1)</x:f>
        <x:v>0</x:v>
      </x:c>
      <x:c r="F556" s="42" t="n">
        <x:f>$B$8*SUM($E$18:E556)/A556</x:f>
        <x:v>99.38404452690168</x:v>
      </x:c>
      <x:c r="G556" s="42" t="n">
        <x:f>$B$11</x:f>
        <x:v>100.53096491487338</x:v>
      </x:c>
      <x:c r="I556" t="n">
        <x:f>A556</x:f>
        <x:v>539</x:v>
      </x:c>
      <x:c r="J556" t="n">
        <x:f>F556</x:f>
        <x:v>99.38404452690168</x:v>
      </x:c>
      <x:c r="K556" t="n">
        <x:f>G556</x:f>
        <x:v>100.53096491487338</x:v>
      </x:c>
    </x:row>
    <x:row r="557">
      <x:c r="A557" t="n">
        <x:v>540</x:v>
      </x:c>
      <x:c r="B557" s="40" t="n">
        <x:v>1.3452171622009517</x:v>
      </x:c>
      <x:c r="C557" s="40" t="n">
        <x:v>0.05840795925866349</x:v>
      </x:c>
      <x:c r="D557" s="40" t="n">
        <x:v>-1.0711547022684051</x:v>
      </x:c>
      <x:c r="E557" t="n">
        <x:f>--((B557^2/$B$4^2+C557^2/$B$5^2+D557^2/$B$6^2)&lt;=1)</x:f>
        <x:v>1</x:v>
      </x:c>
      <x:c r="F557" s="42" t="n">
        <x:f>$B$8*SUM($E$18:E557)/A557</x:f>
        <x:v>99.55555555555556</x:v>
      </x:c>
      <x:c r="G557" s="42" t="n">
        <x:f>$B$11</x:f>
        <x:v>100.53096491487338</x:v>
      </x:c>
      <x:c r="I557" t="n">
        <x:f>A557</x:f>
        <x:v>540</x:v>
      </x:c>
      <x:c r="J557" t="n">
        <x:f>F557</x:f>
        <x:v>99.55555555555556</x:v>
      </x:c>
      <x:c r="K557" t="n">
        <x:f>G557</x:f>
        <x:v>100.53096491487338</x:v>
      </x:c>
    </x:row>
    <x:row r="558">
      <x:c r="A558" t="n">
        <x:v>541</x:v>
      </x:c>
      <x:c r="B558" s="40" t="n">
        <x:v>1.956532010734422</x:v>
      </x:c>
      <x:c r="C558" s="40" t="n">
        <x:v>0.04314071589557367</x:v>
      </x:c>
      <x:c r="D558" s="40" t="n">
        <x:v>-3.61066036127332</x:v>
      </x:c>
      <x:c r="E558" t="n">
        <x:f>--((B558^2/$B$4^2+C558^2/$B$5^2+D558^2/$B$6^2)&lt;=1)</x:f>
        <x:v>0</x:v>
      </x:c>
      <x:c r="F558" s="42" t="n">
        <x:f>$B$8*SUM($E$18:E558)/A558</x:f>
        <x:v>99.37153419593345</x:v>
      </x:c>
      <x:c r="G558" s="42" t="n">
        <x:f>$B$11</x:f>
        <x:v>100.53096491487338</x:v>
      </x:c>
      <x:c r="I558" t="n">
        <x:f>A558</x:f>
        <x:v>541</x:v>
      </x:c>
      <x:c r="J558" t="n">
        <x:f>F558</x:f>
        <x:v>99.37153419593345</x:v>
      </x:c>
      <x:c r="K558" t="n">
        <x:f>G558</x:f>
        <x:v>100.53096491487338</x:v>
      </x:c>
    </x:row>
    <x:row r="559">
      <x:c r="A559" t="n">
        <x:v>542</x:v>
      </x:c>
      <x:c r="B559" s="40" t="n">
        <x:v>0.2238777121137936</x:v>
      </x:c>
      <x:c r="C559" s="40" t="n">
        <x:v>-0.37806427013128907</x:v>
      </x:c>
      <x:c r="D559" s="40" t="n">
        <x:v>-3.762944912188871</x:v>
      </x:c>
      <x:c r="E559" t="n">
        <x:f>--((B559^2/$B$4^2+C559^2/$B$5^2+D559^2/$B$6^2)&lt;=1)</x:f>
        <x:v>1</x:v>
      </x:c>
      <x:c r="F559" s="42" t="n">
        <x:f>$B$8*SUM($E$18:E559)/A559</x:f>
        <x:v>99.54243542435424</x:v>
      </x:c>
      <x:c r="G559" s="42" t="n">
        <x:f>$B$11</x:f>
        <x:v>100.53096491487338</x:v>
      </x:c>
      <x:c r="I559" t="n">
        <x:f>A559</x:f>
        <x:v>542</x:v>
      </x:c>
      <x:c r="J559" t="n">
        <x:f>F559</x:f>
        <x:v>99.54243542435424</x:v>
      </x:c>
      <x:c r="K559" t="n">
        <x:f>G559</x:f>
        <x:v>100.53096491487338</x:v>
      </x:c>
    </x:row>
    <x:row r="560">
      <x:c r="A560" t="n">
        <x:v>543</x:v>
      </x:c>
      <x:c r="B560" s="40" t="n">
        <x:v>1.3562789235268538</x:v>
      </x:c>
      <x:c r="C560" s="40" t="n">
        <x:v>-0.9616976750275397</x:v>
      </x:c>
      <x:c r="D560" s="40" t="n">
        <x:v>3.91726797337395</x:v>
      </x:c>
      <x:c r="E560" t="n">
        <x:f>--((B560^2/$B$4^2+C560^2/$B$5^2+D560^2/$B$6^2)&lt;=1)</x:f>
        <x:v>0</x:v>
      </x:c>
      <x:c r="F560" s="42" t="n">
        <x:f>$B$8*SUM($E$18:E560)/A560</x:f>
        <x:v>99.35911602209944</x:v>
      </x:c>
      <x:c r="G560" s="42" t="n">
        <x:f>$B$11</x:f>
        <x:v>100.53096491487338</x:v>
      </x:c>
      <x:c r="I560" t="n">
        <x:f>A560</x:f>
        <x:v>543</x:v>
      </x:c>
      <x:c r="J560" t="n">
        <x:f>F560</x:f>
        <x:v>99.35911602209944</x:v>
      </x:c>
      <x:c r="K560" t="n">
        <x:f>G560</x:f>
        <x:v>100.53096491487338</x:v>
      </x:c>
    </x:row>
    <x:row r="561">
      <x:c r="A561" t="n">
        <x:v>544</x:v>
      </x:c>
      <x:c r="B561" s="40" t="n">
        <x:v>1.9612866573050902</x:v>
      </x:c>
      <x:c r="C561" s="40" t="n">
        <x:v>-1.5010434731416678</x:v>
      </x:c>
      <x:c r="D561" s="40" t="n">
        <x:v>-0.052227933548922856</x:v>
      </x:c>
      <x:c r="E561" t="n">
        <x:f>--((B561^2/$B$4^2+C561^2/$B$5^2+D561^2/$B$6^2)&lt;=1)</x:f>
        <x:v>0</x:v>
      </x:c>
      <x:c r="F561" s="42" t="n">
        <x:f>$B$8*SUM($E$18:E561)/A561</x:f>
        <x:v>99.17647058823529</x:v>
      </x:c>
      <x:c r="G561" s="42" t="n">
        <x:f>$B$11</x:f>
        <x:v>100.53096491487338</x:v>
      </x:c>
      <x:c r="I561" t="n">
        <x:f>A561</x:f>
        <x:v>544</x:v>
      </x:c>
      <x:c r="J561" t="n">
        <x:f>F561</x:f>
        <x:v>99.17647058823529</x:v>
      </x:c>
      <x:c r="K561" t="n">
        <x:f>G561</x:f>
        <x:v>100.53096491487338</x:v>
      </x:c>
    </x:row>
    <x:row r="562">
      <x:c r="A562" t="n">
        <x:v>545</x:v>
      </x:c>
      <x:c r="B562" s="40" t="n">
        <x:v>-1.4336164457249012</x:v>
      </x:c>
      <x:c r="C562" s="40" t="n">
        <x:v>0.16526924698309653</x:v>
      </x:c>
      <x:c r="D562" s="40" t="n">
        <x:v>-1.155847850918029</x:v>
      </x:c>
      <x:c r="E562" t="n">
        <x:f>--((B562^2/$B$4^2+C562^2/$B$5^2+D562^2/$B$6^2)&lt;=1)</x:f>
        <x:v>1</x:v>
      </x:c>
      <x:c r="F562" s="42" t="n">
        <x:f>$B$8*SUM($E$18:E562)/A562</x:f>
        <x:v>99.34678899082569</x:v>
      </x:c>
      <x:c r="G562" s="42" t="n">
        <x:f>$B$11</x:f>
        <x:v>100.53096491487338</x:v>
      </x:c>
      <x:c r="I562" t="n">
        <x:f>A562</x:f>
        <x:v>545</x:v>
      </x:c>
      <x:c r="J562" t="n">
        <x:f>F562</x:f>
        <x:v>99.34678899082569</x:v>
      </x:c>
      <x:c r="K562" t="n">
        <x:f>G562</x:f>
        <x:v>100.53096491487338</x:v>
      </x:c>
    </x:row>
    <x:row r="563">
      <x:c r="A563" t="n">
        <x:v>546</x:v>
      </x:c>
      <x:c r="B563" s="40" t="n">
        <x:v>-0.20701754698259567</x:v>
      </x:c>
      <x:c r="C563" s="40" t="n">
        <x:v>-0.7483311618390354</x:v>
      </x:c>
      <x:c r="D563" s="40" t="n">
        <x:v>-1.8009833869998486</x:v>
      </x:c>
      <x:c r="E563" t="n">
        <x:f>--((B563^2/$B$4^2+C563^2/$B$5^2+D563^2/$B$6^2)&lt;=1)</x:f>
        <x:v>1</x:v>
      </x:c>
      <x:c r="F563" s="42" t="n">
        <x:f>$B$8*SUM($E$18:E563)/A563</x:f>
        <x:v>99.51648351648352</x:v>
      </x:c>
      <x:c r="G563" s="42" t="n">
        <x:f>$B$11</x:f>
        <x:v>100.53096491487338</x:v>
      </x:c>
      <x:c r="I563" t="n">
        <x:f>A563</x:f>
        <x:v>546</x:v>
      </x:c>
      <x:c r="J563" t="n">
        <x:f>F563</x:f>
        <x:v>99.51648351648352</x:v>
      </x:c>
      <x:c r="K563" t="n">
        <x:f>G563</x:f>
        <x:v>100.53096491487338</x:v>
      </x:c>
    </x:row>
    <x:row r="564">
      <x:c r="A564" t="n">
        <x:v>547</x:v>
      </x:c>
      <x:c r="B564" s="40" t="n">
        <x:v>-0.42970913663232047</x:v>
      </x:c>
      <x:c r="C564" s="40" t="n">
        <x:v>2.8195912982988522</x:v>
      </x:c>
      <x:c r="D564" s="40" t="n">
        <x:v>3.840101159559673</x:v>
      </x:c>
      <x:c r="E564" t="n">
        <x:f>--((B564^2/$B$4^2+C564^2/$B$5^2+D564^2/$B$6^2)&lt;=1)</x:f>
        <x:v>0</x:v>
      </x:c>
      <x:c r="F564" s="42" t="n">
        <x:f>$B$8*SUM($E$18:E564)/A564</x:f>
        <x:v>99.3345521023766</x:v>
      </x:c>
      <x:c r="G564" s="42" t="n">
        <x:f>$B$11</x:f>
        <x:v>100.53096491487338</x:v>
      </x:c>
      <x:c r="I564" t="n">
        <x:f>A564</x:f>
        <x:v>547</x:v>
      </x:c>
      <x:c r="J564" t="n">
        <x:f>F564</x:f>
        <x:v>99.3345521023766</x:v>
      </x:c>
      <x:c r="K564" t="n">
        <x:f>G564</x:f>
        <x:v>100.53096491487338</x:v>
      </x:c>
    </x:row>
    <x:row r="565">
      <x:c r="A565" t="n">
        <x:v>548</x:v>
      </x:c>
      <x:c r="B565" s="40" t="n">
        <x:v>-1.67980286541526</x:v>
      </x:c>
      <x:c r="C565" s="40" t="n">
        <x:v>-1.9624361533984114</x:v>
      </x:c>
      <x:c r="D565" s="40" t="n">
        <x:v>-1.9819937158265306</x:v>
      </x:c>
      <x:c r="E565" t="n">
        <x:f>--((B565^2/$B$4^2+C565^2/$B$5^2+D565^2/$B$6^2)&lt;=1)</x:f>
        <x:v>0</x:v>
      </x:c>
      <x:c r="F565" s="42" t="n">
        <x:f>$B$8*SUM($E$18:E565)/A565</x:f>
        <x:v>99.15328467153284</x:v>
      </x:c>
      <x:c r="G565" s="42" t="n">
        <x:f>$B$11</x:f>
        <x:v>100.53096491487338</x:v>
      </x:c>
      <x:c r="I565" t="n">
        <x:f>A565</x:f>
        <x:v>548</x:v>
      </x:c>
      <x:c r="J565" t="n">
        <x:f>F565</x:f>
        <x:v>99.15328467153284</x:v>
      </x:c>
      <x:c r="K565" t="n">
        <x:f>G565</x:f>
        <x:v>100.53096491487338</x:v>
      </x:c>
    </x:row>
    <x:row r="566">
      <x:c r="A566" t="n">
        <x:v>549</x:v>
      </x:c>
      <x:c r="B566" s="40" t="n">
        <x:v>1.0213206911789778</x:v>
      </x:c>
      <x:c r="C566" s="40" t="n">
        <x:v>-1.0820065942374781</x:v>
      </x:c>
      <x:c r="D566" s="40" t="n">
        <x:v>1.805667165901946</x:v>
      </x:c>
      <x:c r="E566" t="n">
        <x:f>--((B566^2/$B$4^2+C566^2/$B$5^2+D566^2/$B$6^2)&lt;=1)</x:f>
        <x:v>1</x:v>
      </x:c>
      <x:c r="F566" s="42" t="n">
        <x:f>$B$8*SUM($E$18:E566)/A566</x:f>
        <x:v>99.3224043715847</x:v>
      </x:c>
      <x:c r="G566" s="42" t="n">
        <x:f>$B$11</x:f>
        <x:v>100.53096491487338</x:v>
      </x:c>
      <x:c r="I566" t="n">
        <x:f>A566</x:f>
        <x:v>549</x:v>
      </x:c>
      <x:c r="J566" t="n">
        <x:f>F566</x:f>
        <x:v>99.3224043715847</x:v>
      </x:c>
      <x:c r="K566" t="n">
        <x:f>G566</x:f>
        <x:v>100.53096491487338</x:v>
      </x:c>
    </x:row>
    <x:row r="567">
      <x:c r="A567" t="n">
        <x:v>550</x:v>
      </x:c>
      <x:c r="B567" s="40" t="n">
        <x:v>-0.26488389070962803</x:v>
      </x:c>
      <x:c r="C567" s="40" t="n">
        <x:v>-1.236237174452574</x:v>
      </x:c>
      <x:c r="D567" s="40" t="n">
        <x:v>-1.7299352335525295</x:v>
      </x:c>
      <x:c r="E567" t="n">
        <x:f>--((B567^2/$B$4^2+C567^2/$B$5^2+D567^2/$B$6^2)&lt;=1)</x:f>
        <x:v>1</x:v>
      </x:c>
      <x:c r="F567" s="42" t="n">
        <x:f>$B$8*SUM($E$18:E567)/A567</x:f>
        <x:v>99.49090909090908</x:v>
      </x:c>
      <x:c r="G567" s="42" t="n">
        <x:f>$B$11</x:f>
        <x:v>100.53096491487338</x:v>
      </x:c>
      <x:c r="I567" t="n">
        <x:f>A567</x:f>
        <x:v>550</x:v>
      </x:c>
      <x:c r="J567" t="n">
        <x:f>F567</x:f>
        <x:v>99.49090909090908</x:v>
      </x:c>
      <x:c r="K567" t="n">
        <x:f>G567</x:f>
        <x:v>100.53096491487338</x:v>
      </x:c>
    </x:row>
    <x:row r="568">
      <x:c r="A568" t="n">
        <x:v>551</x:v>
      </x:c>
      <x:c r="B568" s="40" t="n">
        <x:v>-0.12269226323839488</x:v>
      </x:c>
      <x:c r="C568" s="40" t="n">
        <x:v>0.2598550574157419</x:v>
      </x:c>
      <x:c r="D568" s="40" t="n">
        <x:v>-3.436083957144647</x:v>
      </x:c>
      <x:c r="E568" t="n">
        <x:f>--((B568^2/$B$4^2+C568^2/$B$5^2+D568^2/$B$6^2)&lt;=1)</x:f>
        <x:v>1</x:v>
      </x:c>
      <x:c r="F568" s="42" t="n">
        <x:f>$B$8*SUM($E$18:E568)/A568</x:f>
        <x:v>99.65880217785843</x:v>
      </x:c>
      <x:c r="G568" s="42" t="n">
        <x:f>$B$11</x:f>
        <x:v>100.53096491487338</x:v>
      </x:c>
      <x:c r="I568" t="n">
        <x:f>A568</x:f>
        <x:v>551</x:v>
      </x:c>
      <x:c r="J568" t="n">
        <x:f>F568</x:f>
        <x:v>99.65880217785843</x:v>
      </x:c>
      <x:c r="K568" t="n">
        <x:f>G568</x:f>
        <x:v>100.53096491487338</x:v>
      </x:c>
    </x:row>
    <x:row r="569">
      <x:c r="A569" t="n">
        <x:v>552</x:v>
      </x:c>
      <x:c r="B569" s="40" t="n">
        <x:v>-1.3973081047470393</x:v>
      </x:c>
      <x:c r="C569" s="40" t="n">
        <x:v>-0.004318458155112559</x:v>
      </x:c>
      <x:c r="D569" s="40" t="n">
        <x:v>1.4662129161435304</x:v>
      </x:c>
      <x:c r="E569" t="n">
        <x:f>--((B569^2/$B$4^2+C569^2/$B$5^2+D569^2/$B$6^2)&lt;=1)</x:f>
        <x:v>1</x:v>
      </x:c>
      <x:c r="F569" s="42" t="n">
        <x:f>$B$8*SUM($E$18:E569)/A569</x:f>
        <x:v>99.82608695652173</x:v>
      </x:c>
      <x:c r="G569" s="42" t="n">
        <x:f>$B$11</x:f>
        <x:v>100.53096491487338</x:v>
      </x:c>
      <x:c r="I569" t="n">
        <x:f>A569</x:f>
        <x:v>552</x:v>
      </x:c>
      <x:c r="J569" t="n">
        <x:f>F569</x:f>
        <x:v>99.82608695652173</x:v>
      </x:c>
      <x:c r="K569" t="n">
        <x:f>G569</x:f>
        <x:v>100.53096491487338</x:v>
      </x:c>
    </x:row>
    <x:row r="570">
      <x:c r="A570" t="n">
        <x:v>553</x:v>
      </x:c>
      <x:c r="B570" s="40" t="n">
        <x:v>-1.2762933910765275</x:v>
      </x:c>
      <x:c r="C570" s="40" t="n">
        <x:v>0.8624427925456386</x:v>
      </x:c>
      <x:c r="D570" s="40" t="n">
        <x:v>-3.986953218961081</x:v>
      </x:c>
      <x:c r="E570" t="n">
        <x:f>--((B570^2/$B$4^2+C570^2/$B$5^2+D570^2/$B$6^2)&lt;=1)</x:f>
        <x:v>0</x:v>
      </x:c>
      <x:c r="F570" s="42" t="n">
        <x:f>$B$8*SUM($E$18:E570)/A570</x:f>
        <x:v>99.64556962025317</x:v>
      </x:c>
      <x:c r="G570" s="42" t="n">
        <x:f>$B$11</x:f>
        <x:v>100.53096491487338</x:v>
      </x:c>
      <x:c r="I570" t="n">
        <x:f>A570</x:f>
        <x:v>553</x:v>
      </x:c>
      <x:c r="J570" t="n">
        <x:f>F570</x:f>
        <x:v>99.64556962025317</x:v>
      </x:c>
      <x:c r="K570" t="n">
        <x:f>G570</x:f>
        <x:v>100.53096491487338</x:v>
      </x:c>
    </x:row>
    <x:row r="571">
      <x:c r="A571" t="n">
        <x:v>554</x:v>
      </x:c>
      <x:c r="B571" s="40" t="n">
        <x:v>1.62841448862486</x:v>
      </x:c>
      <x:c r="C571" s="40" t="n">
        <x:v>2.7000106234452472</x:v>
      </x:c>
      <x:c r="D571" s="40" t="n">
        <x:v>1.4059880924845558</x:v>
      </x:c>
      <x:c r="E571" t="n">
        <x:f>--((B571^2/$B$4^2+C571^2/$B$5^2+D571^2/$B$6^2)&lt;=1)</x:f>
        <x:v>0</x:v>
      </x:c>
      <x:c r="F571" s="42" t="n">
        <x:f>$B$8*SUM($E$18:E571)/A571</x:f>
        <x:v>99.46570397111914</x:v>
      </x:c>
      <x:c r="G571" s="42" t="n">
        <x:f>$B$11</x:f>
        <x:v>100.53096491487338</x:v>
      </x:c>
      <x:c r="I571" t="n">
        <x:f>A571</x:f>
        <x:v>554</x:v>
      </x:c>
      <x:c r="J571" t="n">
        <x:f>F571</x:f>
        <x:v>99.46570397111914</x:v>
      </x:c>
      <x:c r="K571" t="n">
        <x:f>G571</x:f>
        <x:v>100.53096491487338</x:v>
      </x:c>
    </x:row>
    <x:row r="572">
      <x:c r="A572" t="n">
        <x:v>555</x:v>
      </x:c>
      <x:c r="B572" s="40" t="n">
        <x:v>-1.8214036441028845</x:v>
      </x:c>
      <x:c r="C572" s="40" t="n">
        <x:v>-1.2886734870367957</x:v>
      </x:c>
      <x:c r="D572" s="40" t="n">
        <x:v>-1.996987208081415</x:v>
      </x:c>
      <x:c r="E572" t="n">
        <x:f>--((B572^2/$B$4^2+C572^2/$B$5^2+D572^2/$B$6^2)&lt;=1)</x:f>
        <x:v>0</x:v>
      </x:c>
      <x:c r="F572" s="42" t="n">
        <x:f>$B$8*SUM($E$18:E572)/A572</x:f>
        <x:v>99.28648648648648</x:v>
      </x:c>
      <x:c r="G572" s="42" t="n">
        <x:f>$B$11</x:f>
        <x:v>100.53096491487338</x:v>
      </x:c>
      <x:c r="I572" t="n">
        <x:f>A572</x:f>
        <x:v>555</x:v>
      </x:c>
      <x:c r="J572" t="n">
        <x:f>F572</x:f>
        <x:v>99.28648648648648</x:v>
      </x:c>
      <x:c r="K572" t="n">
        <x:f>G572</x:f>
        <x:v>100.53096491487338</x:v>
      </x:c>
    </x:row>
    <x:row r="573">
      <x:c r="A573" t="n">
        <x:v>556</x:v>
      </x:c>
      <x:c r="B573" s="40" t="n">
        <x:v>-1.068590860225175</x:v>
      </x:c>
      <x:c r="C573" s="40" t="n">
        <x:v>1.156629415529979</x:v>
      </x:c>
      <x:c r="D573" s="40" t="n">
        <x:v>1.9688338565720098</x:v>
      </x:c>
      <x:c r="E573" t="n">
        <x:f>--((B573^2/$B$4^2+C573^2/$B$5^2+D573^2/$B$6^2)&lt;=1)</x:f>
        <x:v>1</x:v>
      </x:c>
      <x:c r="F573" s="42" t="n">
        <x:f>$B$8*SUM($E$18:E573)/A573</x:f>
        <x:v>99.45323741007195</x:v>
      </x:c>
      <x:c r="G573" s="42" t="n">
        <x:f>$B$11</x:f>
        <x:v>100.53096491487338</x:v>
      </x:c>
      <x:c r="I573" t="n">
        <x:f>A573</x:f>
        <x:v>556</x:v>
      </x:c>
      <x:c r="J573" t="n">
        <x:f>F573</x:f>
        <x:v>99.45323741007195</x:v>
      </x:c>
      <x:c r="K573" t="n">
        <x:f>G573</x:f>
        <x:v>100.53096491487338</x:v>
      </x:c>
    </x:row>
    <x:row r="574">
      <x:c r="A574" t="n">
        <x:v>557</x:v>
      </x:c>
      <x:c r="B574" s="40" t="n">
        <x:v>-0.8317626787418866</x:v>
      </x:c>
      <x:c r="C574" s="40" t="n">
        <x:v>-2.849758781968898</x:v>
      </x:c>
      <x:c r="D574" s="40" t="n">
        <x:v>2.158001338805195</x:v>
      </x:c>
      <x:c r="E574" t="n">
        <x:f>--((B574^2/$B$4^2+C574^2/$B$5^2+D574^2/$B$6^2)&lt;=1)</x:f>
        <x:v>0</x:v>
      </x:c>
      <x:c r="F574" s="42" t="n">
        <x:f>$B$8*SUM($E$18:E574)/A574</x:f>
        <x:v>99.27468581687612</x:v>
      </x:c>
      <x:c r="G574" s="42" t="n">
        <x:f>$B$11</x:f>
        <x:v>100.53096491487338</x:v>
      </x:c>
      <x:c r="I574" t="n">
        <x:f>A574</x:f>
        <x:v>557</x:v>
      </x:c>
      <x:c r="J574" t="n">
        <x:f>F574</x:f>
        <x:v>99.27468581687612</x:v>
      </x:c>
      <x:c r="K574" t="n">
        <x:f>G574</x:f>
        <x:v>100.53096491487338</x:v>
      </x:c>
    </x:row>
    <x:row r="575">
      <x:c r="A575" t="n">
        <x:v>558</x:v>
      </x:c>
      <x:c r="B575" s="40" t="n">
        <x:v>-0.03920983039365433</x:v>
      </x:c>
      <x:c r="C575" s="40" t="n">
        <x:v>-1.4256691635982528</x:v>
      </x:c>
      <x:c r="D575" s="40" t="n">
        <x:v>1.7928579105403033</x:v>
      </x:c>
      <x:c r="E575" t="n">
        <x:f>--((B575^2/$B$4^2+C575^2/$B$5^2+D575^2/$B$6^2)&lt;=1)</x:f>
        <x:v>1</x:v>
      </x:c>
      <x:c r="F575" s="42" t="n">
        <x:f>$B$8*SUM($E$18:E575)/A575</x:f>
        <x:v>99.44086021505376</x:v>
      </x:c>
      <x:c r="G575" s="42" t="n">
        <x:f>$B$11</x:f>
        <x:v>100.53096491487338</x:v>
      </x:c>
      <x:c r="I575" t="n">
        <x:f>A575</x:f>
        <x:v>558</x:v>
      </x:c>
      <x:c r="J575" t="n">
        <x:f>F575</x:f>
        <x:v>99.44086021505376</x:v>
      </x:c>
      <x:c r="K575" t="n">
        <x:f>G575</x:f>
        <x:v>100.53096491487338</x:v>
      </x:c>
    </x:row>
    <x:row r="576">
      <x:c r="A576" t="n">
        <x:v>559</x:v>
      </x:c>
      <x:c r="B576" s="40" t="n">
        <x:v>0.3457806920591837</x:v>
      </x:c>
      <x:c r="C576" s="40" t="n">
        <x:v>-0.21768163202044333</x:v>
      </x:c>
      <x:c r="D576" s="40" t="n">
        <x:v>-3.804132468259117</x:v>
      </x:c>
      <x:c r="E576" t="n">
        <x:f>--((B576^2/$B$4^2+C576^2/$B$5^2+D576^2/$B$6^2)&lt;=1)</x:f>
        <x:v>1</x:v>
      </x:c>
      <x:c r="F576" s="42" t="n">
        <x:f>$B$8*SUM($E$18:E576)/A576</x:f>
        <x:v>99.60644007155635</x:v>
      </x:c>
      <x:c r="G576" s="42" t="n">
        <x:f>$B$11</x:f>
        <x:v>100.53096491487338</x:v>
      </x:c>
      <x:c r="I576" t="n">
        <x:f>A576</x:f>
        <x:v>559</x:v>
      </x:c>
      <x:c r="J576" t="n">
        <x:f>F576</x:f>
        <x:v>99.60644007155635</x:v>
      </x:c>
      <x:c r="K576" t="n">
        <x:f>G576</x:f>
        <x:v>100.53096491487338</x:v>
      </x:c>
    </x:row>
    <x:row r="577">
      <x:c r="A577" t="n">
        <x:v>560</x:v>
      </x:c>
      <x:c r="B577" s="40" t="n">
        <x:v>-0.026840096597333662</x:v>
      </x:c>
      <x:c r="C577" s="40" t="n">
        <x:v>-2.814031269113193</x:v>
      </x:c>
      <x:c r="D577" s="40" t="n">
        <x:v>1.6298929571501475</x:v>
      </x:c>
      <x:c r="E577" t="n">
        <x:f>--((B577^2/$B$4^2+C577^2/$B$5^2+D577^2/$B$6^2)&lt;=1)</x:f>
        <x:v>0</x:v>
      </x:c>
      <x:c r="F577" s="42" t="n">
        <x:f>$B$8*SUM($E$18:E577)/A577</x:f>
        <x:v>99.42857142857143</x:v>
      </x:c>
      <x:c r="G577" s="42" t="n">
        <x:f>$B$11</x:f>
        <x:v>100.53096491487338</x:v>
      </x:c>
      <x:c r="I577" t="n">
        <x:f>A577</x:f>
        <x:v>560</x:v>
      </x:c>
      <x:c r="J577" t="n">
        <x:f>F577</x:f>
        <x:v>99.42857142857143</x:v>
      </x:c>
      <x:c r="K577" t="n">
        <x:f>G577</x:f>
        <x:v>100.53096491487338</x:v>
      </x:c>
    </x:row>
    <x:row r="578">
      <x:c r="A578" t="n">
        <x:v>561</x:v>
      </x:c>
      <x:c r="B578" s="40" t="n">
        <x:v>-1.663538661772472</x:v>
      </x:c>
      <x:c r="C578" s="40" t="n">
        <x:v>0.7060167633218333</x:v>
      </x:c>
      <x:c r="D578" s="40" t="n">
        <x:v>3.9211649124461054</x:v>
      </x:c>
      <x:c r="E578" t="n">
        <x:f>--((B578^2/$B$4^2+C578^2/$B$5^2+D578^2/$B$6^2)&lt;=1)</x:f>
        <x:v>0</x:v>
      </x:c>
      <x:c r="F578" s="42" t="n">
        <x:f>$B$8*SUM($E$18:E578)/A578</x:f>
        <x:v>99.25133689839572</x:v>
      </x:c>
      <x:c r="G578" s="42" t="n">
        <x:f>$B$11</x:f>
        <x:v>100.53096491487338</x:v>
      </x:c>
      <x:c r="I578" t="n">
        <x:f>A578</x:f>
        <x:v>561</x:v>
      </x:c>
      <x:c r="J578" t="n">
        <x:f>F578</x:f>
        <x:v>99.25133689839572</x:v>
      </x:c>
      <x:c r="K578" t="n">
        <x:f>G578</x:f>
        <x:v>100.53096491487338</x:v>
      </x:c>
    </x:row>
    <x:row r="579">
      <x:c r="A579" t="n">
        <x:v>562</x:v>
      </x:c>
      <x:c r="B579" s="40" t="n">
        <x:v>-1.0253301837771458</x:v>
      </x:c>
      <x:c r="C579" s="40" t="n">
        <x:v>1.069863650410249</x:v>
      </x:c>
      <x:c r="D579" s="40" t="n">
        <x:v>-2.058997051795017</x:v>
      </x:c>
      <x:c r="E579" t="n">
        <x:f>--((B579^2/$B$4^2+C579^2/$B$5^2+D579^2/$B$6^2)&lt;=1)</x:f>
        <x:v>1</x:v>
      </x:c>
      <x:c r="F579" s="42" t="n">
        <x:f>$B$8*SUM($E$18:E579)/A579</x:f>
        <x:v>99.41637010676156</x:v>
      </x:c>
      <x:c r="G579" s="42" t="n">
        <x:f>$B$11</x:f>
        <x:v>100.53096491487338</x:v>
      </x:c>
      <x:c r="I579" t="n">
        <x:f>A579</x:f>
        <x:v>562</x:v>
      </x:c>
      <x:c r="J579" t="n">
        <x:f>F579</x:f>
        <x:v>99.41637010676156</x:v>
      </x:c>
      <x:c r="K579" t="n">
        <x:f>G579</x:f>
        <x:v>100.53096491487338</x:v>
      </x:c>
    </x:row>
    <x:row r="580">
      <x:c r="A580" t="n">
        <x:v>563</x:v>
      </x:c>
      <x:c r="B580" s="40" t="n">
        <x:v>1.3743535390501647</x:v>
      </x:c>
      <x:c r="C580" s="40" t="n">
        <x:v>1.4803902890282803</x:v>
      </x:c>
      <x:c r="D580" s="40" t="n">
        <x:v>-1.8060914221972917</x:v>
      </x:c>
      <x:c r="E580" t="n">
        <x:f>--((B580^2/$B$4^2+C580^2/$B$5^2+D580^2/$B$6^2)&lt;=1)</x:f>
        <x:v>1</x:v>
      </x:c>
      <x:c r="F580" s="42" t="n">
        <x:f>$B$8*SUM($E$18:E580)/A580</x:f>
        <x:v>99.58081705150977</x:v>
      </x:c>
      <x:c r="G580" s="42" t="n">
        <x:f>$B$11</x:f>
        <x:v>100.53096491487338</x:v>
      </x:c>
      <x:c r="I580" t="n">
        <x:f>A580</x:f>
        <x:v>563</x:v>
      </x:c>
      <x:c r="J580" t="n">
        <x:f>F580</x:f>
        <x:v>99.58081705150977</x:v>
      </x:c>
      <x:c r="K580" t="n">
        <x:f>G580</x:f>
        <x:v>100.53096491487338</x:v>
      </x:c>
    </x:row>
    <x:row r="581">
      <x:c r="A581" t="n">
        <x:v>564</x:v>
      </x:c>
      <x:c r="B581" s="40" t="n">
        <x:v>0.5503548019138362</x:v>
      </x:c>
      <x:c r="C581" s="40" t="n">
        <x:v>0.09944702905807379</x:v>
      </x:c>
      <x:c r="D581" s="40" t="n">
        <x:v>2.508212396644316</x:v>
      </x:c>
      <x:c r="E581" t="n">
        <x:f>--((B581^2/$B$4^2+C581^2/$B$5^2+D581^2/$B$6^2)&lt;=1)</x:f>
        <x:v>1</x:v>
      </x:c>
      <x:c r="F581" s="42" t="n">
        <x:f>$B$8*SUM($E$18:E581)/A581</x:f>
        <x:v>99.74468085106383</x:v>
      </x:c>
      <x:c r="G581" s="42" t="n">
        <x:f>$B$11</x:f>
        <x:v>100.53096491487338</x:v>
      </x:c>
      <x:c r="I581" t="n">
        <x:f>A581</x:f>
        <x:v>564</x:v>
      </x:c>
      <x:c r="J581" t="n">
        <x:f>F581</x:f>
        <x:v>99.74468085106383</x:v>
      </x:c>
      <x:c r="K581" t="n">
        <x:f>G581</x:f>
        <x:v>100.53096491487338</x:v>
      </x:c>
    </x:row>
    <x:row r="582">
      <x:c r="A582" t="n">
        <x:v>565</x:v>
      </x:c>
      <x:c r="B582" s="40" t="n">
        <x:v>0.5965962005370975</x:v>
      </x:c>
      <x:c r="C582" s="40" t="n">
        <x:v>0.6236679898717599</x:v>
      </x:c>
      <x:c r="D582" s="40" t="n">
        <x:v>-2.7168255595513555</x:v>
      </x:c>
      <x:c r="E582" t="n">
        <x:f>--((B582^2/$B$4^2+C582^2/$B$5^2+D582^2/$B$6^2)&lt;=1)</x:f>
        <x:v>1</x:v>
      </x:c>
      <x:c r="F582" s="42" t="n">
        <x:f>$B$8*SUM($E$18:E582)/A582</x:f>
        <x:v>99.9079646017699</x:v>
      </x:c>
      <x:c r="G582" s="42" t="n">
        <x:f>$B$11</x:f>
        <x:v>100.53096491487338</x:v>
      </x:c>
      <x:c r="I582" t="n">
        <x:f>A582</x:f>
        <x:v>565</x:v>
      </x:c>
      <x:c r="J582" t="n">
        <x:f>F582</x:f>
        <x:v>99.9079646017699</x:v>
      </x:c>
      <x:c r="K582" t="n">
        <x:f>G582</x:f>
        <x:v>100.53096491487338</x:v>
      </x:c>
    </x:row>
    <x:row r="583">
      <x:c r="A583" t="n">
        <x:v>566</x:v>
      </x:c>
      <x:c r="B583" s="40" t="n">
        <x:v>0.6808130214054198</x:v>
      </x:c>
      <x:c r="C583" s="40" t="n">
        <x:v>-0.6236084923290766</x:v>
      </x:c>
      <x:c r="D583" s="40" t="n">
        <x:v>1.2846694040364124</x:v>
      </x:c>
      <x:c r="E583" t="n">
        <x:f>--((B583^2/$B$4^2+C583^2/$B$5^2+D583^2/$B$6^2)&lt;=1)</x:f>
        <x:v>1</x:v>
      </x:c>
      <x:c r="F583" s="42" t="n">
        <x:f>$B$8*SUM($E$18:E583)/A583</x:f>
        <x:v>100.07067137809187</x:v>
      </x:c>
      <x:c r="G583" s="42" t="n">
        <x:f>$B$11</x:f>
        <x:v>100.53096491487338</x:v>
      </x:c>
      <x:c r="I583" t="n">
        <x:f>A583</x:f>
        <x:v>566</x:v>
      </x:c>
      <x:c r="J583" t="n">
        <x:f>F583</x:f>
        <x:v>100.07067137809187</x:v>
      </x:c>
      <x:c r="K583" t="n">
        <x:f>G583</x:f>
        <x:v>100.53096491487338</x:v>
      </x:c>
    </x:row>
    <x:row r="584">
      <x:c r="A584" t="n">
        <x:v>567</x:v>
      </x:c>
      <x:c r="B584" s="40" t="n">
        <x:v>1.0516120761581162</x:v>
      </x:c>
      <x:c r="C584" s="40" t="n">
        <x:v>-2.752481804960625</x:v>
      </x:c>
      <x:c r="D584" s="40" t="n">
        <x:v>2.0402110200046275</x:v>
      </x:c>
      <x:c r="E584" t="n">
        <x:f>--((B584^2/$B$4^2+C584^2/$B$5^2+D584^2/$B$6^2)&lt;=1)</x:f>
        <x:v>0</x:v>
      </x:c>
      <x:c r="F584" s="42" t="n">
        <x:f>$B$8*SUM($E$18:E584)/A584</x:f>
        <x:v>99.8941798941799</x:v>
      </x:c>
      <x:c r="G584" s="42" t="n">
        <x:f>$B$11</x:f>
        <x:v>100.53096491487338</x:v>
      </x:c>
      <x:c r="I584" t="n">
        <x:f>A584</x:f>
        <x:v>567</x:v>
      </x:c>
      <x:c r="J584" t="n">
        <x:f>F584</x:f>
        <x:v>99.8941798941799</x:v>
      </x:c>
      <x:c r="K584" t="n">
        <x:f>G584</x:f>
        <x:v>100.53096491487338</x:v>
      </x:c>
    </x:row>
    <x:row r="585">
      <x:c r="A585" t="n">
        <x:v>568</x:v>
      </x:c>
      <x:c r="B585" s="40" t="n">
        <x:v>-1.7675660731142107</x:v>
      </x:c>
      <x:c r="C585" s="40" t="n">
        <x:v>-2.4002888653529215</x:v>
      </x:c>
      <x:c r="D585" s="40" t="n">
        <x:v>-3.7027147054451426</x:v>
      </x:c>
      <x:c r="E585" t="n">
        <x:f>--((B585^2/$B$4^2+C585^2/$B$5^2+D585^2/$B$6^2)&lt;=1)</x:f>
        <x:v>0</x:v>
      </x:c>
      <x:c r="F585" s="42" t="n">
        <x:f>$B$8*SUM($E$18:E585)/A585</x:f>
        <x:v>99.71830985915493</x:v>
      </x:c>
      <x:c r="G585" s="42" t="n">
        <x:f>$B$11</x:f>
        <x:v>100.53096491487338</x:v>
      </x:c>
      <x:c r="I585" t="n">
        <x:f>A585</x:f>
        <x:v>568</x:v>
      </x:c>
      <x:c r="J585" t="n">
        <x:f>F585</x:f>
        <x:v>99.71830985915493</x:v>
      </x:c>
      <x:c r="K585" t="n">
        <x:f>G585</x:f>
        <x:v>100.53096491487338</x:v>
      </x:c>
    </x:row>
    <x:row r="586">
      <x:c r="A586" t="n">
        <x:v>569</x:v>
      </x:c>
      <x:c r="B586" s="40" t="n">
        <x:v>-0.5335664602695505</x:v>
      </x:c>
      <x:c r="C586" s="40" t="n">
        <x:v>0.9299755452087846</x:v>
      </x:c>
      <x:c r="D586" s="40" t="n">
        <x:v>0.43009675412180925</x:v>
      </x:c>
      <x:c r="E586" t="n">
        <x:f>--((B586^2/$B$4^2+C586^2/$B$5^2+D586^2/$B$6^2)&lt;=1)</x:f>
        <x:v>1</x:v>
      </x:c>
      <x:c r="F586" s="42" t="n">
        <x:f>$B$8*SUM($E$18:E586)/A586</x:f>
        <x:v>99.8804920913884</x:v>
      </x:c>
      <x:c r="G586" s="42" t="n">
        <x:f>$B$11</x:f>
        <x:v>100.53096491487338</x:v>
      </x:c>
      <x:c r="I586" t="n">
        <x:f>A586</x:f>
        <x:v>569</x:v>
      </x:c>
      <x:c r="J586" t="n">
        <x:f>F586</x:f>
        <x:v>99.8804920913884</x:v>
      </x:c>
      <x:c r="K586" t="n">
        <x:f>G586</x:f>
        <x:v>100.53096491487338</x:v>
      </x:c>
    </x:row>
    <x:row r="587">
      <x:c r="A587" t="n">
        <x:v>570</x:v>
      </x:c>
      <x:c r="B587" s="40" t="n">
        <x:v>0.1581097410467147</x:v>
      </x:c>
      <x:c r="C587" s="40" t="n">
        <x:v>2.973331797514658</x:v>
      </x:c>
      <x:c r="D587" s="40" t="n">
        <x:v>0.6070180682870632</x:v>
      </x:c>
      <x:c r="E587" t="n">
        <x:f>--((B587^2/$B$4^2+C587^2/$B$5^2+D587^2/$B$6^2)&lt;=1)</x:f>
        <x:v>0</x:v>
      </x:c>
      <x:c r="F587" s="42" t="n">
        <x:f>$B$8*SUM($E$18:E587)/A587</x:f>
        <x:v>99.70526315789473</x:v>
      </x:c>
      <x:c r="G587" s="42" t="n">
        <x:f>$B$11</x:f>
        <x:v>100.53096491487338</x:v>
      </x:c>
      <x:c r="I587" t="n">
        <x:f>A587</x:f>
        <x:v>570</x:v>
      </x:c>
      <x:c r="J587" t="n">
        <x:f>F587</x:f>
        <x:v>99.70526315789473</x:v>
      </x:c>
      <x:c r="K587" t="n">
        <x:f>G587</x:f>
        <x:v>100.53096491487338</x:v>
      </x:c>
    </x:row>
    <x:row r="588">
      <x:c r="A588" t="n">
        <x:v>571</x:v>
      </x:c>
      <x:c r="B588" s="40" t="n">
        <x:v>-0.6461740668106959</x:v>
      </x:c>
      <x:c r="C588" s="40" t="n">
        <x:v>-2.905180565020223</x:v>
      </x:c>
      <x:c r="D588" s="40" t="n">
        <x:v>-1.5724568208656464</x:v>
      </x:c>
      <x:c r="E588" t="n">
        <x:f>--((B588^2/$B$4^2+C588^2/$B$5^2+D588^2/$B$6^2)&lt;=1)</x:f>
        <x:v>0</x:v>
      </x:c>
      <x:c r="F588" s="42" t="n">
        <x:f>$B$8*SUM($E$18:E588)/A588</x:f>
        <x:v>99.53064798598949</x:v>
      </x:c>
      <x:c r="G588" s="42" t="n">
        <x:f>$B$11</x:f>
        <x:v>100.53096491487338</x:v>
      </x:c>
      <x:c r="I588" t="n">
        <x:f>A588</x:f>
        <x:v>571</x:v>
      </x:c>
      <x:c r="J588" t="n">
        <x:f>F588</x:f>
        <x:v>99.53064798598949</x:v>
      </x:c>
      <x:c r="K588" t="n">
        <x:f>G588</x:f>
        <x:v>100.53096491487338</x:v>
      </x:c>
    </x:row>
    <x:row r="589">
      <x:c r="A589" t="n">
        <x:v>572</x:v>
      </x:c>
      <x:c r="B589" s="40" t="n">
        <x:v>1.377915493148746</x:v>
      </x:c>
      <x:c r="C589" s="40" t="n">
        <x:v>0.3455009809582963</x:v>
      </x:c>
      <x:c r="D589" s="40" t="n">
        <x:v>3.0107573551801377</x:v>
      </x:c>
      <x:c r="E589" t="n">
        <x:f>--((B589^2/$B$4^2+C589^2/$B$5^2+D589^2/$B$6^2)&lt;=1)</x:f>
        <x:v>0</x:v>
      </x:c>
      <x:c r="F589" s="42" t="n">
        <x:f>$B$8*SUM($E$18:E589)/A589</x:f>
        <x:v>99.35664335664336</x:v>
      </x:c>
      <x:c r="G589" s="42" t="n">
        <x:f>$B$11</x:f>
        <x:v>100.53096491487338</x:v>
      </x:c>
      <x:c r="I589" t="n">
        <x:f>A589</x:f>
        <x:v>572</x:v>
      </x:c>
      <x:c r="J589" t="n">
        <x:f>F589</x:f>
        <x:v>99.35664335664336</x:v>
      </x:c>
      <x:c r="K589" t="n">
        <x:f>G589</x:f>
        <x:v>100.53096491487338</x:v>
      </x:c>
    </x:row>
    <x:row r="590">
      <x:c r="A590" t="n">
        <x:v>573</x:v>
      </x:c>
      <x:c r="B590" s="40" t="n">
        <x:v>-0.06970996565082421</x:v>
      </x:c>
      <x:c r="C590" s="40" t="n">
        <x:v>1.5060525172953474</x:v>
      </x:c>
      <x:c r="D590" s="40" t="n">
        <x:v>-2.698002245601149</x:v>
      </x:c>
      <x:c r="E590" t="n">
        <x:f>--((B590^2/$B$4^2+C590^2/$B$5^2+D590^2/$B$6^2)&lt;=1)</x:f>
        <x:v>1</x:v>
      </x:c>
      <x:c r="F590" s="42" t="n">
        <x:f>$B$8*SUM($E$18:E590)/A590</x:f>
        <x:v>99.51832460732984</x:v>
      </x:c>
      <x:c r="G590" s="42" t="n">
        <x:f>$B$11</x:f>
        <x:v>100.53096491487338</x:v>
      </x:c>
      <x:c r="I590" t="n">
        <x:f>A590</x:f>
        <x:v>573</x:v>
      </x:c>
      <x:c r="J590" t="n">
        <x:f>F590</x:f>
        <x:v>99.51832460732984</x:v>
      </x:c>
      <x:c r="K590" t="n">
        <x:f>G590</x:f>
        <x:v>100.53096491487338</x:v>
      </x:c>
    </x:row>
    <x:row r="591">
      <x:c r="A591" t="n">
        <x:v>574</x:v>
      </x:c>
      <x:c r="B591" s="40" t="n">
        <x:v>1.0745103578375166</x:v>
      </x:c>
      <x:c r="C591" s="40" t="n">
        <x:v>1.9606489680832722</x:v>
      </x:c>
      <x:c r="D591" s="40" t="n">
        <x:v>-1.0864423239531158</x:v>
      </x:c>
      <x:c r="E591" t="n">
        <x:f>--((B591^2/$B$4^2+C591^2/$B$5^2+D591^2/$B$6^2)&lt;=1)</x:f>
        <x:v>1</x:v>
      </x:c>
      <x:c r="F591" s="42" t="n">
        <x:f>$B$8*SUM($E$18:E591)/A591</x:f>
        <x:v>99.6794425087108</x:v>
      </x:c>
      <x:c r="G591" s="42" t="n">
        <x:f>$B$11</x:f>
        <x:v>100.53096491487338</x:v>
      </x:c>
      <x:c r="I591" t="n">
        <x:f>A591</x:f>
        <x:v>574</x:v>
      </x:c>
      <x:c r="J591" t="n">
        <x:f>F591</x:f>
        <x:v>99.6794425087108</x:v>
      </x:c>
      <x:c r="K591" t="n">
        <x:f>G591</x:f>
        <x:v>100.53096491487338</x:v>
      </x:c>
    </x:row>
    <x:row r="592">
      <x:c r="A592" t="n">
        <x:v>575</x:v>
      </x:c>
      <x:c r="B592" s="40" t="n">
        <x:v>1.4080620675246762</x:v>
      </x:c>
      <x:c r="C592" s="40" t="n">
        <x:v>0.27122940733584056</x:v>
      </x:c>
      <x:c r="D592" s="40" t="n">
        <x:v>2.789349497178635</x:v>
      </x:c>
      <x:c r="E592" t="n">
        <x:f>--((B592^2/$B$4^2+C592^2/$B$5^2+D592^2/$B$6^2)&lt;=1)</x:f>
        <x:v>1</x:v>
      </x:c>
      <x:c r="F592" s="42" t="n">
        <x:f>$B$8*SUM($E$18:E592)/A592</x:f>
        <x:v>99.84</x:v>
      </x:c>
      <x:c r="G592" s="42" t="n">
        <x:f>$B$11</x:f>
        <x:v>100.53096491487338</x:v>
      </x:c>
      <x:c r="I592" t="n">
        <x:f>A592</x:f>
        <x:v>575</x:v>
      </x:c>
      <x:c r="J592" t="n">
        <x:f>F592</x:f>
        <x:v>99.84</x:v>
      </x:c>
      <x:c r="K592" t="n">
        <x:f>G592</x:f>
        <x:v>100.53096491487338</x:v>
      </x:c>
    </x:row>
    <x:row r="593">
      <x:c r="A593" t="n">
        <x:v>576</x:v>
      </x:c>
      <x:c r="B593" s="40" t="n">
        <x:v>0.01916593161399227</x:v>
      </x:c>
      <x:c r="C593" s="40" t="n">
        <x:v>0.7194958811046304</x:v>
      </x:c>
      <x:c r="D593" s="40" t="n">
        <x:v>-2.47485794715206</x:v>
      </x:c>
      <x:c r="E593" t="n">
        <x:f>--((B593^2/$B$4^2+C593^2/$B$5^2+D593^2/$B$6^2)&lt;=1)</x:f>
        <x:v>1</x:v>
      </x:c>
      <x:c r="F593" s="42" t="n">
        <x:f>$B$8*SUM($E$18:E593)/A593</x:f>
        <x:v>100</x:v>
      </x:c>
      <x:c r="G593" s="42" t="n">
        <x:f>$B$11</x:f>
        <x:v>100.53096491487338</x:v>
      </x:c>
      <x:c r="I593" t="n">
        <x:f>A593</x:f>
        <x:v>576</x:v>
      </x:c>
      <x:c r="J593" t="n">
        <x:f>F593</x:f>
        <x:v>100</x:v>
      </x:c>
      <x:c r="K593" t="n">
        <x:f>G593</x:f>
        <x:v>100.53096491487338</x:v>
      </x:c>
    </x:row>
    <x:row r="594">
      <x:c r="A594" t="n">
        <x:v>577</x:v>
      </x:c>
      <x:c r="B594" s="40" t="n">
        <x:v>1.6382089754853997</x:v>
      </x:c>
      <x:c r="C594" s="40" t="n">
        <x:v>1.1803496716473205</x:v>
      </x:c>
      <x:c r="D594" s="40" t="n">
        <x:v>2.5709930906214</x:v>
      </x:c>
      <x:c r="E594" t="n">
        <x:f>--((B594^2/$B$4^2+C594^2/$B$5^2+D594^2/$B$6^2)&lt;=1)</x:f>
        <x:v>0</x:v>
      </x:c>
      <x:c r="F594" s="42" t="n">
        <x:f>$B$8*SUM($E$18:E594)/A594</x:f>
        <x:v>99.8266897746967</x:v>
      </x:c>
      <x:c r="G594" s="42" t="n">
        <x:f>$B$11</x:f>
        <x:v>100.53096491487338</x:v>
      </x:c>
      <x:c r="I594" t="n">
        <x:f>A594</x:f>
        <x:v>577</x:v>
      </x:c>
      <x:c r="J594" t="n">
        <x:f>F594</x:f>
        <x:v>99.8266897746967</x:v>
      </x:c>
      <x:c r="K594" t="n">
        <x:f>G594</x:f>
        <x:v>100.53096491487338</x:v>
      </x:c>
    </x:row>
    <x:row r="595">
      <x:c r="A595" t="n">
        <x:v>578</x:v>
      </x:c>
      <x:c r="B595" s="40" t="n">
        <x:v>0.34849576214792233</x:v>
      </x:c>
      <x:c r="C595" s="40" t="n">
        <x:v>2.153797498160584</x:v>
      </x:c>
      <x:c r="D595" s="40" t="n">
        <x:v>-3.3674465810563543</x:v>
      </x:c>
      <x:c r="E595" t="n">
        <x:f>--((B595^2/$B$4^2+C595^2/$B$5^2+D595^2/$B$6^2)&lt;=1)</x:f>
        <x:v>0</x:v>
      </x:c>
      <x:c r="F595" s="42" t="n">
        <x:f>$B$8*SUM($E$18:E595)/A595</x:f>
        <x:v>99.65397923875433</x:v>
      </x:c>
      <x:c r="G595" s="42" t="n">
        <x:f>$B$11</x:f>
        <x:v>100.53096491487338</x:v>
      </x:c>
      <x:c r="I595" t="n">
        <x:f>A595</x:f>
        <x:v>578</x:v>
      </x:c>
      <x:c r="J595" t="n">
        <x:f>F595</x:f>
        <x:v>99.65397923875433</x:v>
      </x:c>
      <x:c r="K595" t="n">
        <x:f>G595</x:f>
        <x:v>100.53096491487338</x:v>
      </x:c>
    </x:row>
    <x:row r="596">
      <x:c r="A596" t="n">
        <x:v>579</x:v>
      </x:c>
      <x:c r="B596" s="40" t="n">
        <x:v>1.401097195334887</x:v>
      </x:c>
      <x:c r="C596" s="40" t="n">
        <x:v>-2.266262776783088</x:v>
      </x:c>
      <x:c r="D596" s="40" t="n">
        <x:v>-0.08616746248007967</x:v>
      </x:c>
      <x:c r="E596" t="n">
        <x:f>--((B596^2/$B$4^2+C596^2/$B$5^2+D596^2/$B$6^2)&lt;=1)</x:f>
        <x:v>0</x:v>
      </x:c>
      <x:c r="F596" s="42" t="n">
        <x:f>$B$8*SUM($E$18:E596)/A596</x:f>
        <x:v>99.48186528497409</x:v>
      </x:c>
      <x:c r="G596" s="42" t="n">
        <x:f>$B$11</x:f>
        <x:v>100.53096491487338</x:v>
      </x:c>
      <x:c r="I596" t="n">
        <x:f>A596</x:f>
        <x:v>579</x:v>
      </x:c>
      <x:c r="J596" t="n">
        <x:f>F596</x:f>
        <x:v>99.48186528497409</x:v>
      </x:c>
      <x:c r="K596" t="n">
        <x:f>G596</x:f>
        <x:v>100.53096491487338</x:v>
      </x:c>
    </x:row>
    <x:row r="597">
      <x:c r="A597" t="n">
        <x:v>580</x:v>
      </x:c>
      <x:c r="B597" s="40" t="n">
        <x:v>-0.6376368176339029</x:v>
      </x:c>
      <x:c r="C597" s="40" t="n">
        <x:v>2.5570931776491808</x:v>
      </x:c>
      <x:c r="D597" s="40" t="n">
        <x:v>-3.3973547004343727</x:v>
      </x:c>
      <x:c r="E597" t="n">
        <x:f>--((B597^2/$B$4^2+C597^2/$B$5^2+D597^2/$B$6^2)&lt;=1)</x:f>
        <x:v>0</x:v>
      </x:c>
      <x:c r="F597" s="42" t="n">
        <x:f>$B$8*SUM($E$18:E597)/A597</x:f>
        <x:v>99.3103448275862</x:v>
      </x:c>
      <x:c r="G597" s="42" t="n">
        <x:f>$B$11</x:f>
        <x:v>100.53096491487338</x:v>
      </x:c>
      <x:c r="I597" t="n">
        <x:f>A597</x:f>
        <x:v>580</x:v>
      </x:c>
      <x:c r="J597" t="n">
        <x:f>F597</x:f>
        <x:v>99.3103448275862</x:v>
      </x:c>
      <x:c r="K597" t="n">
        <x:f>G597</x:f>
        <x:v>100.53096491487338</x:v>
      </x:c>
    </x:row>
    <x:row r="598">
      <x:c r="A598" t="n">
        <x:v>581</x:v>
      </x:c>
      <x:c r="B598" s="40" t="n">
        <x:v>-0.004732165874059113</x:v>
      </x:c>
      <x:c r="C598" s="40" t="n">
        <x:v>-2.8438955786905797</x:v>
      </x:c>
      <x:c r="D598" s="40" t="n">
        <x:v>1.4232286804921142</x:v>
      </x:c>
      <x:c r="E598" t="n">
        <x:f>--((B598^2/$B$4^2+C598^2/$B$5^2+D598^2/$B$6^2)&lt;=1)</x:f>
        <x:v>0</x:v>
      </x:c>
      <x:c r="F598" s="42" t="n">
        <x:f>$B$8*SUM($E$18:E598)/A598</x:f>
        <x:v>99.1394148020654</x:v>
      </x:c>
      <x:c r="G598" s="42" t="n">
        <x:f>$B$11</x:f>
        <x:v>100.53096491487338</x:v>
      </x:c>
      <x:c r="I598" t="n">
        <x:f>A598</x:f>
        <x:v>581</x:v>
      </x:c>
      <x:c r="J598" t="n">
        <x:f>F598</x:f>
        <x:v>99.1394148020654</x:v>
      </x:c>
      <x:c r="K598" t="n">
        <x:f>G598</x:f>
        <x:v>100.53096491487338</x:v>
      </x:c>
    </x:row>
    <x:row r="599">
      <x:c r="A599" t="n">
        <x:v>582</x:v>
      </x:c>
      <x:c r="B599" s="40" t="n">
        <x:v>0.1256441640183108</x:v>
      </x:c>
      <x:c r="C599" s="40" t="n">
        <x:v>2.017198505746652</x:v>
      </x:c>
      <x:c r="D599" s="40" t="n">
        <x:v>2.324811912444802</x:v>
      </x:c>
      <x:c r="E599" t="n">
        <x:f>--((B599^2/$B$4^2+C599^2/$B$5^2+D599^2/$B$6^2)&lt;=1)</x:f>
        <x:v>1</x:v>
      </x:c>
      <x:c r="F599" s="42" t="n">
        <x:f>$B$8*SUM($E$18:E599)/A599</x:f>
        <x:v>99.29896907216495</x:v>
      </x:c>
      <x:c r="G599" s="42" t="n">
        <x:f>$B$11</x:f>
        <x:v>100.53096491487338</x:v>
      </x:c>
      <x:c r="I599" t="n">
        <x:f>A599</x:f>
        <x:v>582</x:v>
      </x:c>
      <x:c r="J599" t="n">
        <x:f>F599</x:f>
        <x:v>99.29896907216495</x:v>
      </x:c>
      <x:c r="K599" t="n">
        <x:f>G599</x:f>
        <x:v>100.53096491487338</x:v>
      </x:c>
    </x:row>
    <x:row r="600">
      <x:c r="A600" t="n">
        <x:v>583</x:v>
      </x:c>
      <x:c r="B600" s="40" t="n">
        <x:v>-1.5800811364157177</x:v>
      </x:c>
      <x:c r="C600" s="40" t="n">
        <x:v>-2.5395574406418167</x:v>
      </x:c>
      <x:c r="D600" s="40" t="n">
        <x:v>2.798868385974423</x:v>
      </x:c>
      <x:c r="E600" t="n">
        <x:f>--((B600^2/$B$4^2+C600^2/$B$5^2+D600^2/$B$6^2)&lt;=1)</x:f>
        <x:v>0</x:v>
      </x:c>
      <x:c r="F600" s="42" t="n">
        <x:f>$B$8*SUM($E$18:E600)/A600</x:f>
        <x:v>99.1286449399657</x:v>
      </x:c>
      <x:c r="G600" s="42" t="n">
        <x:f>$B$11</x:f>
        <x:v>100.53096491487338</x:v>
      </x:c>
      <x:c r="I600" t="n">
        <x:f>A600</x:f>
        <x:v>583</x:v>
      </x:c>
      <x:c r="J600" t="n">
        <x:f>F600</x:f>
        <x:v>99.1286449399657</x:v>
      </x:c>
      <x:c r="K600" t="n">
        <x:f>G600</x:f>
        <x:v>100.53096491487338</x:v>
      </x:c>
    </x:row>
    <x:row r="601">
      <x:c r="A601" t="n">
        <x:v>584</x:v>
      </x:c>
      <x:c r="B601" s="40" t="n">
        <x:v>-0.40578997319383747</x:v>
      </x:c>
      <x:c r="C601" s="40" t="n">
        <x:v>-1.8322307303704664</x:v>
      </x:c>
      <x:c r="D601" s="40" t="n">
        <x:v>3.85009800595191</x:v>
      </x:c>
      <x:c r="E601" t="n">
        <x:f>--((B601^2/$B$4^2+C601^2/$B$5^2+D601^2/$B$6^2)&lt;=1)</x:f>
        <x:v>0</x:v>
      </x:c>
      <x:c r="F601" s="42" t="n">
        <x:f>$B$8*SUM($E$18:E601)/A601</x:f>
        <x:v>98.95890410958904</x:v>
      </x:c>
      <x:c r="G601" s="42" t="n">
        <x:f>$B$11</x:f>
        <x:v>100.53096491487338</x:v>
      </x:c>
      <x:c r="I601" t="n">
        <x:f>A601</x:f>
        <x:v>584</x:v>
      </x:c>
      <x:c r="J601" t="n">
        <x:f>F601</x:f>
        <x:v>98.95890410958904</x:v>
      </x:c>
      <x:c r="K601" t="n">
        <x:f>G601</x:f>
        <x:v>100.53096491487338</x:v>
      </x:c>
    </x:row>
    <x:row r="602">
      <x:c r="A602" t="n">
        <x:v>585</x:v>
      </x:c>
      <x:c r="B602" s="40" t="n">
        <x:v>1.6693506902067043</x:v>
      </x:c>
      <x:c r="C602" s="40" t="n">
        <x:v>-2.9766351217132043</x:v>
      </x:c>
      <x:c r="D602" s="40" t="n">
        <x:v>1.3761257783966947</x:v>
      </x:c>
      <x:c r="E602" t="n">
        <x:f>--((B602^2/$B$4^2+C602^2/$B$5^2+D602^2/$B$6^2)&lt;=1)</x:f>
        <x:v>0</x:v>
      </x:c>
      <x:c r="F602" s="42" t="n">
        <x:f>$B$8*SUM($E$18:E602)/A602</x:f>
        <x:v>98.7897435897436</x:v>
      </x:c>
      <x:c r="G602" s="42" t="n">
        <x:f>$B$11</x:f>
        <x:v>100.53096491487338</x:v>
      </x:c>
      <x:c r="I602" t="n">
        <x:f>A602</x:f>
        <x:v>585</x:v>
      </x:c>
      <x:c r="J602" t="n">
        <x:f>F602</x:f>
        <x:v>98.7897435897436</x:v>
      </x:c>
      <x:c r="K602" t="n">
        <x:f>G602</x:f>
        <x:v>100.53096491487338</x:v>
      </x:c>
    </x:row>
    <x:row r="603">
      <x:c r="A603" t="n">
        <x:v>586</x:v>
      </x:c>
      <x:c r="B603" s="40" t="n">
        <x:v>0.5233289614589696</x:v>
      </x:c>
      <x:c r="C603" s="40" t="n">
        <x:v>-0.3284597667837561</x:v>
      </x:c>
      <x:c r="D603" s="40" t="n">
        <x:v>2.1524953107201625</x:v>
      </x:c>
      <x:c r="E603" t="n">
        <x:f>--((B603^2/$B$4^2+C603^2/$B$5^2+D603^2/$B$6^2)&lt;=1)</x:f>
        <x:v>1</x:v>
      </x:c>
      <x:c r="F603" s="42" t="n">
        <x:f>$B$8*SUM($E$18:E603)/A603</x:f>
        <x:v>98.94880546075085</x:v>
      </x:c>
      <x:c r="G603" s="42" t="n">
        <x:f>$B$11</x:f>
        <x:v>100.53096491487338</x:v>
      </x:c>
      <x:c r="I603" t="n">
        <x:f>A603</x:f>
        <x:v>586</x:v>
      </x:c>
      <x:c r="J603" t="n">
        <x:f>F603</x:f>
        <x:v>98.94880546075085</x:v>
      </x:c>
      <x:c r="K603" t="n">
        <x:f>G603</x:f>
        <x:v>100.53096491487338</x:v>
      </x:c>
    </x:row>
    <x:row r="604">
      <x:c r="A604" t="n">
        <x:v>587</x:v>
      </x:c>
      <x:c r="B604" s="40" t="n">
        <x:v>-1.28997367025213</x:v>
      </x:c>
      <x:c r="C604" s="40" t="n">
        <x:v>-0.9938446396956464</x:v>
      </x:c>
      <x:c r="D604" s="40" t="n">
        <x:v>0.04606622657063486</x:v>
      </x:c>
      <x:c r="E604" t="n">
        <x:f>--((B604^2/$B$4^2+C604^2/$B$5^2+D604^2/$B$6^2)&lt;=1)</x:f>
        <x:v>1</x:v>
      </x:c>
      <x:c r="F604" s="42" t="n">
        <x:f>$B$8*SUM($E$18:E604)/A604</x:f>
        <x:v>99.10732538330494</x:v>
      </x:c>
      <x:c r="G604" s="42" t="n">
        <x:f>$B$11</x:f>
        <x:v>100.53096491487338</x:v>
      </x:c>
      <x:c r="I604" t="n">
        <x:f>A604</x:f>
        <x:v>587</x:v>
      </x:c>
      <x:c r="J604" t="n">
        <x:f>F604</x:f>
        <x:v>99.10732538330494</x:v>
      </x:c>
      <x:c r="K604" t="n">
        <x:f>G604</x:f>
        <x:v>100.53096491487338</x:v>
      </x:c>
    </x:row>
    <x:row r="605">
      <x:c r="A605" t="n">
        <x:v>588</x:v>
      </x:c>
      <x:c r="B605" s="40" t="n">
        <x:v>-0.6445774575615801</x:v>
      </x:c>
      <x:c r="C605" s="40" t="n">
        <x:v>-2.004042531077836</x:v>
      </x:c>
      <x:c r="D605" s="40" t="n">
        <x:v>3.3018952094490093</x:v>
      </x:c>
      <x:c r="E605" t="n">
        <x:f>--((B605^2/$B$4^2+C605^2/$B$5^2+D605^2/$B$6^2)&lt;=1)</x:f>
        <x:v>0</x:v>
      </x:c>
      <x:c r="F605" s="42" t="n">
        <x:f>$B$8*SUM($E$18:E605)/A605</x:f>
        <x:v>98.93877551020408</x:v>
      </x:c>
      <x:c r="G605" s="42" t="n">
        <x:f>$B$11</x:f>
        <x:v>100.53096491487338</x:v>
      </x:c>
      <x:c r="I605" t="n">
        <x:f>A605</x:f>
        <x:v>588</x:v>
      </x:c>
      <x:c r="J605" t="n">
        <x:f>F605</x:f>
        <x:v>98.93877551020408</x:v>
      </x:c>
      <x:c r="K605" t="n">
        <x:f>G605</x:f>
        <x:v>100.53096491487338</x:v>
      </x:c>
    </x:row>
    <x:row r="606">
      <x:c r="A606" t="n">
        <x:v>589</x:v>
      </x:c>
      <x:c r="B606" s="40" t="n">
        <x:v>-1.2335879613492007</x:v>
      </x:c>
      <x:c r="C606" s="40" t="n">
        <x:v>-0.29345903517656247</x:v>
      </x:c>
      <x:c r="D606" s="40" t="n">
        <x:v>1.1500670575957006</x:v>
      </x:c>
      <x:c r="E606" t="n">
        <x:f>--((B606^2/$B$4^2+C606^2/$B$5^2+D606^2/$B$6^2)&lt;=1)</x:f>
        <x:v>1</x:v>
      </x:c>
      <x:c r="F606" s="42" t="n">
        <x:f>$B$8*SUM($E$18:E606)/A606</x:f>
        <x:v>99.09677419354838</x:v>
      </x:c>
      <x:c r="G606" s="42" t="n">
        <x:f>$B$11</x:f>
        <x:v>100.53096491487338</x:v>
      </x:c>
      <x:c r="I606" t="n">
        <x:f>A606</x:f>
        <x:v>589</x:v>
      </x:c>
      <x:c r="J606" t="n">
        <x:f>F606</x:f>
        <x:v>99.09677419354838</x:v>
      </x:c>
      <x:c r="K606" t="n">
        <x:f>G606</x:f>
        <x:v>100.53096491487338</x:v>
      </x:c>
    </x:row>
    <x:row r="607">
      <x:c r="A607" t="n">
        <x:v>590</x:v>
      </x:c>
      <x:c r="B607" s="40" t="n">
        <x:v>-1.9007074728057098</x:v>
      </x:c>
      <x:c r="C607" s="40" t="n">
        <x:v>-0.5857747009668968</x:v>
      </x:c>
      <x:c r="D607" s="40" t="n">
        <x:v>3.0684112500107474</x:v>
      </x:c>
      <x:c r="E607" t="n">
        <x:f>--((B607^2/$B$4^2+C607^2/$B$5^2+D607^2/$B$6^2)&lt;=1)</x:f>
        <x:v>0</x:v>
      </x:c>
      <x:c r="F607" s="42" t="n">
        <x:f>$B$8*SUM($E$18:E607)/A607</x:f>
        <x:v>98.92881355932204</x:v>
      </x:c>
      <x:c r="G607" s="42" t="n">
        <x:f>$B$11</x:f>
        <x:v>100.53096491487338</x:v>
      </x:c>
      <x:c r="I607" t="n">
        <x:f>A607</x:f>
        <x:v>590</x:v>
      </x:c>
      <x:c r="J607" t="n">
        <x:f>F607</x:f>
        <x:v>98.92881355932204</x:v>
      </x:c>
      <x:c r="K607" t="n">
        <x:f>G607</x:f>
        <x:v>100.53096491487338</x:v>
      </x:c>
    </x:row>
    <x:row r="608">
      <x:c r="A608" t="n">
        <x:v>591</x:v>
      </x:c>
      <x:c r="B608" s="40" t="n">
        <x:v>1.7098418340161068</x:v>
      </x:c>
      <x:c r="C608" s="40" t="n">
        <x:v>1.6059661961924494</x:v>
      </x:c>
      <x:c r="D608" s="40" t="n">
        <x:v>-2.116383863888953</x:v>
      </x:c>
      <x:c r="E608" t="n">
        <x:f>--((B608^2/$B$4^2+C608^2/$B$5^2+D608^2/$B$6^2)&lt;=1)</x:f>
        <x:v>0</x:v>
      </x:c>
      <x:c r="F608" s="42" t="n">
        <x:f>$B$8*SUM($E$18:E608)/A608</x:f>
        <x:v>98.76142131979695</x:v>
      </x:c>
      <x:c r="G608" s="42" t="n">
        <x:f>$B$11</x:f>
        <x:v>100.53096491487338</x:v>
      </x:c>
      <x:c r="I608" t="n">
        <x:f>A608</x:f>
        <x:v>591</x:v>
      </x:c>
      <x:c r="J608" t="n">
        <x:f>F608</x:f>
        <x:v>98.76142131979695</x:v>
      </x:c>
      <x:c r="K608" t="n">
        <x:f>G608</x:f>
        <x:v>100.53096491487338</x:v>
      </x:c>
    </x:row>
    <x:row r="609">
      <x:c r="A609" t="n">
        <x:v>592</x:v>
      </x:c>
      <x:c r="B609" s="40" t="n">
        <x:v>-0.20717068697251406</x:v>
      </x:c>
      <x:c r="C609" s="40" t="n">
        <x:v>2.358781836420194</x:v>
      </x:c>
      <x:c r="D609" s="40" t="n">
        <x:v>-0.02609775425548566</x:v>
      </x:c>
      <x:c r="E609" t="n">
        <x:f>--((B609^2/$B$4^2+C609^2/$B$5^2+D609^2/$B$6^2)&lt;=1)</x:f>
        <x:v>1</x:v>
      </x:c>
      <x:c r="F609" s="42" t="n">
        <x:f>$B$8*SUM($E$18:E609)/A609</x:f>
        <x:v>98.91891891891892</x:v>
      </x:c>
      <x:c r="G609" s="42" t="n">
        <x:f>$B$11</x:f>
        <x:v>100.53096491487338</x:v>
      </x:c>
      <x:c r="I609" t="n">
        <x:f>A609</x:f>
        <x:v>592</x:v>
      </x:c>
      <x:c r="J609" t="n">
        <x:f>F609</x:f>
        <x:v>98.91891891891892</x:v>
      </x:c>
      <x:c r="K609" t="n">
        <x:f>G609</x:f>
        <x:v>100.53096491487338</x:v>
      </x:c>
    </x:row>
    <x:row r="610">
      <x:c r="A610" t="n">
        <x:v>593</x:v>
      </x:c>
      <x:c r="B610" s="40" t="n">
        <x:v>-0.7698597103168554</x:v>
      </x:c>
      <x:c r="C610" s="40" t="n">
        <x:v>0.9154035106024914</x:v>
      </x:c>
      <x:c r="D610" s="40" t="n">
        <x:v>1.8385513685104318</x:v>
      </x:c>
      <x:c r="E610" t="n">
        <x:f>--((B610^2/$B$4^2+C610^2/$B$5^2+D610^2/$B$6^2)&lt;=1)</x:f>
        <x:v>1</x:v>
      </x:c>
      <x:c r="F610" s="42" t="n">
        <x:f>$B$8*SUM($E$18:E610)/A610</x:f>
        <x:v>99.07588532883642</x:v>
      </x:c>
      <x:c r="G610" s="42" t="n">
        <x:f>$B$11</x:f>
        <x:v>100.53096491487338</x:v>
      </x:c>
      <x:c r="I610" t="n">
        <x:f>A610</x:f>
        <x:v>593</x:v>
      </x:c>
      <x:c r="J610" t="n">
        <x:f>F610</x:f>
        <x:v>99.07588532883642</x:v>
      </x:c>
      <x:c r="K610" t="n">
        <x:f>G610</x:f>
        <x:v>100.53096491487338</x:v>
      </x:c>
    </x:row>
    <x:row r="611">
      <x:c r="A611" t="n">
        <x:v>594</x:v>
      </x:c>
      <x:c r="B611" s="40" t="n">
        <x:v>0.3939087662309464</x:v>
      </x:c>
      <x:c r="C611" s="40" t="n">
        <x:v>-2.253537667640857</x:v>
      </x:c>
      <x:c r="D611" s="40" t="n">
        <x:v>-2.378225963498534</x:v>
      </x:c>
      <x:c r="E611" t="n">
        <x:f>--((B611^2/$B$4^2+C611^2/$B$5^2+D611^2/$B$6^2)&lt;=1)</x:f>
        <x:v>1</x:v>
      </x:c>
      <x:c r="F611" s="42" t="n">
        <x:f>$B$8*SUM($E$18:E611)/A611</x:f>
        <x:v>99.23232323232324</x:v>
      </x:c>
      <x:c r="G611" s="42" t="n">
        <x:f>$B$11</x:f>
        <x:v>100.53096491487338</x:v>
      </x:c>
      <x:c r="I611" t="n">
        <x:f>A611</x:f>
        <x:v>594</x:v>
      </x:c>
      <x:c r="J611" t="n">
        <x:f>F611</x:f>
        <x:v>99.23232323232324</x:v>
      </x:c>
      <x:c r="K611" t="n">
        <x:f>G611</x:f>
        <x:v>100.53096491487338</x:v>
      </x:c>
    </x:row>
    <x:row r="612">
      <x:c r="A612" t="n">
        <x:v>595</x:v>
      </x:c>
      <x:c r="B612" s="40" t="n">
        <x:v>-1.9707421748279375</x:v>
      </x:c>
      <x:c r="C612" s="40" t="n">
        <x:v>-1.2276552317408962</x:v>
      </x:c>
      <x:c r="D612" s="40" t="n">
        <x:v>-2.309281653904174</x:v>
      </x:c>
      <x:c r="E612" t="n">
        <x:f>--((B612^2/$B$4^2+C612^2/$B$5^2+D612^2/$B$6^2)&lt;=1)</x:f>
        <x:v>0</x:v>
      </x:c>
      <x:c r="F612" s="42" t="n">
        <x:f>$B$8*SUM($E$18:E612)/A612</x:f>
        <x:v>99.0655462184874</x:v>
      </x:c>
      <x:c r="G612" s="42" t="n">
        <x:f>$B$11</x:f>
        <x:v>100.53096491487338</x:v>
      </x:c>
      <x:c r="I612" t="n">
        <x:f>A612</x:f>
        <x:v>595</x:v>
      </x:c>
      <x:c r="J612" t="n">
        <x:f>F612</x:f>
        <x:v>99.0655462184874</x:v>
      </x:c>
      <x:c r="K612" t="n">
        <x:f>G612</x:f>
        <x:v>100.53096491487338</x:v>
      </x:c>
    </x:row>
    <x:row r="613">
      <x:c r="A613" t="n">
        <x:v>596</x:v>
      </x:c>
      <x:c r="B613" s="40" t="n">
        <x:v>-0.8879115735967447</x:v>
      </x:c>
      <x:c r="C613" s="40" t="n">
        <x:v>2.4799097809936788</x:v>
      </x:c>
      <x:c r="D613" s="40" t="n">
        <x:v>3.8243419232450995</x:v>
      </x:c>
      <x:c r="E613" t="n">
        <x:f>--((B613^2/$B$4^2+C613^2/$B$5^2+D613^2/$B$6^2)&lt;=1)</x:f>
        <x:v>0</x:v>
      </x:c>
      <x:c r="F613" s="42" t="n">
        <x:f>$B$8*SUM($E$18:E613)/A613</x:f>
        <x:v>98.8993288590604</x:v>
      </x:c>
      <x:c r="G613" s="42" t="n">
        <x:f>$B$11</x:f>
        <x:v>100.53096491487338</x:v>
      </x:c>
      <x:c r="I613" t="n">
        <x:f>A613</x:f>
        <x:v>596</x:v>
      </x:c>
      <x:c r="J613" t="n">
        <x:f>F613</x:f>
        <x:v>98.8993288590604</x:v>
      </x:c>
      <x:c r="K613" t="n">
        <x:f>G613</x:f>
        <x:v>100.53096491487338</x:v>
      </x:c>
    </x:row>
    <x:row r="614">
      <x:c r="A614" t="n">
        <x:v>597</x:v>
      </x:c>
      <x:c r="B614" s="40" t="n">
        <x:v>0.8121338627955703</x:v>
      </x:c>
      <x:c r="C614" s="40" t="n">
        <x:v>-2.4675930419526653</x:v>
      </x:c>
      <x:c r="D614" s="40" t="n">
        <x:v>-0.5231171141023516</x:v>
      </x:c>
      <x:c r="E614" t="n">
        <x:f>--((B614^2/$B$4^2+C614^2/$B$5^2+D614^2/$B$6^2)&lt;=1)</x:f>
        <x:v>1</x:v>
      </x:c>
      <x:c r="F614" s="42" t="n">
        <x:f>$B$8*SUM($E$18:E614)/A614</x:f>
        <x:v>99.05527638190955</x:v>
      </x:c>
      <x:c r="G614" s="42" t="n">
        <x:f>$B$11</x:f>
        <x:v>100.53096491487338</x:v>
      </x:c>
      <x:c r="I614" t="n">
        <x:f>A614</x:f>
        <x:v>597</x:v>
      </x:c>
      <x:c r="J614" t="n">
        <x:f>F614</x:f>
        <x:v>99.05527638190955</x:v>
      </x:c>
      <x:c r="K614" t="n">
        <x:f>G614</x:f>
        <x:v>100.53096491487338</x:v>
      </x:c>
    </x:row>
    <x:row r="615">
      <x:c r="A615" t="n">
        <x:v>598</x:v>
      </x:c>
      <x:c r="B615" s="40" t="n">
        <x:v>0.5350790922770519</x:v>
      </x:c>
      <x:c r="C615" s="40" t="n">
        <x:v>-0.5588649636550409</x:v>
      </x:c>
      <x:c r="D615" s="40" t="n">
        <x:v>-2.5454763766098267</x:v>
      </x:c>
      <x:c r="E615" t="n">
        <x:f>--((B615^2/$B$4^2+C615^2/$B$5^2+D615^2/$B$6^2)&lt;=1)</x:f>
        <x:v>1</x:v>
      </x:c>
      <x:c r="F615" s="42" t="n">
        <x:f>$B$8*SUM($E$18:E615)/A615</x:f>
        <x:v>99.21070234113712</x:v>
      </x:c>
      <x:c r="G615" s="42" t="n">
        <x:f>$B$11</x:f>
        <x:v>100.53096491487338</x:v>
      </x:c>
      <x:c r="I615" t="n">
        <x:f>A615</x:f>
        <x:v>598</x:v>
      </x:c>
      <x:c r="J615" t="n">
        <x:f>F615</x:f>
        <x:v>99.21070234113712</x:v>
      </x:c>
      <x:c r="K615" t="n">
        <x:f>G615</x:f>
        <x:v>100.53096491487338</x:v>
      </x:c>
    </x:row>
    <x:row r="616">
      <x:c r="A616" t="n">
        <x:v>599</x:v>
      </x:c>
      <x:c r="B616" s="40" t="n">
        <x:v>1.927223790170142</x:v>
      </x:c>
      <x:c r="C616" s="40" t="n">
        <x:v>2.6550277154008874</x:v>
      </x:c>
      <x:c r="D616" s="40" t="n">
        <x:v>-1.348288944147952</x:v>
      </x:c>
      <x:c r="E616" t="n">
        <x:f>--((B616^2/$B$4^2+C616^2/$B$5^2+D616^2/$B$6^2)&lt;=1)</x:f>
        <x:v>0</x:v>
      </x:c>
      <x:c r="F616" s="42" t="n">
        <x:f>$B$8*SUM($E$18:E616)/A616</x:f>
        <x:v>99.04507512520868</x:v>
      </x:c>
      <x:c r="G616" s="42" t="n">
        <x:f>$B$11</x:f>
        <x:v>100.53096491487338</x:v>
      </x:c>
      <x:c r="I616" t="n">
        <x:f>A616</x:f>
        <x:v>599</x:v>
      </x:c>
      <x:c r="J616" t="n">
        <x:f>F616</x:f>
        <x:v>99.04507512520868</x:v>
      </x:c>
      <x:c r="K616" t="n">
        <x:f>G616</x:f>
        <x:v>100.53096491487338</x:v>
      </x:c>
    </x:row>
    <x:row r="617">
      <x:c r="A617" t="n">
        <x:v>600</x:v>
      </x:c>
      <x:c r="B617" s="40" t="n">
        <x:v>0.4814308386321762</x:v>
      </x:c>
      <x:c r="C617" s="40" t="n">
        <x:v>2.703989048816914</x:v>
      </x:c>
      <x:c r="D617" s="40" t="n">
        <x:v>-0.8209908138725952</x:v>
      </x:c>
      <x:c r="E617" t="n">
        <x:f>--((B617^2/$B$4^2+C617^2/$B$5^2+D617^2/$B$6^2)&lt;=1)</x:f>
        <x:v>1</x:v>
      </x:c>
      <x:c r="F617" s="42" t="n">
        <x:f>$B$8*SUM($E$18:E617)/A617</x:f>
        <x:v>99.2</x:v>
      </x:c>
      <x:c r="G617" s="42" t="n">
        <x:f>$B$11</x:f>
        <x:v>100.53096491487338</x:v>
      </x:c>
      <x:c r="I617" t="n">
        <x:f>A617</x:f>
        <x:v>600</x:v>
      </x:c>
      <x:c r="J617" t="n">
        <x:f>F617</x:f>
        <x:v>99.2</x:v>
      </x:c>
      <x:c r="K617" t="n">
        <x:f>G617</x:f>
        <x:v>100.53096491487338</x:v>
      </x:c>
    </x:row>
    <x:row r="618">
      <x:c r="A618" t="n">
        <x:v>601</x:v>
      </x:c>
      <x:c r="B618" s="40" t="n">
        <x:v>-0.08997650548906888</x:v>
      </x:c>
      <x:c r="C618" s="40" t="n">
        <x:v>-0.5327809377066455</x:v>
      </x:c>
      <x:c r="D618" s="40" t="n">
        <x:v>0.9846820597617691</x:v>
      </x:c>
      <x:c r="E618" t="n">
        <x:f>--((B618^2/$B$4^2+C618^2/$B$5^2+D618^2/$B$6^2)&lt;=1)</x:f>
        <x:v>1</x:v>
      </x:c>
      <x:c r="F618" s="42" t="n">
        <x:f>$B$8*SUM($E$18:E618)/A618</x:f>
        <x:v>99.35440931780366</x:v>
      </x:c>
      <x:c r="G618" s="42" t="n">
        <x:f>$B$11</x:f>
        <x:v>100.53096491487338</x:v>
      </x:c>
      <x:c r="I618" t="n">
        <x:f>A618</x:f>
        <x:v>601</x:v>
      </x:c>
      <x:c r="J618" t="n">
        <x:f>F618</x:f>
        <x:v>99.35440931780366</x:v>
      </x:c>
      <x:c r="K618" t="n">
        <x:f>G618</x:f>
        <x:v>100.53096491487338</x:v>
      </x:c>
    </x:row>
    <x:row r="619">
      <x:c r="A619" t="n">
        <x:v>602</x:v>
      </x:c>
      <x:c r="B619" s="40" t="n">
        <x:v>1.0457302527360306</x:v>
      </x:c>
      <x:c r="C619" s="40" t="n">
        <x:v>1.0043813285927845</x:v>
      </x:c>
      <x:c r="D619" s="40" t="n">
        <x:v>3.38411727238202</x:v>
      </x:c>
      <x:c r="E619" t="n">
        <x:f>--((B619^2/$B$4^2+C619^2/$B$5^2+D619^2/$B$6^2)&lt;=1)</x:f>
        <x:v>0</x:v>
      </x:c>
      <x:c r="F619" s="42" t="n">
        <x:f>$B$8*SUM($E$18:E619)/A619</x:f>
        <x:v>99.18936877076412</x:v>
      </x:c>
      <x:c r="G619" s="42" t="n">
        <x:f>$B$11</x:f>
        <x:v>100.53096491487338</x:v>
      </x:c>
      <x:c r="I619" t="n">
        <x:f>A619</x:f>
        <x:v>602</x:v>
      </x:c>
      <x:c r="J619" t="n">
        <x:f>F619</x:f>
        <x:v>99.18936877076412</x:v>
      </x:c>
      <x:c r="K619" t="n">
        <x:f>G619</x:f>
        <x:v>100.53096491487338</x:v>
      </x:c>
    </x:row>
    <x:row r="620">
      <x:c r="A620" t="n">
        <x:v>603</x:v>
      </x:c>
      <x:c r="B620" s="40" t="n">
        <x:v>1.6133114878562123</x:v>
      </x:c>
      <x:c r="C620" s="40" t="n">
        <x:v>-0.25952640987600617</x:v>
      </x:c>
      <x:c r="D620" s="40" t="n">
        <x:v>3.892720607376728</x:v>
      </x:c>
      <x:c r="E620" t="n">
        <x:f>--((B620^2/$B$4^2+C620^2/$B$5^2+D620^2/$B$6^2)&lt;=1)</x:f>
        <x:v>0</x:v>
      </x:c>
      <x:c r="F620" s="42" t="n">
        <x:f>$B$8*SUM($E$18:E620)/A620</x:f>
        <x:v>99.02487562189054</x:v>
      </x:c>
      <x:c r="G620" s="42" t="n">
        <x:f>$B$11</x:f>
        <x:v>100.53096491487338</x:v>
      </x:c>
      <x:c r="I620" t="n">
        <x:f>A620</x:f>
        <x:v>603</x:v>
      </x:c>
      <x:c r="J620" t="n">
        <x:f>F620</x:f>
        <x:v>99.02487562189054</x:v>
      </x:c>
      <x:c r="K620" t="n">
        <x:f>G620</x:f>
        <x:v>100.53096491487338</x:v>
      </x:c>
    </x:row>
    <x:row r="621">
      <x:c r="A621" t="n">
        <x:v>604</x:v>
      </x:c>
      <x:c r="B621" s="40" t="n">
        <x:v>0.8827837868734063</x:v>
      </x:c>
      <x:c r="C621" s="40" t="n">
        <x:v>1.5207632366180501</x:v>
      </x:c>
      <x:c r="D621" s="40" t="n">
        <x:v>1.2135900712889</x:v>
      </x:c>
      <x:c r="E621" t="n">
        <x:f>--((B621^2/$B$4^2+C621^2/$B$5^2+D621^2/$B$6^2)&lt;=1)</x:f>
        <x:v>1</x:v>
      </x:c>
      <x:c r="F621" s="42" t="n">
        <x:f>$B$8*SUM($E$18:E621)/A621</x:f>
        <x:v>99.17880794701986</x:v>
      </x:c>
      <x:c r="G621" s="42" t="n">
        <x:f>$B$11</x:f>
        <x:v>100.53096491487338</x:v>
      </x:c>
      <x:c r="I621" t="n">
        <x:f>A621</x:f>
        <x:v>604</x:v>
      </x:c>
      <x:c r="J621" t="n">
        <x:f>F621</x:f>
        <x:v>99.17880794701986</x:v>
      </x:c>
      <x:c r="K621" t="n">
        <x:f>G621</x:f>
        <x:v>100.53096491487338</x:v>
      </x:c>
    </x:row>
    <x:row r="622">
      <x:c r="A622" t="n">
        <x:v>605</x:v>
      </x:c>
      <x:c r="B622" s="40" t="n">
        <x:v>1.8528448941975184</x:v>
      </x:c>
      <x:c r="C622" s="40" t="n">
        <x:v>-2.8105120158420087</x:v>
      </x:c>
      <x:c r="D622" s="40" t="n">
        <x:v>1.599378886381798</x:v>
      </x:c>
      <x:c r="E622" t="n">
        <x:f>--((B622^2/$B$4^2+C622^2/$B$5^2+D622^2/$B$6^2)&lt;=1)</x:f>
        <x:v>0</x:v>
      </x:c>
      <x:c r="F622" s="42" t="n">
        <x:f>$B$8*SUM($E$18:E622)/A622</x:f>
        <x:v>99.01487603305785</x:v>
      </x:c>
      <x:c r="G622" s="42" t="n">
        <x:f>$B$11</x:f>
        <x:v>100.53096491487338</x:v>
      </x:c>
      <x:c r="I622" t="n">
        <x:f>A622</x:f>
        <x:v>605</x:v>
      </x:c>
      <x:c r="J622" t="n">
        <x:f>F622</x:f>
        <x:v>99.01487603305785</x:v>
      </x:c>
      <x:c r="K622" t="n">
        <x:f>G622</x:f>
        <x:v>100.53096491487338</x:v>
      </x:c>
    </x:row>
    <x:row r="623">
      <x:c r="A623" t="n">
        <x:v>606</x:v>
      </x:c>
      <x:c r="B623" s="40" t="n">
        <x:v>1.1280206829527089</x:v>
      </x:c>
      <x:c r="C623" s="40" t="n">
        <x:v>-2.1350571064718493</x:v>
      </x:c>
      <x:c r="D623" s="40" t="n">
        <x:v>-1.4253666424272877</x:v>
      </x:c>
      <x:c r="E623" t="n">
        <x:f>--((B623^2/$B$4^2+C623^2/$B$5^2+D623^2/$B$6^2)&lt;=1)</x:f>
        <x:v>1</x:v>
      </x:c>
      <x:c r="F623" s="42" t="n">
        <x:f>$B$8*SUM($E$18:E623)/A623</x:f>
        <x:v>99.16831683168317</x:v>
      </x:c>
      <x:c r="G623" s="42" t="n">
        <x:f>$B$11</x:f>
        <x:v>100.53096491487338</x:v>
      </x:c>
      <x:c r="I623" t="n">
        <x:f>A623</x:f>
        <x:v>606</x:v>
      </x:c>
      <x:c r="J623" t="n">
        <x:f>F623</x:f>
        <x:v>99.16831683168317</x:v>
      </x:c>
      <x:c r="K623" t="n">
        <x:f>G623</x:f>
        <x:v>100.53096491487338</x:v>
      </x:c>
    </x:row>
    <x:row r="624">
      <x:c r="A624" t="n">
        <x:v>607</x:v>
      </x:c>
      <x:c r="B624" s="40" t="n">
        <x:v>1.4672057530477058</x:v>
      </x:c>
      <x:c r="C624" s="40" t="n">
        <x:v>0.6851928212615954</x:v>
      </x:c>
      <x:c r="D624" s="40" t="n">
        <x:v>2.8572687635899925</x:v>
      </x:c>
      <x:c r="E624" t="n">
        <x:f>--((B624^2/$B$4^2+C624^2/$B$5^2+D624^2/$B$6^2)&lt;=1)</x:f>
        <x:v>0</x:v>
      </x:c>
      <x:c r="F624" s="42" t="n">
        <x:f>$B$8*SUM($E$18:E624)/A624</x:f>
        <x:v>99.00494233937397</x:v>
      </x:c>
      <x:c r="G624" s="42" t="n">
        <x:f>$B$11</x:f>
        <x:v>100.53096491487338</x:v>
      </x:c>
      <x:c r="I624" t="n">
        <x:f>A624</x:f>
        <x:v>607</x:v>
      </x:c>
      <x:c r="J624" t="n">
        <x:f>F624</x:f>
        <x:v>99.00494233937397</x:v>
      </x:c>
      <x:c r="K624" t="n">
        <x:f>G624</x:f>
        <x:v>100.53096491487338</x:v>
      </x:c>
    </x:row>
    <x:row r="625">
      <x:c r="A625" t="n">
        <x:v>608</x:v>
      </x:c>
      <x:c r="B625" s="40" t="n">
        <x:v>-1.5435837152654512</x:v>
      </x:c>
      <x:c r="C625" s="40" t="n">
        <x:v>-1.6046864253416184</x:v>
      </x:c>
      <x:c r="D625" s="40" t="n">
        <x:v>-2.257613318237481</x:v>
      </x:c>
      <x:c r="E625" t="n">
        <x:f>--((B625^2/$B$4^2+C625^2/$B$5^2+D625^2/$B$6^2)&lt;=1)</x:f>
        <x:v>0</x:v>
      </x:c>
      <x:c r="F625" s="42" t="n">
        <x:f>$B$8*SUM($E$18:E625)/A625</x:f>
        <x:v>98.84210526315789</x:v>
      </x:c>
      <x:c r="G625" s="42" t="n">
        <x:f>$B$11</x:f>
        <x:v>100.53096491487338</x:v>
      </x:c>
      <x:c r="I625" t="n">
        <x:f>A625</x:f>
        <x:v>608</x:v>
      </x:c>
      <x:c r="J625" t="n">
        <x:f>F625</x:f>
        <x:v>98.84210526315789</x:v>
      </x:c>
      <x:c r="K625" t="n">
        <x:f>G625</x:f>
        <x:v>100.53096491487338</x:v>
      </x:c>
    </x:row>
    <x:row r="626">
      <x:c r="A626" t="n">
        <x:v>609</x:v>
      </x:c>
      <x:c r="B626" s="40" t="n">
        <x:v>0.9296540119751509</x:v>
      </x:c>
      <x:c r="C626" s="40" t="n">
        <x:v>0.9963137956148911</x:v>
      </x:c>
      <x:c r="D626" s="40" t="n">
        <x:v>-3.1489548055122594</x:v>
      </x:c>
      <x:c r="E626" t="n">
        <x:f>--((B626^2/$B$4^2+C626^2/$B$5^2+D626^2/$B$6^2)&lt;=1)</x:f>
        <x:v>1</x:v>
      </x:c>
      <x:c r="F626" s="42" t="n">
        <x:f>$B$8*SUM($E$18:E626)/A626</x:f>
        <x:v>98.99507389162562</x:v>
      </x:c>
      <x:c r="G626" s="42" t="n">
        <x:f>$B$11</x:f>
        <x:v>100.53096491487338</x:v>
      </x:c>
      <x:c r="I626" t="n">
        <x:f>A626</x:f>
        <x:v>609</x:v>
      </x:c>
      <x:c r="J626" t="n">
        <x:f>F626</x:f>
        <x:v>98.99507389162562</x:v>
      </x:c>
      <x:c r="K626" t="n">
        <x:f>G626</x:f>
        <x:v>100.53096491487338</x:v>
      </x:c>
    </x:row>
    <x:row r="627">
      <x:c r="A627" t="n">
        <x:v>610</x:v>
      </x:c>
      <x:c r="B627" s="40" t="n">
        <x:v>-0.23964520189052552</x:v>
      </x:c>
      <x:c r="C627" s="40" t="n">
        <x:v>-0.8926624352322099</x:v>
      </x:c>
      <x:c r="D627" s="40" t="n">
        <x:v>3.7860479207812068</x:v>
      </x:c>
      <x:c r="E627" t="n">
        <x:f>--((B627^2/$B$4^2+C627^2/$B$5^2+D627^2/$B$6^2)&lt;=1)</x:f>
        <x:v>1</x:v>
      </x:c>
      <x:c r="F627" s="42" t="n">
        <x:f>$B$8*SUM($E$18:E627)/A627</x:f>
        <x:v>99.14754098360656</x:v>
      </x:c>
      <x:c r="G627" s="42" t="n">
        <x:f>$B$11</x:f>
        <x:v>100.53096491487338</x:v>
      </x:c>
      <x:c r="I627" t="n">
        <x:f>A627</x:f>
        <x:v>610</x:v>
      </x:c>
      <x:c r="J627" t="n">
        <x:f>F627</x:f>
        <x:v>99.14754098360656</x:v>
      </x:c>
      <x:c r="K627" t="n">
        <x:f>G627</x:f>
        <x:v>100.53096491487338</x:v>
      </x:c>
    </x:row>
    <x:row r="628">
      <x:c r="A628" t="n">
        <x:v>611</x:v>
      </x:c>
      <x:c r="B628" s="40" t="n">
        <x:v>0.21241520964510086</x:v>
      </x:c>
      <x:c r="C628" s="40" t="n">
        <x:v>2.3198733487669285</x:v>
      </x:c>
      <x:c r="D628" s="40" t="n">
        <x:v>2.913109414564258</x:v>
      </x:c>
      <x:c r="E628" t="n">
        <x:f>--((B628^2/$B$4^2+C628^2/$B$5^2+D628^2/$B$6^2)&lt;=1)</x:f>
        <x:v>0</x:v>
      </x:c>
      <x:c r="F628" s="42" t="n">
        <x:f>$B$8*SUM($E$18:E628)/A628</x:f>
        <x:v>98.98527004909984</x:v>
      </x:c>
      <x:c r="G628" s="42" t="n">
        <x:f>$B$11</x:f>
        <x:v>100.53096491487338</x:v>
      </x:c>
      <x:c r="I628" t="n">
        <x:f>A628</x:f>
        <x:v>611</x:v>
      </x:c>
      <x:c r="J628" t="n">
        <x:f>F628</x:f>
        <x:v>98.98527004909984</x:v>
      </x:c>
      <x:c r="K628" t="n">
        <x:f>G628</x:f>
        <x:v>100.53096491487338</x:v>
      </x:c>
    </x:row>
    <x:row r="629">
      <x:c r="A629" t="n">
        <x:v>612</x:v>
      </x:c>
      <x:c r="B629" s="40" t="n">
        <x:v>0.616409637929427</x:v>
      </x:c>
      <x:c r="C629" s="40" t="n">
        <x:v>1.915556313359919</x:v>
      </x:c>
      <x:c r="D629" s="40" t="n">
        <x:v>-1.5708389236949332</x:v>
      </x:c>
      <x:c r="E629" t="n">
        <x:f>--((B629^2/$B$4^2+C629^2/$B$5^2+D629^2/$B$6^2)&lt;=1)</x:f>
        <x:v>1</x:v>
      </x:c>
      <x:c r="F629" s="42" t="n">
        <x:f>$B$8*SUM($E$18:E629)/A629</x:f>
        <x:v>99.13725490196079</x:v>
      </x:c>
      <x:c r="G629" s="42" t="n">
        <x:f>$B$11</x:f>
        <x:v>100.53096491487338</x:v>
      </x:c>
      <x:c r="I629" t="n">
        <x:f>A629</x:f>
        <x:v>612</x:v>
      </x:c>
      <x:c r="J629" t="n">
        <x:f>F629</x:f>
        <x:v>99.13725490196079</x:v>
      </x:c>
      <x:c r="K629" t="n">
        <x:f>G629</x:f>
        <x:v>100.53096491487338</x:v>
      </x:c>
    </x:row>
    <x:row r="630">
      <x:c r="A630" t="n">
        <x:v>613</x:v>
      </x:c>
      <x:c r="B630" s="40" t="n">
        <x:v>1.8792604668222777</x:v>
      </x:c>
      <x:c r="C630" s="40" t="n">
        <x:v>-0.04297319958730661</x:v>
      </x:c>
      <x:c r="D630" s="40" t="n">
        <x:v>1.4013657310483936</x:v>
      </x:c>
      <x:c r="E630" t="n">
        <x:f>--((B630^2/$B$4^2+C630^2/$B$5^2+D630^2/$B$6^2)&lt;=1)</x:f>
        <x:v>0</x:v>
      </x:c>
      <x:c r="F630" s="42" t="n">
        <x:f>$B$8*SUM($E$18:E630)/A630</x:f>
        <x:v>98.97553017944536</x:v>
      </x:c>
      <x:c r="G630" s="42" t="n">
        <x:f>$B$11</x:f>
        <x:v>100.53096491487338</x:v>
      </x:c>
      <x:c r="I630" t="n">
        <x:f>A630</x:f>
        <x:v>613</x:v>
      </x:c>
      <x:c r="J630" t="n">
        <x:f>F630</x:f>
        <x:v>98.97553017944536</x:v>
      </x:c>
      <x:c r="K630" t="n">
        <x:f>G630</x:f>
        <x:v>100.53096491487338</x:v>
      </x:c>
    </x:row>
    <x:row r="631">
      <x:c r="A631" t="n">
        <x:v>614</x:v>
      </x:c>
      <x:c r="B631" s="40" t="n">
        <x:v>1.9383123257264985</x:v>
      </x:c>
      <x:c r="C631" s="40" t="n">
        <x:v>1.6373705225691468</x:v>
      </x:c>
      <x:c r="D631" s="40" t="n">
        <x:v>-0.2638531406944038</x:v>
      </x:c>
      <x:c r="E631" t="n">
        <x:f>--((B631^2/$B$4^2+C631^2/$B$5^2+D631^2/$B$6^2)&lt;=1)</x:f>
        <x:v>0</x:v>
      </x:c>
      <x:c r="F631" s="42" t="n">
        <x:f>$B$8*SUM($E$18:E631)/A631</x:f>
        <x:v>98.814332247557</x:v>
      </x:c>
      <x:c r="G631" s="42" t="n">
        <x:f>$B$11</x:f>
        <x:v>100.53096491487338</x:v>
      </x:c>
      <x:c r="I631" t="n">
        <x:f>A631</x:f>
        <x:v>614</x:v>
      </x:c>
      <x:c r="J631" t="n">
        <x:f>F631</x:f>
        <x:v>98.814332247557</x:v>
      </x:c>
      <x:c r="K631" t="n">
        <x:f>G631</x:f>
        <x:v>100.53096491487338</x:v>
      </x:c>
    </x:row>
    <x:row r="632">
      <x:c r="A632" t="n">
        <x:v>615</x:v>
      </x:c>
      <x:c r="B632" s="40" t="n">
        <x:v>-0.8470870180483789</x:v>
      </x:c>
      <x:c r="C632" s="40" t="n">
        <x:v>-1.3731726825894577</x:v>
      </x:c>
      <x:c r="D632" s="40" t="n">
        <x:v>-1.414974350836233</x:v>
      </x:c>
      <x:c r="E632" t="n">
        <x:f>--((B632^2/$B$4^2+C632^2/$B$5^2+D632^2/$B$6^2)&lt;=1)</x:f>
        <x:v>1</x:v>
      </x:c>
      <x:c r="F632" s="42" t="n">
        <x:f>$B$8*SUM($E$18:E632)/A632</x:f>
        <x:v>98.96585365853659</x:v>
      </x:c>
      <x:c r="G632" s="42" t="n">
        <x:f>$B$11</x:f>
        <x:v>100.53096491487338</x:v>
      </x:c>
      <x:c r="I632" t="n">
        <x:f>A632</x:f>
        <x:v>615</x:v>
      </x:c>
      <x:c r="J632" t="n">
        <x:f>F632</x:f>
        <x:v>98.96585365853659</x:v>
      </x:c>
      <x:c r="K632" t="n">
        <x:f>G632</x:f>
        <x:v>100.53096491487338</x:v>
      </x:c>
    </x:row>
    <x:row r="633">
      <x:c r="A633" t="n">
        <x:v>616</x:v>
      </x:c>
      <x:c r="B633" s="40" t="n">
        <x:v>0.9350139897516647</x:v>
      </x:c>
      <x:c r="C633" s="40" t="n">
        <x:v>-0.0344413391288243</x:v>
      </x:c>
      <x:c r="D633" s="40" t="n">
        <x:v>-1.7058063139176411</x:v>
      </x:c>
      <x:c r="E633" t="n">
        <x:f>--((B633^2/$B$4^2+C633^2/$B$5^2+D633^2/$B$6^2)&lt;=1)</x:f>
        <x:v>1</x:v>
      </x:c>
      <x:c r="F633" s="42" t="n">
        <x:f>$B$8*SUM($E$18:E633)/A633</x:f>
        <x:v>99.11688311688312</x:v>
      </x:c>
      <x:c r="G633" s="42" t="n">
        <x:f>$B$11</x:f>
        <x:v>100.53096491487338</x:v>
      </x:c>
      <x:c r="I633" t="n">
        <x:f>A633</x:f>
        <x:v>616</x:v>
      </x:c>
      <x:c r="J633" t="n">
        <x:f>F633</x:f>
        <x:v>99.11688311688312</x:v>
      </x:c>
      <x:c r="K633" t="n">
        <x:f>G633</x:f>
        <x:v>100.53096491487338</x:v>
      </x:c>
    </x:row>
    <x:row r="634">
      <x:c r="A634" t="n">
        <x:v>617</x:v>
      </x:c>
      <x:c r="B634" s="40" t="n">
        <x:v>0.9999341517410745</x:v>
      </x:c>
      <x:c r="C634" s="40" t="n">
        <x:v>-1.815107688820331</x:v>
      </x:c>
      <x:c r="D634" s="40" t="n">
        <x:v>-2.911780438232748</x:v>
      </x:c>
      <x:c r="E634" t="n">
        <x:f>--((B634^2/$B$4^2+C634^2/$B$5^2+D634^2/$B$6^2)&lt;=1)</x:f>
        <x:v>0</x:v>
      </x:c>
      <x:c r="F634" s="42" t="n">
        <x:f>$B$8*SUM($E$18:E634)/A634</x:f>
        <x:v>98.95623987034035</x:v>
      </x:c>
      <x:c r="G634" s="42" t="n">
        <x:f>$B$11</x:f>
        <x:v>100.53096491487338</x:v>
      </x:c>
      <x:c r="I634" t="n">
        <x:f>A634</x:f>
        <x:v>617</x:v>
      </x:c>
      <x:c r="J634" t="n">
        <x:f>F634</x:f>
        <x:v>98.95623987034035</x:v>
      </x:c>
      <x:c r="K634" t="n">
        <x:f>G634</x:f>
        <x:v>100.53096491487338</x:v>
      </x:c>
    </x:row>
    <x:row r="635">
      <x:c r="A635" t="n">
        <x:v>618</x:v>
      </x:c>
      <x:c r="B635" s="40" t="n">
        <x:v>-0.6140285547478048</x:v>
      </x:c>
      <x:c r="C635" s="40" t="n">
        <x:v>2.165317011125963</x:v>
      </x:c>
      <x:c r="D635" s="40" t="n">
        <x:v>0.3945446582067138</x:v>
      </x:c>
      <x:c r="E635" t="n">
        <x:f>--((B635^2/$B$4^2+C635^2/$B$5^2+D635^2/$B$6^2)&lt;=1)</x:f>
        <x:v>1</x:v>
      </x:c>
      <x:c r="F635" s="42" t="n">
        <x:f>$B$8*SUM($E$18:E635)/A635</x:f>
        <x:v>99.10679611650485</x:v>
      </x:c>
      <x:c r="G635" s="42" t="n">
        <x:f>$B$11</x:f>
        <x:v>100.53096491487338</x:v>
      </x:c>
      <x:c r="I635" t="n">
        <x:f>A635</x:f>
        <x:v>618</x:v>
      </x:c>
      <x:c r="J635" t="n">
        <x:f>F635</x:f>
        <x:v>99.10679611650485</x:v>
      </x:c>
      <x:c r="K635" t="n">
        <x:f>G635</x:f>
        <x:v>100.53096491487338</x:v>
      </x:c>
    </x:row>
    <x:row r="636">
      <x:c r="A636" t="n">
        <x:v>619</x:v>
      </x:c>
      <x:c r="B636" s="40" t="n">
        <x:v>-1.504520900543116</x:v>
      </x:c>
      <x:c r="C636" s="40" t="n">
        <x:v>1.938405699410489</x:v>
      </x:c>
      <x:c r="D636" s="40" t="n">
        <x:v>-0.4272264790599376</x:v>
      </x:c>
      <x:c r="E636" t="n">
        <x:f>--((B636^2/$B$4^2+C636^2/$B$5^2+D636^2/$B$6^2)&lt;=1)</x:f>
        <x:v>1</x:v>
      </x:c>
      <x:c r="F636" s="42" t="n">
        <x:f>$B$8*SUM($E$18:E636)/A636</x:f>
        <x:v>99.25686591276252</x:v>
      </x:c>
      <x:c r="G636" s="42" t="n">
        <x:f>$B$11</x:f>
        <x:v>100.53096491487338</x:v>
      </x:c>
      <x:c r="I636" t="n">
        <x:f>A636</x:f>
        <x:v>619</x:v>
      </x:c>
      <x:c r="J636" t="n">
        <x:f>F636</x:f>
        <x:v>99.25686591276252</x:v>
      </x:c>
      <x:c r="K636" t="n">
        <x:f>G636</x:f>
        <x:v>100.53096491487338</x:v>
      </x:c>
    </x:row>
    <x:row r="637">
      <x:c r="A637" t="n">
        <x:v>620</x:v>
      </x:c>
      <x:c r="B637" s="40" t="n">
        <x:v>-1.836212158857121</x:v>
      </x:c>
      <x:c r="C637" s="40" t="n">
        <x:v>2.4128980104540076</x:v>
      </x:c>
      <x:c r="D637" s="40" t="n">
        <x:v>0.09749136239955458</x:v>
      </x:c>
      <x:c r="E637" t="n">
        <x:f>--((B637^2/$B$4^2+C637^2/$B$5^2+D637^2/$B$6^2)&lt;=1)</x:f>
        <x:v>0</x:v>
      </x:c>
      <x:c r="F637" s="42" t="n">
        <x:f>$B$8*SUM($E$18:E637)/A637</x:f>
        <x:v>99.09677419354838</x:v>
      </x:c>
      <x:c r="G637" s="42" t="n">
        <x:f>$B$11</x:f>
        <x:v>100.53096491487338</x:v>
      </x:c>
      <x:c r="I637" t="n">
        <x:f>A637</x:f>
        <x:v>620</x:v>
      </x:c>
      <x:c r="J637" t="n">
        <x:f>F637</x:f>
        <x:v>99.09677419354838</x:v>
      </x:c>
      <x:c r="K637" t="n">
        <x:f>G637</x:f>
        <x:v>100.53096491487338</x:v>
      </x:c>
    </x:row>
    <x:row r="638">
      <x:c r="A638" t="n">
        <x:v>621</x:v>
      </x:c>
      <x:c r="B638" s="40" t="n">
        <x:v>1.1093725101167142</x:v>
      </x:c>
      <x:c r="C638" s="40" t="n">
        <x:v>2.264861887345557</x:v>
      </x:c>
      <x:c r="D638" s="40" t="n">
        <x:v>-2.277142660164764</x:v>
      </x:c>
      <x:c r="E638" t="n">
        <x:f>--((B638^2/$B$4^2+C638^2/$B$5^2+D638^2/$B$6^2)&lt;=1)</x:f>
        <x:v>0</x:v>
      </x:c>
      <x:c r="F638" s="42" t="n">
        <x:f>$B$8*SUM($E$18:E638)/A638</x:f>
        <x:v>98.93719806763285</x:v>
      </x:c>
      <x:c r="G638" s="42" t="n">
        <x:f>$B$11</x:f>
        <x:v>100.53096491487338</x:v>
      </x:c>
      <x:c r="I638" t="n">
        <x:f>A638</x:f>
        <x:v>621</x:v>
      </x:c>
      <x:c r="J638" t="n">
        <x:f>F638</x:f>
        <x:v>98.93719806763285</x:v>
      </x:c>
      <x:c r="K638" t="n">
        <x:f>G638</x:f>
        <x:v>100.53096491487338</x:v>
      </x:c>
    </x:row>
    <x:row r="639">
      <x:c r="A639" t="n">
        <x:v>622</x:v>
      </x:c>
      <x:c r="B639" s="40" t="n">
        <x:v>-0.04120103273237641</x:v>
      </x:c>
      <x:c r="C639" s="40" t="n">
        <x:v>2.7575775723569684</x:v>
      </x:c>
      <x:c r="D639" s="40" t="n">
        <x:v>3.5088853661859813</x:v>
      </x:c>
      <x:c r="E639" t="n">
        <x:f>--((B639^2/$B$4^2+C639^2/$B$5^2+D639^2/$B$6^2)&lt;=1)</x:f>
        <x:v>0</x:v>
      </x:c>
      <x:c r="F639" s="42" t="n">
        <x:f>$B$8*SUM($E$18:E639)/A639</x:f>
        <x:v>98.7781350482315</x:v>
      </x:c>
      <x:c r="G639" s="42" t="n">
        <x:f>$B$11</x:f>
        <x:v>100.53096491487338</x:v>
      </x:c>
      <x:c r="I639" t="n">
        <x:f>A639</x:f>
        <x:v>622</x:v>
      </x:c>
      <x:c r="J639" t="n">
        <x:f>F639</x:f>
        <x:v>98.7781350482315</x:v>
      </x:c>
      <x:c r="K639" t="n">
        <x:f>G639</x:f>
        <x:v>100.53096491487338</x:v>
      </x:c>
    </x:row>
    <x:row r="640">
      <x:c r="A640" t="n">
        <x:v>623</x:v>
      </x:c>
      <x:c r="B640" s="40" t="n">
        <x:v>1.9421606779797047</x:v>
      </x:c>
      <x:c r="C640" s="40" t="n">
        <x:v>-1.6299826102084443</x:v>
      </x:c>
      <x:c r="D640" s="40" t="n">
        <x:v>1.108729570644332</x:v>
      </x:c>
      <x:c r="E640" t="n">
        <x:f>--((B640^2/$B$4^2+C640^2/$B$5^2+D640^2/$B$6^2)&lt;=1)</x:f>
        <x:v>0</x:v>
      </x:c>
      <x:c r="F640" s="42" t="n">
        <x:f>$B$8*SUM($E$18:E640)/A640</x:f>
        <x:v>98.61958266452649</x:v>
      </x:c>
      <x:c r="G640" s="42" t="n">
        <x:f>$B$11</x:f>
        <x:v>100.53096491487338</x:v>
      </x:c>
      <x:c r="I640" t="n">
        <x:f>A640</x:f>
        <x:v>623</x:v>
      </x:c>
      <x:c r="J640" t="n">
        <x:f>F640</x:f>
        <x:v>98.61958266452649</x:v>
      </x:c>
      <x:c r="K640" t="n">
        <x:f>G640</x:f>
        <x:v>100.53096491487338</x:v>
      </x:c>
    </x:row>
    <x:row r="641">
      <x:c r="A641" t="n">
        <x:v>624</x:v>
      </x:c>
      <x:c r="B641" s="40" t="n">
        <x:v>-0.14010617522538782</x:v>
      </x:c>
      <x:c r="C641" s="40" t="n">
        <x:v>2.5909457447718927</x:v>
      </x:c>
      <x:c r="D641" s="40" t="n">
        <x:v>3.1968052590666947</x:v>
      </x:c>
      <x:c r="E641" t="n">
        <x:f>--((B641^2/$B$4^2+C641^2/$B$5^2+D641^2/$B$6^2)&lt;=1)</x:f>
        <x:v>0</x:v>
      </x:c>
      <x:c r="F641" s="42" t="n">
        <x:f>$B$8*SUM($E$18:E641)/A641</x:f>
        <x:v>98.46153846153847</x:v>
      </x:c>
      <x:c r="G641" s="42" t="n">
        <x:f>$B$11</x:f>
        <x:v>100.53096491487338</x:v>
      </x:c>
      <x:c r="I641" t="n">
        <x:f>A641</x:f>
        <x:v>624</x:v>
      </x:c>
      <x:c r="J641" t="n">
        <x:f>F641</x:f>
        <x:v>98.46153846153847</x:v>
      </x:c>
      <x:c r="K641" t="n">
        <x:f>G641</x:f>
        <x:v>100.53096491487338</x:v>
      </x:c>
    </x:row>
    <x:row r="642">
      <x:c r="A642" t="n">
        <x:v>625</x:v>
      </x:c>
      <x:c r="B642" s="40" t="n">
        <x:v>1.911667916295361</x:v>
      </x:c>
      <x:c r="C642" s="40" t="n">
        <x:v>0.4272791481119862</x:v>
      </x:c>
      <x:c r="D642" s="40" t="n">
        <x:v>-3.1258306717379565</x:v>
      </x:c>
      <x:c r="E642" t="n">
        <x:f>--((B642^2/$B$4^2+C642^2/$B$5^2+D642^2/$B$6^2)&lt;=1)</x:f>
        <x:v>0</x:v>
      </x:c>
      <x:c r="F642" s="42" t="n">
        <x:f>$B$8*SUM($E$18:E642)/A642</x:f>
        <x:v>98.304</x:v>
      </x:c>
      <x:c r="G642" s="42" t="n">
        <x:f>$B$11</x:f>
        <x:v>100.53096491487338</x:v>
      </x:c>
      <x:c r="I642" t="n">
        <x:f>A642</x:f>
        <x:v>625</x:v>
      </x:c>
      <x:c r="J642" t="n">
        <x:f>F642</x:f>
        <x:v>98.304</x:v>
      </x:c>
      <x:c r="K642" t="n">
        <x:f>G642</x:f>
        <x:v>100.53096491487338</x:v>
      </x:c>
    </x:row>
    <x:row r="643">
      <x:c r="A643" t="n">
        <x:v>626</x:v>
      </x:c>
      <x:c r="B643" s="40" t="n">
        <x:v>-0.3536959912237605</x:v>
      </x:c>
      <x:c r="C643" s="40" t="n">
        <x:v>-0.4650294964910868</x:v>
      </x:c>
      <x:c r="D643" s="40" t="n">
        <x:v>0.9828077268493987</x:v>
      </x:c>
      <x:c r="E643" t="n">
        <x:f>--((B643^2/$B$4^2+C643^2/$B$5^2+D643^2/$B$6^2)&lt;=1)</x:f>
        <x:v>1</x:v>
      </x:c>
      <x:c r="F643" s="42" t="n">
        <x:f>$B$8*SUM($E$18:E643)/A643</x:f>
        <x:v>98.45367412140575</x:v>
      </x:c>
      <x:c r="G643" s="42" t="n">
        <x:f>$B$11</x:f>
        <x:v>100.53096491487338</x:v>
      </x:c>
      <x:c r="I643" t="n">
        <x:f>A643</x:f>
        <x:v>626</x:v>
      </x:c>
      <x:c r="J643" t="n">
        <x:f>F643</x:f>
        <x:v>98.45367412140575</x:v>
      </x:c>
      <x:c r="K643" t="n">
        <x:f>G643</x:f>
        <x:v>100.53096491487338</x:v>
      </x:c>
    </x:row>
    <x:row r="644">
      <x:c r="A644" t="n">
        <x:v>627</x:v>
      </x:c>
      <x:c r="B644" s="40" t="n">
        <x:v>1.1747286022398904</x:v>
      </x:c>
      <x:c r="C644" s="40" t="n">
        <x:v>0.3622433758072381</x:v>
      </x:c>
      <x:c r="D644" s="40" t="n">
        <x:v>2.795694549153289</x:v>
      </x:c>
      <x:c r="E644" t="n">
        <x:f>--((B644^2/$B$4^2+C644^2/$B$5^2+D644^2/$B$6^2)&lt;=1)</x:f>
        <x:v>1</x:v>
      </x:c>
      <x:c r="F644" s="42" t="n">
        <x:f>$B$8*SUM($E$18:E644)/A644</x:f>
        <x:v>98.60287081339713</x:v>
      </x:c>
      <x:c r="G644" s="42" t="n">
        <x:f>$B$11</x:f>
        <x:v>100.53096491487338</x:v>
      </x:c>
      <x:c r="I644" t="n">
        <x:f>A644</x:f>
        <x:v>627</x:v>
      </x:c>
      <x:c r="J644" t="n">
        <x:f>F644</x:f>
        <x:v>98.60287081339713</x:v>
      </x:c>
      <x:c r="K644" t="n">
        <x:f>G644</x:f>
        <x:v>100.53096491487338</x:v>
      </x:c>
    </x:row>
    <x:row r="645">
      <x:c r="A645" t="n">
        <x:v>628</x:v>
      </x:c>
      <x:c r="B645" s="40" t="n">
        <x:v>-1.6607229107526718</x:v>
      </x:c>
      <x:c r="C645" s="40" t="n">
        <x:v>-0.944385860098333</x:v>
      </x:c>
      <x:c r="D645" s="40" t="n">
        <x:v>-1.3526337614842667</x:v>
      </x:c>
      <x:c r="E645" t="n">
        <x:f>--((B645^2/$B$4^2+C645^2/$B$5^2+D645^2/$B$6^2)&lt;=1)</x:f>
        <x:v>1</x:v>
      </x:c>
      <x:c r="F645" s="42" t="n">
        <x:f>$B$8*SUM($E$18:E645)/A645</x:f>
        <x:v>98.7515923566879</x:v>
      </x:c>
      <x:c r="G645" s="42" t="n">
        <x:f>$B$11</x:f>
        <x:v>100.53096491487338</x:v>
      </x:c>
      <x:c r="I645" t="n">
        <x:f>A645</x:f>
        <x:v>628</x:v>
      </x:c>
      <x:c r="J645" t="n">
        <x:f>F645</x:f>
        <x:v>98.7515923566879</x:v>
      </x:c>
      <x:c r="K645" t="n">
        <x:f>G645</x:f>
        <x:v>100.53096491487338</x:v>
      </x:c>
    </x:row>
    <x:row r="646">
      <x:c r="A646" t="n">
        <x:v>629</x:v>
      </x:c>
      <x:c r="B646" s="40" t="n">
        <x:v>0.22184684055105564</x:v>
      </x:c>
      <x:c r="C646" s="40" t="n">
        <x:v>-1.2686819582342874</x:v>
      </x:c>
      <x:c r="D646" s="40" t="n">
        <x:v>-2.438854646912109</x:v>
      </x:c>
      <x:c r="E646" t="n">
        <x:f>--((B646^2/$B$4^2+C646^2/$B$5^2+D646^2/$B$6^2)&lt;=1)</x:f>
        <x:v>1</x:v>
      </x:c>
      <x:c r="F646" s="42" t="n">
        <x:f>$B$8*SUM($E$18:E646)/A646</x:f>
        <x:v>98.89984101748807</x:v>
      </x:c>
      <x:c r="G646" s="42" t="n">
        <x:f>$B$11</x:f>
        <x:v>100.53096491487338</x:v>
      </x:c>
      <x:c r="I646" t="n">
        <x:f>A646</x:f>
        <x:v>629</x:v>
      </x:c>
      <x:c r="J646" t="n">
        <x:f>F646</x:f>
        <x:v>98.89984101748807</x:v>
      </x:c>
      <x:c r="K646" t="n">
        <x:f>G646</x:f>
        <x:v>100.53096491487338</x:v>
      </x:c>
    </x:row>
    <x:row r="647">
      <x:c r="A647" t="n">
        <x:v>630</x:v>
      </x:c>
      <x:c r="B647" s="40" t="n">
        <x:v>1.2082391479428969</x:v>
      </x:c>
      <x:c r="C647" s="40" t="n">
        <x:v>-1.5521139721348274</x:v>
      </x:c>
      <x:c r="D647" s="40" t="n">
        <x:v>-1.8798295535550427</x:v>
      </x:c>
      <x:c r="E647" t="n">
        <x:f>--((B647^2/$B$4^2+C647^2/$B$5^2+D647^2/$B$6^2)&lt;=1)</x:f>
        <x:v>1</x:v>
      </x:c>
      <x:c r="F647" s="42" t="n">
        <x:f>$B$8*SUM($E$18:E647)/A647</x:f>
        <x:v>99.04761904761905</x:v>
      </x:c>
      <x:c r="G647" s="42" t="n">
        <x:f>$B$11</x:f>
        <x:v>100.53096491487338</x:v>
      </x:c>
      <x:c r="I647" t="n">
        <x:f>A647</x:f>
        <x:v>630</x:v>
      </x:c>
      <x:c r="J647" t="n">
        <x:f>F647</x:f>
        <x:v>99.04761904761905</x:v>
      </x:c>
      <x:c r="K647" t="n">
        <x:f>G647</x:f>
        <x:v>100.53096491487338</x:v>
      </x:c>
    </x:row>
    <x:row r="648">
      <x:c r="A648" t="n">
        <x:v>631</x:v>
      </x:c>
      <x:c r="B648" s="40" t="n">
        <x:v>1.6988066688795547</x:v>
      </x:c>
      <x:c r="C648" s="40" t="n">
        <x:v>-2.5054320632572393</x:v>
      </x:c>
      <x:c r="D648" s="40" t="n">
        <x:v>-1.816530186001608</x:v>
      </x:c>
      <x:c r="E648" t="n">
        <x:f>--((B648^2/$B$4^2+C648^2/$B$5^2+D648^2/$B$6^2)&lt;=1)</x:f>
        <x:v>0</x:v>
      </x:c>
      <x:c r="F648" s="42" t="n">
        <x:f>$B$8*SUM($E$18:E648)/A648</x:f>
        <x:v>98.8906497622821</x:v>
      </x:c>
      <x:c r="G648" s="42" t="n">
        <x:f>$B$11</x:f>
        <x:v>100.53096491487338</x:v>
      </x:c>
      <x:c r="I648" t="n">
        <x:f>A648</x:f>
        <x:v>631</x:v>
      </x:c>
      <x:c r="J648" t="n">
        <x:f>F648</x:f>
        <x:v>98.8906497622821</x:v>
      </x:c>
      <x:c r="K648" t="n">
        <x:f>G648</x:f>
        <x:v>100.53096491487338</x:v>
      </x:c>
    </x:row>
    <x:row r="649">
      <x:c r="A649" t="n">
        <x:v>632</x:v>
      </x:c>
      <x:c r="B649" s="40" t="n">
        <x:v>1.2903323624697265</x:v>
      </x:c>
      <x:c r="C649" s="40" t="n">
        <x:v>-0.020610617116875396</x:v>
      </x:c>
      <x:c r="D649" s="40" t="n">
        <x:v>-0.42240828061171865</x:v>
      </x:c>
      <x:c r="E649" t="n">
        <x:f>--((B649^2/$B$4^2+C649^2/$B$5^2+D649^2/$B$6^2)&lt;=1)</x:f>
        <x:v>1</x:v>
      </x:c>
      <x:c r="F649" s="42" t="n">
        <x:f>$B$8*SUM($E$18:E649)/A649</x:f>
        <x:v>99.0379746835443</x:v>
      </x:c>
      <x:c r="G649" s="42" t="n">
        <x:f>$B$11</x:f>
        <x:v>100.53096491487338</x:v>
      </x:c>
      <x:c r="I649" t="n">
        <x:f>A649</x:f>
        <x:v>632</x:v>
      </x:c>
      <x:c r="J649" t="n">
        <x:f>F649</x:f>
        <x:v>99.0379746835443</x:v>
      </x:c>
      <x:c r="K649" t="n">
        <x:f>G649</x:f>
        <x:v>100.53096491487338</x:v>
      </x:c>
    </x:row>
    <x:row r="650">
      <x:c r="A650" t="n">
        <x:v>633</x:v>
      </x:c>
      <x:c r="B650" s="40" t="n">
        <x:v>-1.852117091195303</x:v>
      </x:c>
      <x:c r="C650" s="40" t="n">
        <x:v>2.3265700542833248</x:v>
      </x:c>
      <x:c r="D650" s="40" t="n">
        <x:v>-1.3922911777653475</x:v>
      </x:c>
      <x:c r="E650" t="n">
        <x:f>--((B650^2/$B$4^2+C650^2/$B$5^2+D650^2/$B$6^2)&lt;=1)</x:f>
        <x:v>0</x:v>
      </x:c>
      <x:c r="F650" s="42" t="n">
        <x:f>$B$8*SUM($E$18:E650)/A650</x:f>
        <x:v>98.88151658767772</x:v>
      </x:c>
      <x:c r="G650" s="42" t="n">
        <x:f>$B$11</x:f>
        <x:v>100.53096491487338</x:v>
      </x:c>
      <x:c r="I650" t="n">
        <x:f>A650</x:f>
        <x:v>633</x:v>
      </x:c>
      <x:c r="J650" t="n">
        <x:f>F650</x:f>
        <x:v>98.88151658767772</x:v>
      </x:c>
      <x:c r="K650" t="n">
        <x:f>G650</x:f>
        <x:v>100.53096491487338</x:v>
      </x:c>
    </x:row>
    <x:row r="651">
      <x:c r="A651" t="n">
        <x:v>634</x:v>
      </x:c>
      <x:c r="B651" s="40" t="n">
        <x:v>-0.5091906347730633</x:v>
      </x:c>
      <x:c r="C651" s="40" t="n">
        <x:v>0.780911815646308</x:v>
      </x:c>
      <x:c r="D651" s="40" t="n">
        <x:v>-1.8298074183360695</x:v>
      </x:c>
      <x:c r="E651" t="n">
        <x:f>--((B651^2/$B$4^2+C651^2/$B$5^2+D651^2/$B$6^2)&lt;=1)</x:f>
        <x:v>1</x:v>
      </x:c>
      <x:c r="F651" s="42" t="n">
        <x:f>$B$8*SUM($E$18:E651)/A651</x:f>
        <x:v>99.02839116719242</x:v>
      </x:c>
      <x:c r="G651" s="42" t="n">
        <x:f>$B$11</x:f>
        <x:v>100.53096491487338</x:v>
      </x:c>
      <x:c r="I651" t="n">
        <x:f>A651</x:f>
        <x:v>634</x:v>
      </x:c>
      <x:c r="J651" t="n">
        <x:f>F651</x:f>
        <x:v>99.02839116719242</x:v>
      </x:c>
      <x:c r="K651" t="n">
        <x:f>G651</x:f>
        <x:v>100.53096491487338</x:v>
      </x:c>
    </x:row>
    <x:row r="652">
      <x:c r="A652" t="n">
        <x:v>635</x:v>
      </x:c>
      <x:c r="B652" s="40" t="n">
        <x:v>-1.805206110744595</x:v>
      </x:c>
      <x:c r="C652" s="40" t="n">
        <x:v>0.12585379653464113</x:v>
      </x:c>
      <x:c r="D652" s="40" t="n">
        <x:v>1.1880983872411033</x:v>
      </x:c>
      <x:c r="E652" t="n">
        <x:f>--((B652^2/$B$4^2+C652^2/$B$5^2+D652^2/$B$6^2)&lt;=1)</x:f>
        <x:v>1</x:v>
      </x:c>
      <x:c r="F652" s="42" t="n">
        <x:f>$B$8*SUM($E$18:E652)/A652</x:f>
        <x:v>99.1748031496063</x:v>
      </x:c>
      <x:c r="G652" s="42" t="n">
        <x:f>$B$11</x:f>
        <x:v>100.53096491487338</x:v>
      </x:c>
      <x:c r="I652" t="n">
        <x:f>A652</x:f>
        <x:v>635</x:v>
      </x:c>
      <x:c r="J652" t="n">
        <x:f>F652</x:f>
        <x:v>99.1748031496063</x:v>
      </x:c>
      <x:c r="K652" t="n">
        <x:f>G652</x:f>
        <x:v>100.53096491487338</x:v>
      </x:c>
    </x:row>
    <x:row r="653">
      <x:c r="A653" t="n">
        <x:v>636</x:v>
      </x:c>
      <x:c r="B653" s="40" t="n">
        <x:v>-1.562870835541768</x:v>
      </x:c>
      <x:c r="C653" s="40" t="n">
        <x:v>-0.428442490494501</x:v>
      </x:c>
      <x:c r="D653" s="40" t="n">
        <x:v>-3.5757410266249243</x:v>
      </x:c>
      <x:c r="E653" t="n">
        <x:f>--((B653^2/$B$4^2+C653^2/$B$5^2+D653^2/$B$6^2)&lt;=1)</x:f>
        <x:v>0</x:v>
      </x:c>
      <x:c r="F653" s="42" t="n">
        <x:f>$B$8*SUM($E$18:E653)/A653</x:f>
        <x:v>99.01886792452831</x:v>
      </x:c>
      <x:c r="G653" s="42" t="n">
        <x:f>$B$11</x:f>
        <x:v>100.53096491487338</x:v>
      </x:c>
      <x:c r="I653" t="n">
        <x:f>A653</x:f>
        <x:v>636</x:v>
      </x:c>
      <x:c r="J653" t="n">
        <x:f>F653</x:f>
        <x:v>99.01886792452831</x:v>
      </x:c>
      <x:c r="K653" t="n">
        <x:f>G653</x:f>
        <x:v>100.53096491487338</x:v>
      </x:c>
    </x:row>
    <x:row r="654">
      <x:c r="A654" t="n">
        <x:v>637</x:v>
      </x:c>
      <x:c r="B654" s="40" t="n">
        <x:v>0.7012225146699365</x:v>
      </x:c>
      <x:c r="C654" s="40" t="n">
        <x:v>-0.2135902420968483</x:v>
      </x:c>
      <x:c r="D654" s="40" t="n">
        <x:v>-1.2770897748821604</x:v>
      </x:c>
      <x:c r="E654" t="n">
        <x:f>--((B654^2/$B$4^2+C654^2/$B$5^2+D654^2/$B$6^2)&lt;=1)</x:f>
        <x:v>1</x:v>
      </x:c>
      <x:c r="F654" s="42" t="n">
        <x:f>$B$8*SUM($E$18:E654)/A654</x:f>
        <x:v>99.16483516483517</x:v>
      </x:c>
      <x:c r="G654" s="42" t="n">
        <x:f>$B$11</x:f>
        <x:v>100.53096491487338</x:v>
      </x:c>
      <x:c r="I654" t="n">
        <x:f>A654</x:f>
        <x:v>637</x:v>
      </x:c>
      <x:c r="J654" t="n">
        <x:f>F654</x:f>
        <x:v>99.16483516483517</x:v>
      </x:c>
      <x:c r="K654" t="n">
        <x:f>G654</x:f>
        <x:v>100.53096491487338</x:v>
      </x:c>
    </x:row>
    <x:row r="655">
      <x:c r="A655" t="n">
        <x:v>638</x:v>
      </x:c>
      <x:c r="B655" s="40" t="n">
        <x:v>0.8530327852467927</x:v>
      </x:c>
      <x:c r="C655" s="40" t="n">
        <x:v>-1.7443359145682944</x:v>
      </x:c>
      <x:c r="D655" s="40" t="n">
        <x:v>1.5180157275237987</x:v>
      </x:c>
      <x:c r="E655" t="n">
        <x:f>--((B655^2/$B$4^2+C655^2/$B$5^2+D655^2/$B$6^2)&lt;=1)</x:f>
        <x:v>1</x:v>
      </x:c>
      <x:c r="F655" s="42" t="n">
        <x:f>$B$8*SUM($E$18:E655)/A655</x:f>
        <x:v>99.3103448275862</x:v>
      </x:c>
      <x:c r="G655" s="42" t="n">
        <x:f>$B$11</x:f>
        <x:v>100.53096491487338</x:v>
      </x:c>
      <x:c r="I655" t="n">
        <x:f>A655</x:f>
        <x:v>638</x:v>
      </x:c>
      <x:c r="J655" t="n">
        <x:f>F655</x:f>
        <x:v>99.3103448275862</x:v>
      </x:c>
      <x:c r="K655" t="n">
        <x:f>G655</x:f>
        <x:v>100.53096491487338</x:v>
      </x:c>
    </x:row>
    <x:row r="656">
      <x:c r="A656" t="n">
        <x:v>639</x:v>
      </x:c>
      <x:c r="B656" s="40" t="n">
        <x:v>1.0948827310065052</x:v>
      </x:c>
      <x:c r="C656" s="40" t="n">
        <x:v>1.937615263158584</x:v>
      </x:c>
      <x:c r="D656" s="40" t="n">
        <x:v>-2.5932020057519525</x:v>
      </x:c>
      <x:c r="E656" t="n">
        <x:f>--((B656^2/$B$4^2+C656^2/$B$5^2+D656^2/$B$6^2)&lt;=1)</x:f>
        <x:v>0</x:v>
      </x:c>
      <x:c r="F656" s="42" t="n">
        <x:f>$B$8*SUM($E$18:E656)/A656</x:f>
        <x:v>99.15492957746478</x:v>
      </x:c>
      <x:c r="G656" s="42" t="n">
        <x:f>$B$11</x:f>
        <x:v>100.53096491487338</x:v>
      </x:c>
      <x:c r="I656" t="n">
        <x:f>A656</x:f>
        <x:v>639</x:v>
      </x:c>
      <x:c r="J656" t="n">
        <x:f>F656</x:f>
        <x:v>99.15492957746478</x:v>
      </x:c>
      <x:c r="K656" t="n">
        <x:f>G656</x:f>
        <x:v>100.53096491487338</x:v>
      </x:c>
    </x:row>
    <x:row r="657">
      <x:c r="A657" t="n">
        <x:v>640</x:v>
      </x:c>
      <x:c r="B657" s="40" t="n">
        <x:v>1.4618261922226514</x:v>
      </x:c>
      <x:c r="C657" s="40" t="n">
        <x:v>-1.8097022203108317</x:v>
      </x:c>
      <x:c r="D657" s="40" t="n">
        <x:v>-2.232577102296701</x:v>
      </x:c>
      <x:c r="E657" t="n">
        <x:f>--((B657^2/$B$4^2+C657^2/$B$5^2+D657^2/$B$6^2)&lt;=1)</x:f>
        <x:v>0</x:v>
      </x:c>
      <x:c r="F657" s="42" t="n">
        <x:f>$B$8*SUM($E$18:E657)/A657</x:f>
        <x:v>99</x:v>
      </x:c>
      <x:c r="G657" s="42" t="n">
        <x:f>$B$11</x:f>
        <x:v>100.53096491487338</x:v>
      </x:c>
      <x:c r="I657" t="n">
        <x:f>A657</x:f>
        <x:v>640</x:v>
      </x:c>
      <x:c r="J657" t="n">
        <x:f>F657</x:f>
        <x:v>99</x:v>
      </x:c>
      <x:c r="K657" t="n">
        <x:f>G657</x:f>
        <x:v>100.53096491487338</x:v>
      </x:c>
    </x:row>
    <x:row r="658">
      <x:c r="A658" t="n">
        <x:v>641</x:v>
      </x:c>
      <x:c r="B658" s="40" t="n">
        <x:v>0.9577258739060395</x:v>
      </x:c>
      <x:c r="C658" s="40" t="n">
        <x:v>1.2997365403638783</x:v>
      </x:c>
      <x:c r="D658" s="40" t="n">
        <x:v>-2.3946669966966603</x:v>
      </x:c>
      <x:c r="E658" t="n">
        <x:f>--((B658^2/$B$4^2+C658^2/$B$5^2+D658^2/$B$6^2)&lt;=1)</x:f>
        <x:v>1</x:v>
      </x:c>
      <x:c r="F658" s="42" t="n">
        <x:f>$B$8*SUM($E$18:E658)/A658</x:f>
        <x:v>99.14508580343214</x:v>
      </x:c>
      <x:c r="G658" s="42" t="n">
        <x:f>$B$11</x:f>
        <x:v>100.53096491487338</x:v>
      </x:c>
      <x:c r="I658" t="n">
        <x:f>A658</x:f>
        <x:v>641</x:v>
      </x:c>
      <x:c r="J658" t="n">
        <x:f>F658</x:f>
        <x:v>99.14508580343214</x:v>
      </x:c>
      <x:c r="K658" t="n">
        <x:f>G658</x:f>
        <x:v>100.53096491487338</x:v>
      </x:c>
    </x:row>
    <x:row r="659">
      <x:c r="A659" t="n">
        <x:v>642</x:v>
      </x:c>
      <x:c r="B659" s="40" t="n">
        <x:v>1.2034863684265282</x:v>
      </x:c>
      <x:c r="C659" s="40" t="n">
        <x:v>1.5599100689769152</x:v>
      </x:c>
      <x:c r="D659" s="40" t="n">
        <x:v>-3.9925911461487607</x:v>
      </x:c>
      <x:c r="E659" t="n">
        <x:f>--((B659^2/$B$4^2+C659^2/$B$5^2+D659^2/$B$6^2)&lt;=1)</x:f>
        <x:v>0</x:v>
      </x:c>
      <x:c r="F659" s="42" t="n">
        <x:f>$B$8*SUM($E$18:E659)/A659</x:f>
        <x:v>98.99065420560747</x:v>
      </x:c>
      <x:c r="G659" s="42" t="n">
        <x:f>$B$11</x:f>
        <x:v>100.53096491487338</x:v>
      </x:c>
      <x:c r="I659" t="n">
        <x:f>A659</x:f>
        <x:v>642</x:v>
      </x:c>
      <x:c r="J659" t="n">
        <x:f>F659</x:f>
        <x:v>98.99065420560747</x:v>
      </x:c>
      <x:c r="K659" t="n">
        <x:f>G659</x:f>
        <x:v>100.53096491487338</x:v>
      </x:c>
    </x:row>
    <x:row r="660">
      <x:c r="A660" t="n">
        <x:v>643</x:v>
      </x:c>
      <x:c r="B660" s="40" t="n">
        <x:v>-1.804145160706883</x:v>
      </x:c>
      <x:c r="C660" s="40" t="n">
        <x:v>0.44921425216640554</x:v>
      </x:c>
      <x:c r="D660" s="40" t="n">
        <x:v>-0.20985798534741829</x:v>
      </x:c>
      <x:c r="E660" t="n">
        <x:f>--((B660^2/$B$4^2+C660^2/$B$5^2+D660^2/$B$6^2)&lt;=1)</x:f>
        <x:v>1</x:v>
      </x:c>
      <x:c r="F660" s="42" t="n">
        <x:f>$B$8*SUM($E$18:E660)/A660</x:f>
        <x:v>99.1353032659409</x:v>
      </x:c>
      <x:c r="G660" s="42" t="n">
        <x:f>$B$11</x:f>
        <x:v>100.53096491487338</x:v>
      </x:c>
      <x:c r="I660" t="n">
        <x:f>A660</x:f>
        <x:v>643</x:v>
      </x:c>
      <x:c r="J660" t="n">
        <x:f>F660</x:f>
        <x:v>99.1353032659409</x:v>
      </x:c>
      <x:c r="K660" t="n">
        <x:f>G660</x:f>
        <x:v>100.53096491487338</x:v>
      </x:c>
    </x:row>
    <x:row r="661">
      <x:c r="A661" t="n">
        <x:v>644</x:v>
      </x:c>
      <x:c r="B661" s="40" t="n">
        <x:v>-1.0618593982348057</x:v>
      </x:c>
      <x:c r="C661" s="40" t="n">
        <x:v>2.177558249728971</x:v>
      </x:c>
      <x:c r="D661" s="40" t="n">
        <x:v>-3.6883296846710145</x:v>
      </x:c>
      <x:c r="E661" t="n">
        <x:f>--((B661^2/$B$4^2+C661^2/$B$5^2+D661^2/$B$6^2)&lt;=1)</x:f>
        <x:v>0</x:v>
      </x:c>
      <x:c r="F661" s="42" t="n">
        <x:f>$B$8*SUM($E$18:E661)/A661</x:f>
        <x:v>98.98136645962732</x:v>
      </x:c>
      <x:c r="G661" s="42" t="n">
        <x:f>$B$11</x:f>
        <x:v>100.53096491487338</x:v>
      </x:c>
      <x:c r="I661" t="n">
        <x:f>A661</x:f>
        <x:v>644</x:v>
      </x:c>
      <x:c r="J661" t="n">
        <x:f>F661</x:f>
        <x:v>98.98136645962732</x:v>
      </x:c>
      <x:c r="K661" t="n">
        <x:f>G661</x:f>
        <x:v>100.53096491487338</x:v>
      </x:c>
    </x:row>
    <x:row r="662">
      <x:c r="A662" t="n">
        <x:v>645</x:v>
      </x:c>
      <x:c r="B662" s="40" t="n">
        <x:v>0.48759109350098306</x:v>
      </x:c>
      <x:c r="C662" s="40" t="n">
        <x:v>-1.2536978852960998</x:v>
      </x:c>
      <x:c r="D662" s="40" t="n">
        <x:v>-1.816481505800799</x:v>
      </x:c>
      <x:c r="E662" t="n">
        <x:f>--((B662^2/$B$4^2+C662^2/$B$5^2+D662^2/$B$6^2)&lt;=1)</x:f>
        <x:v>1</x:v>
      </x:c>
      <x:c r="F662" s="42" t="n">
        <x:f>$B$8*SUM($E$18:E662)/A662</x:f>
        <x:v>99.12558139534883</x:v>
      </x:c>
      <x:c r="G662" s="42" t="n">
        <x:f>$B$11</x:f>
        <x:v>100.53096491487338</x:v>
      </x:c>
      <x:c r="I662" t="n">
        <x:f>A662</x:f>
        <x:v>645</x:v>
      </x:c>
      <x:c r="J662" t="n">
        <x:f>F662</x:f>
        <x:v>99.12558139534883</x:v>
      </x:c>
      <x:c r="K662" t="n">
        <x:f>G662</x:f>
        <x:v>100.53096491487338</x:v>
      </x:c>
    </x:row>
    <x:row r="663">
      <x:c r="A663" t="n">
        <x:v>646</x:v>
      </x:c>
      <x:c r="B663" s="40" t="n">
        <x:v>1.4325012184992927</x:v>
      </x:c>
      <x:c r="C663" s="40" t="n">
        <x:v>2.289703327457179</x:v>
      </x:c>
      <x:c r="D663" s="40" t="n">
        <x:v>3.9584273967357726</x:v>
      </x:c>
      <x:c r="E663" t="n">
        <x:f>--((B663^2/$B$4^2+C663^2/$B$5^2+D663^2/$B$6^2)&lt;=1)</x:f>
        <x:v>0</x:v>
      </x:c>
      <x:c r="F663" s="42" t="n">
        <x:f>$B$8*SUM($E$18:E663)/A663</x:f>
        <x:v>98.97213622291022</x:v>
      </x:c>
      <x:c r="G663" s="42" t="n">
        <x:f>$B$11</x:f>
        <x:v>100.53096491487338</x:v>
      </x:c>
      <x:c r="I663" t="n">
        <x:f>A663</x:f>
        <x:v>646</x:v>
      </x:c>
      <x:c r="J663" t="n">
        <x:f>F663</x:f>
        <x:v>98.97213622291022</x:v>
      </x:c>
      <x:c r="K663" t="n">
        <x:f>G663</x:f>
        <x:v>100.53096491487338</x:v>
      </x:c>
    </x:row>
    <x:row r="664">
      <x:c r="A664" t="n">
        <x:v>647</x:v>
      </x:c>
      <x:c r="B664" s="40" t="n">
        <x:v>-1.9819995002413635</x:v>
      </x:c>
      <x:c r="C664" s="40" t="n">
        <x:v>1.3764627575958253</x:v>
      </x:c>
      <x:c r="D664" s="40" t="n">
        <x:v>3.3471696911223985</x:v>
      </x:c>
      <x:c r="E664" t="n">
        <x:f>--((B664^2/$B$4^2+C664^2/$B$5^2+D664^2/$B$6^2)&lt;=1)</x:f>
        <x:v>0</x:v>
      </x:c>
      <x:c r="F664" s="42" t="n">
        <x:f>$B$8*SUM($E$18:E664)/A664</x:f>
        <x:v>98.81916537867079</x:v>
      </x:c>
      <x:c r="G664" s="42" t="n">
        <x:f>$B$11</x:f>
        <x:v>100.53096491487338</x:v>
      </x:c>
      <x:c r="I664" t="n">
        <x:f>A664</x:f>
        <x:v>647</x:v>
      </x:c>
      <x:c r="J664" t="n">
        <x:f>F664</x:f>
        <x:v>98.81916537867079</x:v>
      </x:c>
      <x:c r="K664" t="n">
        <x:f>G664</x:f>
        <x:v>100.53096491487338</x:v>
      </x:c>
    </x:row>
    <x:row r="665">
      <x:c r="A665" t="n">
        <x:v>648</x:v>
      </x:c>
      <x:c r="B665" s="40" t="n">
        <x:v>0.05851736846539923</x:v>
      </x:c>
      <x:c r="C665" s="40" t="n">
        <x:v>1.7924989665705642</x:v>
      </x:c>
      <x:c r="D665" s="40" t="n">
        <x:v>-2.2793935347493264</x:v>
      </x:c>
      <x:c r="E665" t="n">
        <x:f>--((B665^2/$B$4^2+C665^2/$B$5^2+D665^2/$B$6^2)&lt;=1)</x:f>
        <x:v>1</x:v>
      </x:c>
      <x:c r="F665" s="42" t="n">
        <x:f>$B$8*SUM($E$18:E665)/A665</x:f>
        <x:v>98.96296296296296</x:v>
      </x:c>
      <x:c r="G665" s="42" t="n">
        <x:f>$B$11</x:f>
        <x:v>100.53096491487338</x:v>
      </x:c>
      <x:c r="I665" t="n">
        <x:f>A665</x:f>
        <x:v>648</x:v>
      </x:c>
      <x:c r="J665" t="n">
        <x:f>F665</x:f>
        <x:v>98.96296296296296</x:v>
      </x:c>
      <x:c r="K665" t="n">
        <x:f>G665</x:f>
        <x:v>100.53096491487338</x:v>
      </x:c>
    </x:row>
    <x:row r="666">
      <x:c r="A666" t="n">
        <x:v>649</x:v>
      </x:c>
      <x:c r="B666" s="40" t="n">
        <x:v>0.7091495974575888</x:v>
      </x:c>
      <x:c r="C666" s="40" t="n">
        <x:v>0.9874782571638852</x:v>
      </x:c>
      <x:c r="D666" s="40" t="n">
        <x:v>-1.5199805446885382</x:v>
      </x:c>
      <x:c r="E666" t="n">
        <x:f>--((B666^2/$B$4^2+C666^2/$B$5^2+D666^2/$B$6^2)&lt;=1)</x:f>
        <x:v>1</x:v>
      </x:c>
      <x:c r="F666" s="42" t="n">
        <x:f>$B$8*SUM($E$18:E666)/A666</x:f>
        <x:v>99.10631741140216</x:v>
      </x:c>
      <x:c r="G666" s="42" t="n">
        <x:f>$B$11</x:f>
        <x:v>100.53096491487338</x:v>
      </x:c>
      <x:c r="I666" t="n">
        <x:f>A666</x:f>
        <x:v>649</x:v>
      </x:c>
      <x:c r="J666" t="n">
        <x:f>F666</x:f>
        <x:v>99.10631741140216</x:v>
      </x:c>
      <x:c r="K666" t="n">
        <x:f>G666</x:f>
        <x:v>100.53096491487338</x:v>
      </x:c>
    </x:row>
    <x:row r="667">
      <x:c r="A667" t="n">
        <x:v>650</x:v>
      </x:c>
      <x:c r="B667" s="40" t="n">
        <x:v>-1.8815708434855472</x:v>
      </x:c>
      <x:c r="C667" s="40" t="n">
        <x:v>2.078058101939816</x:v>
      </x:c>
      <x:c r="D667" s="40" t="n">
        <x:v>-0.2903633418515881</x:v>
      </x:c>
      <x:c r="E667" t="n">
        <x:f>--((B667^2/$B$4^2+C667^2/$B$5^2+D667^2/$B$6^2)&lt;=1)</x:f>
        <x:v>0</x:v>
      </x:c>
      <x:c r="F667" s="42" t="n">
        <x:f>$B$8*SUM($E$18:E667)/A667</x:f>
        <x:v>98.95384615384616</x:v>
      </x:c>
      <x:c r="G667" s="42" t="n">
        <x:f>$B$11</x:f>
        <x:v>100.53096491487338</x:v>
      </x:c>
      <x:c r="I667" t="n">
        <x:f>A667</x:f>
        <x:v>650</x:v>
      </x:c>
      <x:c r="J667" t="n">
        <x:f>F667</x:f>
        <x:v>98.95384615384616</x:v>
      </x:c>
      <x:c r="K667" t="n">
        <x:f>G667</x:f>
        <x:v>100.53096491487338</x:v>
      </x:c>
    </x:row>
    <x:row r="668">
      <x:c r="A668" t="n">
        <x:v>651</x:v>
      </x:c>
      <x:c r="B668" s="40" t="n">
        <x:v>-0.3945777697864483</x:v>
      </x:c>
      <x:c r="C668" s="40" t="n">
        <x:v>2.9585931763058158</x:v>
      </x:c>
      <x:c r="D668" s="40" t="n">
        <x:v>2.755308373273948</x:v>
      </x:c>
      <x:c r="E668" t="n">
        <x:f>--((B668^2/$B$4^2+C668^2/$B$5^2+D668^2/$B$6^2)&lt;=1)</x:f>
        <x:v>0</x:v>
      </x:c>
      <x:c r="F668" s="42" t="n">
        <x:f>$B$8*SUM($E$18:E668)/A668</x:f>
        <x:v>98.80184331797236</x:v>
      </x:c>
      <x:c r="G668" s="42" t="n">
        <x:f>$B$11</x:f>
        <x:v>100.53096491487338</x:v>
      </x:c>
      <x:c r="I668" t="n">
        <x:f>A668</x:f>
        <x:v>651</x:v>
      </x:c>
      <x:c r="J668" t="n">
        <x:f>F668</x:f>
        <x:v>98.80184331797236</x:v>
      </x:c>
      <x:c r="K668" t="n">
        <x:f>G668</x:f>
        <x:v>100.53096491487338</x:v>
      </x:c>
    </x:row>
    <x:row r="669">
      <x:c r="A669" t="n">
        <x:v>652</x:v>
      </x:c>
      <x:c r="B669" s="40" t="n">
        <x:v>1.5825395255347874</x:v>
      </x:c>
      <x:c r="C669" s="40" t="n">
        <x:v>-0.47902287285216794</x:v>
      </x:c>
      <x:c r="D669" s="40" t="n">
        <x:v>2.4211675311447287</x:v>
      </x:c>
      <x:c r="E669" t="n">
        <x:f>--((B669^2/$B$4^2+C669^2/$B$5^2+D669^2/$B$6^2)&lt;=1)</x:f>
        <x:v>0</x:v>
      </x:c>
      <x:c r="F669" s="42" t="n">
        <x:f>$B$8*SUM($E$18:E669)/A669</x:f>
        <x:v>98.65030674846626</x:v>
      </x:c>
      <x:c r="G669" s="42" t="n">
        <x:f>$B$11</x:f>
        <x:v>100.53096491487338</x:v>
      </x:c>
      <x:c r="I669" t="n">
        <x:f>A669</x:f>
        <x:v>652</x:v>
      </x:c>
      <x:c r="J669" t="n">
        <x:f>F669</x:f>
        <x:v>98.65030674846626</x:v>
      </x:c>
      <x:c r="K669" t="n">
        <x:f>G669</x:f>
        <x:v>100.53096491487338</x:v>
      </x:c>
    </x:row>
    <x:row r="670">
      <x:c r="A670" t="n">
        <x:v>653</x:v>
      </x:c>
      <x:c r="B670" s="40" t="n">
        <x:v>0.6864512354234349</x:v>
      </x:c>
      <x:c r="C670" s="40" t="n">
        <x:v>1.8834941022574219</x:v>
      </x:c>
      <x:c r="D670" s="40" t="n">
        <x:v>-2.9900685074697426</x:v>
      </x:c>
      <x:c r="E670" t="n">
        <x:f>--((B670^2/$B$4^2+C670^2/$B$5^2+D670^2/$B$6^2)&lt;=1)</x:f>
        <x:v>0</x:v>
      </x:c>
      <x:c r="F670" s="42" t="n">
        <x:f>$B$8*SUM($E$18:E670)/A670</x:f>
        <x:v>98.49923430321593</x:v>
      </x:c>
      <x:c r="G670" s="42" t="n">
        <x:f>$B$11</x:f>
        <x:v>100.53096491487338</x:v>
      </x:c>
      <x:c r="I670" t="n">
        <x:f>A670</x:f>
        <x:v>653</x:v>
      </x:c>
      <x:c r="J670" t="n">
        <x:f>F670</x:f>
        <x:v>98.49923430321593</x:v>
      </x:c>
      <x:c r="K670" t="n">
        <x:f>G670</x:f>
        <x:v>100.53096491487338</x:v>
      </x:c>
    </x:row>
    <x:row r="671">
      <x:c r="A671" t="n">
        <x:v>654</x:v>
      </x:c>
      <x:c r="B671" s="40" t="n">
        <x:v>-1.0493665465576107</x:v>
      </x:c>
      <x:c r="C671" s="40" t="n">
        <x:v>1.4674785571082012</x:v>
      </x:c>
      <x:c r="D671" s="40" t="n">
        <x:v>-3.004409213213183</x:v>
      </x:c>
      <x:c r="E671" t="n">
        <x:f>--((B671^2/$B$4^2+C671^2/$B$5^2+D671^2/$B$6^2)&lt;=1)</x:f>
        <x:v>0</x:v>
      </x:c>
      <x:c r="F671" s="42" t="n">
        <x:f>$B$8*SUM($E$18:E671)/A671</x:f>
        <x:v>98.34862385321101</x:v>
      </x:c>
      <x:c r="G671" s="42" t="n">
        <x:f>$B$11</x:f>
        <x:v>100.53096491487338</x:v>
      </x:c>
      <x:c r="I671" t="n">
        <x:f>A671</x:f>
        <x:v>654</x:v>
      </x:c>
      <x:c r="J671" t="n">
        <x:f>F671</x:f>
        <x:v>98.34862385321101</x:v>
      </x:c>
      <x:c r="K671" t="n">
        <x:f>G671</x:f>
        <x:v>100.53096491487338</x:v>
      </x:c>
    </x:row>
    <x:row r="672">
      <x:c r="A672" t="n">
        <x:v>655</x:v>
      </x:c>
      <x:c r="B672" s="40" t="n">
        <x:v>1.4111245185276506</x:v>
      </x:c>
      <x:c r="C672" s="40" t="n">
        <x:v>-0.28277900572789205</x:v>
      </x:c>
      <x:c r="D672" s="40" t="n">
        <x:v>-0.6661419688476427</x:v>
      </x:c>
      <x:c r="E672" t="n">
        <x:f>--((B672^2/$B$4^2+C672^2/$B$5^2+D672^2/$B$6^2)&lt;=1)</x:f>
        <x:v>1</x:v>
      </x:c>
      <x:c r="F672" s="42" t="n">
        <x:f>$B$8*SUM($E$18:E672)/A672</x:f>
        <x:v>98.49160305343511</x:v>
      </x:c>
      <x:c r="G672" s="42" t="n">
        <x:f>$B$11</x:f>
        <x:v>100.53096491487338</x:v>
      </x:c>
      <x:c r="I672" t="n">
        <x:f>A672</x:f>
        <x:v>655</x:v>
      </x:c>
      <x:c r="J672" t="n">
        <x:f>F672</x:f>
        <x:v>98.49160305343511</x:v>
      </x:c>
      <x:c r="K672" t="n">
        <x:f>G672</x:f>
        <x:v>100.53096491487338</x:v>
      </x:c>
    </x:row>
    <x:row r="673">
      <x:c r="A673" t="n">
        <x:v>656</x:v>
      </x:c>
      <x:c r="B673" s="40" t="n">
        <x:v>-0.6078743063619427</x:v>
      </x:c>
      <x:c r="C673" s="40" t="n">
        <x:v>2.5616939983950715</x:v>
      </x:c>
      <x:c r="D673" s="40" t="n">
        <x:v>2.9607631169101767</x:v>
      </x:c>
      <x:c r="E673" t="n">
        <x:f>--((B673^2/$B$4^2+C673^2/$B$5^2+D673^2/$B$6^2)&lt;=1)</x:f>
        <x:v>0</x:v>
      </x:c>
      <x:c r="F673" s="42" t="n">
        <x:f>$B$8*SUM($E$18:E673)/A673</x:f>
        <x:v>98.34146341463415</x:v>
      </x:c>
      <x:c r="G673" s="42" t="n">
        <x:f>$B$11</x:f>
        <x:v>100.53096491487338</x:v>
      </x:c>
      <x:c r="I673" t="n">
        <x:f>A673</x:f>
        <x:v>656</x:v>
      </x:c>
      <x:c r="J673" t="n">
        <x:f>F673</x:f>
        <x:v>98.34146341463415</x:v>
      </x:c>
      <x:c r="K673" t="n">
        <x:f>G673</x:f>
        <x:v>100.53096491487338</x:v>
      </x:c>
    </x:row>
    <x:row r="674">
      <x:c r="A674" t="n">
        <x:v>657</x:v>
      </x:c>
      <x:c r="B674" s="40" t="n">
        <x:v>1.4133786845762377</x:v>
      </x:c>
      <x:c r="C674" s="40" t="n">
        <x:v>-0.6334444225644318</x:v>
      </x:c>
      <x:c r="D674" s="40" t="n">
        <x:v>3.0566799927640185</x:v>
      </x:c>
      <x:c r="E674" t="n">
        <x:f>--((B674^2/$B$4^2+C674^2/$B$5^2+D674^2/$B$6^2)&lt;=1)</x:f>
        <x:v>0</x:v>
      </x:c>
      <x:c r="F674" s="42" t="n">
        <x:f>$B$8*SUM($E$18:E674)/A674</x:f>
        <x:v>98.1917808219178</x:v>
      </x:c>
      <x:c r="G674" s="42" t="n">
        <x:f>$B$11</x:f>
        <x:v>100.53096491487338</x:v>
      </x:c>
      <x:c r="I674" t="n">
        <x:f>A674</x:f>
        <x:v>657</x:v>
      </x:c>
      <x:c r="J674" t="n">
        <x:f>F674</x:f>
        <x:v>98.1917808219178</x:v>
      </x:c>
      <x:c r="K674" t="n">
        <x:f>G674</x:f>
        <x:v>100.53096491487338</x:v>
      </x:c>
    </x:row>
    <x:row r="675">
      <x:c r="A675" t="n">
        <x:v>658</x:v>
      </x:c>
      <x:c r="B675" s="40" t="n">
        <x:v>-0.8042253955243779</x:v>
      </x:c>
      <x:c r="C675" s="40" t="n">
        <x:v>0.39279549765742505</x:v>
      </x:c>
      <x:c r="D675" s="40" t="n">
        <x:v>-3.1410732025077586</x:v>
      </x:c>
      <x:c r="E675" t="n">
        <x:f>--((B675^2/$B$4^2+C675^2/$B$5^2+D675^2/$B$6^2)&lt;=1)</x:f>
        <x:v>1</x:v>
      </x:c>
      <x:c r="F675" s="42" t="n">
        <x:f>$B$8*SUM($E$18:E675)/A675</x:f>
        <x:v>98.33434650455926</x:v>
      </x:c>
      <x:c r="G675" s="42" t="n">
        <x:f>$B$11</x:f>
        <x:v>100.53096491487338</x:v>
      </x:c>
      <x:c r="I675" t="n">
        <x:f>A675</x:f>
        <x:v>658</x:v>
      </x:c>
      <x:c r="J675" t="n">
        <x:f>F675</x:f>
        <x:v>98.33434650455926</x:v>
      </x:c>
      <x:c r="K675" t="n">
        <x:f>G675</x:f>
        <x:v>100.53096491487338</x:v>
      </x:c>
    </x:row>
    <x:row r="676">
      <x:c r="A676" t="n">
        <x:v>659</x:v>
      </x:c>
      <x:c r="B676" s="40" t="n">
        <x:v>0.36128100353259596</x:v>
      </x:c>
      <x:c r="C676" s="40" t="n">
        <x:v>-2.3643458580542305</x:v>
      </x:c>
      <x:c r="D676" s="40" t="n">
        <x:v>0.5943783037244126</x:v>
      </x:c>
      <x:c r="E676" t="n">
        <x:f>--((B676^2/$B$4^2+C676^2/$B$5^2+D676^2/$B$6^2)&lt;=1)</x:f>
        <x:v>1</x:v>
      </x:c>
      <x:c r="F676" s="42" t="n">
        <x:f>$B$8*SUM($E$18:E676)/A676</x:f>
        <x:v>98.47647951441579</x:v>
      </x:c>
      <x:c r="G676" s="42" t="n">
        <x:f>$B$11</x:f>
        <x:v>100.53096491487338</x:v>
      </x:c>
      <x:c r="I676" t="n">
        <x:f>A676</x:f>
        <x:v>659</x:v>
      </x:c>
      <x:c r="J676" t="n">
        <x:f>F676</x:f>
        <x:v>98.47647951441579</x:v>
      </x:c>
      <x:c r="K676" t="n">
        <x:f>G676</x:f>
        <x:v>100.53096491487338</x:v>
      </x:c>
    </x:row>
    <x:row r="677">
      <x:c r="A677" t="n">
        <x:v>660</x:v>
      </x:c>
      <x:c r="B677" s="40" t="n">
        <x:v>-0.4122397290086637</x:v>
      </x:c>
      <x:c r="C677" s="40" t="n">
        <x:v>-1.6453488356024026</x:v>
      </x:c>
      <x:c r="D677" s="40" t="n">
        <x:v>-2.7545984229990967</x:v>
      </x:c>
      <x:c r="E677" t="n">
        <x:f>--((B677^2/$B$4^2+C677^2/$B$5^2+D677^2/$B$6^2)&lt;=1)</x:f>
        <x:v>1</x:v>
      </x:c>
      <x:c r="F677" s="42" t="n">
        <x:f>$B$8*SUM($E$18:E677)/A677</x:f>
        <x:v>98.61818181818182</x:v>
      </x:c>
      <x:c r="G677" s="42" t="n">
        <x:f>$B$11</x:f>
        <x:v>100.53096491487338</x:v>
      </x:c>
      <x:c r="I677" t="n">
        <x:f>A677</x:f>
        <x:v>660</x:v>
      </x:c>
      <x:c r="J677" t="n">
        <x:f>F677</x:f>
        <x:v>98.61818181818182</x:v>
      </x:c>
      <x:c r="K677" t="n">
        <x:f>G677</x:f>
        <x:v>100.53096491487338</x:v>
      </x:c>
    </x:row>
    <x:row r="678">
      <x:c r="A678" t="n">
        <x:v>661</x:v>
      </x:c>
      <x:c r="B678" s="40" t="n">
        <x:v>-0.9006997969797319</x:v>
      </x:c>
      <x:c r="C678" s="40" t="n">
        <x:v>2.044177023202564</x:v>
      </x:c>
      <x:c r="D678" s="40" t="n">
        <x:v>1.4890344800222621</x:v>
      </x:c>
      <x:c r="E678" t="n">
        <x:f>--((B678^2/$B$4^2+C678^2/$B$5^2+D678^2/$B$6^2)&lt;=1)</x:f>
        <x:v>1</x:v>
      </x:c>
      <x:c r="F678" s="42" t="n">
        <x:f>$B$8*SUM($E$18:E678)/A678</x:f>
        <x:v>98.75945537065053</x:v>
      </x:c>
      <x:c r="G678" s="42" t="n">
        <x:f>$B$11</x:f>
        <x:v>100.53096491487338</x:v>
      </x:c>
      <x:c r="I678" t="n">
        <x:f>A678</x:f>
        <x:v>661</x:v>
      </x:c>
      <x:c r="J678" t="n">
        <x:f>F678</x:f>
        <x:v>98.75945537065053</x:v>
      </x:c>
      <x:c r="K678" t="n">
        <x:f>G678</x:f>
        <x:v>100.53096491487338</x:v>
      </x:c>
    </x:row>
    <x:row r="679">
      <x:c r="A679" t="n">
        <x:v>662</x:v>
      </x:c>
      <x:c r="B679" s="40" t="n">
        <x:v>1.5462302486874768</x:v>
      </x:c>
      <x:c r="C679" s="40" t="n">
        <x:v>-0.6206836630269157</x:v>
      </x:c>
      <x:c r="D679" s="40" t="n">
        <x:v>3.3314659834312517</x:v>
      </x:c>
      <x:c r="E679" t="n">
        <x:f>--((B679^2/$B$4^2+C679^2/$B$5^2+D679^2/$B$6^2)&lt;=1)</x:f>
        <x:v>0</x:v>
      </x:c>
      <x:c r="F679" s="42" t="n">
        <x:f>$B$8*SUM($E$18:E679)/A679</x:f>
        <x:v>98.61027190332327</x:v>
      </x:c>
      <x:c r="G679" s="42" t="n">
        <x:f>$B$11</x:f>
        <x:v>100.53096491487338</x:v>
      </x:c>
      <x:c r="I679" t="n">
        <x:f>A679</x:f>
        <x:v>662</x:v>
      </x:c>
      <x:c r="J679" t="n">
        <x:f>F679</x:f>
        <x:v>98.61027190332327</x:v>
      </x:c>
      <x:c r="K679" t="n">
        <x:f>G679</x:f>
        <x:v>100.53096491487338</x:v>
      </x:c>
    </x:row>
    <x:row r="680">
      <x:c r="A680" t="n">
        <x:v>663</x:v>
      </x:c>
      <x:c r="B680" s="40" t="n">
        <x:v>-1.2496252722420347</x:v>
      </x:c>
      <x:c r="C680" s="40" t="n">
        <x:v>-0.6354954635084509</x:v>
      </x:c>
      <x:c r="D680" s="40" t="n">
        <x:v>-0.3618456601952511</x:v>
      </x:c>
      <x:c r="E680" t="n">
        <x:f>--((B680^2/$B$4^2+C680^2/$B$5^2+D680^2/$B$6^2)&lt;=1)</x:f>
        <x:v>1</x:v>
      </x:c>
      <x:c r="F680" s="42" t="n">
        <x:f>$B$8*SUM($E$18:E680)/A680</x:f>
        <x:v>98.75113122171946</x:v>
      </x:c>
      <x:c r="G680" s="42" t="n">
        <x:f>$B$11</x:f>
        <x:v>100.53096491487338</x:v>
      </x:c>
      <x:c r="I680" t="n">
        <x:f>A680</x:f>
        <x:v>663</x:v>
      </x:c>
      <x:c r="J680" t="n">
        <x:f>F680</x:f>
        <x:v>98.75113122171946</x:v>
      </x:c>
      <x:c r="K680" t="n">
        <x:f>G680</x:f>
        <x:v>100.53096491487338</x:v>
      </x:c>
    </x:row>
    <x:row r="681">
      <x:c r="A681" t="n">
        <x:v>664</x:v>
      </x:c>
      <x:c r="B681" s="40" t="n">
        <x:v>-1.6607536350569476</x:v>
      </x:c>
      <x:c r="C681" s="40" t="n">
        <x:v>-1.5241138908562786</x:v>
      </x:c>
      <x:c r="D681" s="40" t="n">
        <x:v>-3.335337802463588</x:v>
      </x:c>
      <x:c r="E681" t="n">
        <x:f>--((B681^2/$B$4^2+C681^2/$B$5^2+D681^2/$B$6^2)&lt;=1)</x:f>
        <x:v>0</x:v>
      </x:c>
      <x:c r="F681" s="42" t="n">
        <x:f>$B$8*SUM($E$18:E681)/A681</x:f>
        <x:v>98.60240963855422</x:v>
      </x:c>
      <x:c r="G681" s="42" t="n">
        <x:f>$B$11</x:f>
        <x:v>100.53096491487338</x:v>
      </x:c>
      <x:c r="I681" t="n">
        <x:f>A681</x:f>
        <x:v>664</x:v>
      </x:c>
      <x:c r="J681" t="n">
        <x:f>F681</x:f>
        <x:v>98.60240963855422</x:v>
      </x:c>
      <x:c r="K681" t="n">
        <x:f>G681</x:f>
        <x:v>100.53096491487338</x:v>
      </x:c>
    </x:row>
    <x:row r="682">
      <x:c r="A682" t="n">
        <x:v>665</x:v>
      </x:c>
      <x:c r="B682" s="40" t="n">
        <x:v>-0.6322922458173585</x:v>
      </x:c>
      <x:c r="C682" s="40" t="n">
        <x:v>-0.05033799421527352</x:v>
      </x:c>
      <x:c r="D682" s="40" t="n">
        <x:v>0.6340335671563642</x:v>
      </x:c>
      <x:c r="E682" t="n">
        <x:f>--((B682^2/$B$4^2+C682^2/$B$5^2+D682^2/$B$6^2)&lt;=1)</x:f>
        <x:v>1</x:v>
      </x:c>
      <x:c r="F682" s="42" t="n">
        <x:f>$B$8*SUM($E$18:E682)/A682</x:f>
        <x:v>98.74285714285715</x:v>
      </x:c>
      <x:c r="G682" s="42" t="n">
        <x:f>$B$11</x:f>
        <x:v>100.53096491487338</x:v>
      </x:c>
      <x:c r="I682" t="n">
        <x:f>A682</x:f>
        <x:v>665</x:v>
      </x:c>
      <x:c r="J682" t="n">
        <x:f>F682</x:f>
        <x:v>98.74285714285715</x:v>
      </x:c>
      <x:c r="K682" t="n">
        <x:f>G682</x:f>
        <x:v>100.53096491487338</x:v>
      </x:c>
    </x:row>
    <x:row r="683">
      <x:c r="A683" t="n">
        <x:v>666</x:v>
      </x:c>
      <x:c r="B683" s="40" t="n">
        <x:v>0.8705565905662702</x:v>
      </x:c>
      <x:c r="C683" s="40" t="n">
        <x:v>1.8349017681037347</x:v>
      </x:c>
      <x:c r="D683" s="40" t="n">
        <x:v>-0.7318666389131625</x:v>
      </x:c>
      <x:c r="E683" t="n">
        <x:f>--((B683^2/$B$4^2+C683^2/$B$5^2+D683^2/$B$6^2)&lt;=1)</x:f>
        <x:v>1</x:v>
      </x:c>
      <x:c r="F683" s="42" t="n">
        <x:f>$B$8*SUM($E$18:E683)/A683</x:f>
        <x:v>98.88288288288288</x:v>
      </x:c>
      <x:c r="G683" s="42" t="n">
        <x:f>$B$11</x:f>
        <x:v>100.53096491487338</x:v>
      </x:c>
      <x:c r="I683" t="n">
        <x:f>A683</x:f>
        <x:v>666</x:v>
      </x:c>
      <x:c r="J683" t="n">
        <x:f>F683</x:f>
        <x:v>98.88288288288288</x:v>
      </x:c>
      <x:c r="K683" t="n">
        <x:f>G683</x:f>
        <x:v>100.53096491487338</x:v>
      </x:c>
    </x:row>
    <x:row r="684">
      <x:c r="A684" t="n">
        <x:v>667</x:v>
      </x:c>
      <x:c r="B684" s="40" t="n">
        <x:v>1.2297264239051269</x:v>
      </x:c>
      <x:c r="C684" s="40" t="n">
        <x:v>2.370984706642438</x:v>
      </x:c>
      <x:c r="D684" s="40" t="n">
        <x:v>2.487190018671682</x:v>
      </x:c>
      <x:c r="E684" t="n">
        <x:f>--((B684^2/$B$4^2+C684^2/$B$5^2+D684^2/$B$6^2)&lt;=1)</x:f>
        <x:v>0</x:v>
      </x:c>
      <x:c r="F684" s="42" t="n">
        <x:f>$B$8*SUM($E$18:E684)/A684</x:f>
        <x:v>98.73463268365818</x:v>
      </x:c>
      <x:c r="G684" s="42" t="n">
        <x:f>$B$11</x:f>
        <x:v>100.53096491487338</x:v>
      </x:c>
      <x:c r="I684" t="n">
        <x:f>A684</x:f>
        <x:v>667</x:v>
      </x:c>
      <x:c r="J684" t="n">
        <x:f>F684</x:f>
        <x:v>98.73463268365818</x:v>
      </x:c>
      <x:c r="K684" t="n">
        <x:f>G684</x:f>
        <x:v>100.53096491487338</x:v>
      </x:c>
    </x:row>
    <x:row r="685">
      <x:c r="A685" t="n">
        <x:v>668</x:v>
      </x:c>
      <x:c r="B685" s="40" t="n">
        <x:v>1.9949734802670593</x:v>
      </x:c>
      <x:c r="C685" s="40" t="n">
        <x:v>-2.5793134077348965</x:v>
      </x:c>
      <x:c r="D685" s="40" t="n">
        <x:v>-1.2772442885888982</x:v>
      </x:c>
      <x:c r="E685" t="n">
        <x:f>--((B685^2/$B$4^2+C685^2/$B$5^2+D685^2/$B$6^2)&lt;=1)</x:f>
        <x:v>0</x:v>
      </x:c>
      <x:c r="F685" s="42" t="n">
        <x:f>$B$8*SUM($E$18:E685)/A685</x:f>
        <x:v>98.58682634730539</x:v>
      </x:c>
      <x:c r="G685" s="42" t="n">
        <x:f>$B$11</x:f>
        <x:v>100.53096491487338</x:v>
      </x:c>
      <x:c r="I685" t="n">
        <x:f>A685</x:f>
        <x:v>668</x:v>
      </x:c>
      <x:c r="J685" t="n">
        <x:f>F685</x:f>
        <x:v>98.58682634730539</x:v>
      </x:c>
      <x:c r="K685" t="n">
        <x:f>G685</x:f>
        <x:v>100.53096491487338</x:v>
      </x:c>
    </x:row>
    <x:row r="686">
      <x:c r="A686" t="n">
        <x:v>669</x:v>
      </x:c>
      <x:c r="B686" s="40" t="n">
        <x:v>-0.8145517719553403</x:v>
      </x:c>
      <x:c r="C686" s="40" t="n">
        <x:v>0.44892438744069274</x:v>
      </x:c>
      <x:c r="D686" s="40" t="n">
        <x:v>2.999177603780714</x:v>
      </x:c>
      <x:c r="E686" t="n">
        <x:f>--((B686^2/$B$4^2+C686^2/$B$5^2+D686^2/$B$6^2)&lt;=1)</x:f>
        <x:v>1</x:v>
      </x:c>
      <x:c r="F686" s="42" t="n">
        <x:f>$B$8*SUM($E$18:E686)/A686</x:f>
        <x:v>98.72645739910314</x:v>
      </x:c>
      <x:c r="G686" s="42" t="n">
        <x:f>$B$11</x:f>
        <x:v>100.53096491487338</x:v>
      </x:c>
      <x:c r="I686" t="n">
        <x:f>A686</x:f>
        <x:v>669</x:v>
      </x:c>
      <x:c r="J686" t="n">
        <x:f>F686</x:f>
        <x:v>98.72645739910314</x:v>
      </x:c>
      <x:c r="K686" t="n">
        <x:f>G686</x:f>
        <x:v>100.53096491487338</x:v>
      </x:c>
    </x:row>
    <x:row r="687">
      <x:c r="A687" t="n">
        <x:v>670</x:v>
      </x:c>
      <x:c r="B687" s="40" t="n">
        <x:v>-0.3682321954748713</x:v>
      </x:c>
      <x:c r="C687" s="40" t="n">
        <x:v>-0.19635979264599257</x:v>
      </x:c>
      <x:c r="D687" s="40" t="n">
        <x:v>-1.810396738921721</x:v>
      </x:c>
      <x:c r="E687" t="n">
        <x:f>--((B687^2/$B$4^2+C687^2/$B$5^2+D687^2/$B$6^2)&lt;=1)</x:f>
        <x:v>1</x:v>
      </x:c>
      <x:c r="F687" s="42" t="n">
        <x:f>$B$8*SUM($E$18:E687)/A687</x:f>
        <x:v>98.86567164179104</x:v>
      </x:c>
      <x:c r="G687" s="42" t="n">
        <x:f>$B$11</x:f>
        <x:v>100.53096491487338</x:v>
      </x:c>
      <x:c r="I687" t="n">
        <x:f>A687</x:f>
        <x:v>670</x:v>
      </x:c>
      <x:c r="J687" t="n">
        <x:f>F687</x:f>
        <x:v>98.86567164179104</x:v>
      </x:c>
      <x:c r="K687" t="n">
        <x:f>G687</x:f>
        <x:v>100.53096491487338</x:v>
      </x:c>
    </x:row>
    <x:row r="688">
      <x:c r="A688" t="n">
        <x:v>671</x:v>
      </x:c>
      <x:c r="B688" s="40" t="n">
        <x:v>-1.4527148878814948</x:v>
      </x:c>
      <x:c r="C688" s="40" t="n">
        <x:v>0.6856911028294701</x:v>
      </x:c>
      <x:c r="D688" s="40" t="n">
        <x:v>-2.7398589128905124</x:v>
      </x:c>
      <x:c r="E688" t="n">
        <x:f>--((B688^2/$B$4^2+C688^2/$B$5^2+D688^2/$B$6^2)&lt;=1)</x:f>
        <x:v>0</x:v>
      </x:c>
      <x:c r="F688" s="42" t="n">
        <x:f>$B$8*SUM($E$18:E688)/A688</x:f>
        <x:v>98.71833084947839</x:v>
      </x:c>
      <x:c r="G688" s="42" t="n">
        <x:f>$B$11</x:f>
        <x:v>100.53096491487338</x:v>
      </x:c>
      <x:c r="I688" t="n">
        <x:f>A688</x:f>
        <x:v>671</x:v>
      </x:c>
      <x:c r="J688" t="n">
        <x:f>F688</x:f>
        <x:v>98.71833084947839</x:v>
      </x:c>
      <x:c r="K688" t="n">
        <x:f>G688</x:f>
        <x:v>100.53096491487338</x:v>
      </x:c>
    </x:row>
    <x:row r="689">
      <x:c r="A689" t="n">
        <x:v>672</x:v>
      </x:c>
      <x:c r="B689" s="40" t="n">
        <x:v>0.2994877184921343</x:v>
      </x:c>
      <x:c r="C689" s="40" t="n">
        <x:v>-0.31634587855038543</x:v>
      </x:c>
      <x:c r="D689" s="40" t="n">
        <x:v>-1.5481569814513607</x:v>
      </x:c>
      <x:c r="E689" t="n">
        <x:f>--((B689^2/$B$4^2+C689^2/$B$5^2+D689^2/$B$6^2)&lt;=1)</x:f>
        <x:v>1</x:v>
      </x:c>
      <x:c r="F689" s="42" t="n">
        <x:f>$B$8*SUM($E$18:E689)/A689</x:f>
        <x:v>98.85714285714286</x:v>
      </x:c>
      <x:c r="G689" s="42" t="n">
        <x:f>$B$11</x:f>
        <x:v>100.53096491487338</x:v>
      </x:c>
      <x:c r="I689" t="n">
        <x:f>A689</x:f>
        <x:v>672</x:v>
      </x:c>
      <x:c r="J689" t="n">
        <x:f>F689</x:f>
        <x:v>98.85714285714286</x:v>
      </x:c>
      <x:c r="K689" t="n">
        <x:f>G689</x:f>
        <x:v>100.53096491487338</x:v>
      </x:c>
    </x:row>
    <x:row r="690">
      <x:c r="A690" t="n">
        <x:v>673</x:v>
      </x:c>
      <x:c r="B690" s="40" t="n">
        <x:v>1.9903201490516689</x:v>
      </x:c>
      <x:c r="C690" s="40" t="n">
        <x:v>-0.608131074879509</x:v>
      </x:c>
      <x:c r="D690" s="40" t="n">
        <x:v>-3.720673665418028</x:v>
      </x:c>
      <x:c r="E690" t="n">
        <x:f>--((B690^2/$B$4^2+C690^2/$B$5^2+D690^2/$B$6^2)&lt;=1)</x:f>
        <x:v>0</x:v>
      </x:c>
      <x:c r="F690" s="42" t="n">
        <x:f>$B$8*SUM($E$18:E690)/A690</x:f>
        <x:v>98.71025260029718</x:v>
      </x:c>
      <x:c r="G690" s="42" t="n">
        <x:f>$B$11</x:f>
        <x:v>100.53096491487338</x:v>
      </x:c>
      <x:c r="I690" t="n">
        <x:f>A690</x:f>
        <x:v>673</x:v>
      </x:c>
      <x:c r="J690" t="n">
        <x:f>F690</x:f>
        <x:v>98.71025260029718</x:v>
      </x:c>
      <x:c r="K690" t="n">
        <x:f>G690</x:f>
        <x:v>100.53096491487338</x:v>
      </x:c>
    </x:row>
    <x:row r="691">
      <x:c r="A691" t="n">
        <x:v>674</x:v>
      </x:c>
      <x:c r="B691" s="40" t="n">
        <x:v>0.803524040482634</x:v>
      </x:c>
      <x:c r="C691" s="40" t="n">
        <x:v>-0.16871572542306357</x:v>
      </x:c>
      <x:c r="D691" s="40" t="n">
        <x:v>-1.7500322650060696</x:v>
      </x:c>
      <x:c r="E691" t="n">
        <x:f>--((B691^2/$B$4^2+C691^2/$B$5^2+D691^2/$B$6^2)&lt;=1)</x:f>
        <x:v>1</x:v>
      </x:c>
      <x:c r="F691" s="42" t="n">
        <x:f>$B$8*SUM($E$18:E691)/A691</x:f>
        <x:v>98.8486646884273</x:v>
      </x:c>
      <x:c r="G691" s="42" t="n">
        <x:f>$B$11</x:f>
        <x:v>100.53096491487338</x:v>
      </x:c>
      <x:c r="I691" t="n">
        <x:f>A691</x:f>
        <x:v>674</x:v>
      </x:c>
      <x:c r="J691" t="n">
        <x:f>F691</x:f>
        <x:v>98.8486646884273</x:v>
      </x:c>
      <x:c r="K691" t="n">
        <x:f>G691</x:f>
        <x:v>100.53096491487338</x:v>
      </x:c>
    </x:row>
    <x:row r="692">
      <x:c r="A692" t="n">
        <x:v>675</x:v>
      </x:c>
      <x:c r="B692" s="40" t="n">
        <x:v>0.380851361653487</x:v>
      </x:c>
      <x:c r="C692" s="40" t="n">
        <x:v>0.4919947725384848</x:v>
      </x:c>
      <x:c r="D692" s="40" t="n">
        <x:v>1.2809410710562457</x:v>
      </x:c>
      <x:c r="E692" t="n">
        <x:f>--((B692^2/$B$4^2+C692^2/$B$5^2+D692^2/$B$6^2)&lt;=1)</x:f>
        <x:v>1</x:v>
      </x:c>
      <x:c r="F692" s="42" t="n">
        <x:f>$B$8*SUM($E$18:E692)/A692</x:f>
        <x:v>98.98666666666666</x:v>
      </x:c>
      <x:c r="G692" s="42" t="n">
        <x:f>$B$11</x:f>
        <x:v>100.53096491487338</x:v>
      </x:c>
      <x:c r="I692" t="n">
        <x:f>A692</x:f>
        <x:v>675</x:v>
      </x:c>
      <x:c r="J692" t="n">
        <x:f>F692</x:f>
        <x:v>98.98666666666666</x:v>
      </x:c>
      <x:c r="K692" t="n">
        <x:f>G692</x:f>
        <x:v>100.53096491487338</x:v>
      </x:c>
    </x:row>
    <x:row r="693">
      <x:c r="A693" t="n">
        <x:v>676</x:v>
      </x:c>
      <x:c r="B693" s="40" t="n">
        <x:v>-0.430523628312824</x:v>
      </x:c>
      <x:c r="C693" s="40" t="n">
        <x:v>0.005899266190660946</x:v>
      </x:c>
      <x:c r="D693" s="40" t="n">
        <x:v>-2.8617361715472613</x:v>
      </x:c>
      <x:c r="E693" t="n">
        <x:f>--((B693^2/$B$4^2+C693^2/$B$5^2+D693^2/$B$6^2)&lt;=1)</x:f>
        <x:v>1</x:v>
      </x:c>
      <x:c r="F693" s="42" t="n">
        <x:f>$B$8*SUM($E$18:E693)/A693</x:f>
        <x:v>99.12426035502959</x:v>
      </x:c>
      <x:c r="G693" s="42" t="n">
        <x:f>$B$11</x:f>
        <x:v>100.53096491487338</x:v>
      </x:c>
      <x:c r="I693" t="n">
        <x:f>A693</x:f>
        <x:v>676</x:v>
      </x:c>
      <x:c r="J693" t="n">
        <x:f>F693</x:f>
        <x:v>99.12426035502959</x:v>
      </x:c>
      <x:c r="K693" t="n">
        <x:f>G693</x:f>
        <x:v>100.53096491487338</x:v>
      </x:c>
    </x:row>
    <x:row r="694">
      <x:c r="A694" t="n">
        <x:v>677</x:v>
      </x:c>
      <x:c r="B694" s="40" t="n">
        <x:v>1.6611950411422192</x:v>
      </x:c>
      <x:c r="C694" s="40" t="n">
        <x:v>-0.1671332938761232</x:v>
      </x:c>
      <x:c r="D694" s="40" t="n">
        <x:v>-3.1090802177072963</x:v>
      </x:c>
      <x:c r="E694" t="n">
        <x:f>--((B694^2/$B$4^2+C694^2/$B$5^2+D694^2/$B$6^2)&lt;=1)</x:f>
        <x:v>0</x:v>
      </x:c>
      <x:c r="F694" s="42" t="n">
        <x:f>$B$8*SUM($E$18:E694)/A694</x:f>
        <x:v>98.97784342688331</x:v>
      </x:c>
      <x:c r="G694" s="42" t="n">
        <x:f>$B$11</x:f>
        <x:v>100.53096491487338</x:v>
      </x:c>
      <x:c r="I694" t="n">
        <x:f>A694</x:f>
        <x:v>677</x:v>
      </x:c>
      <x:c r="J694" t="n">
        <x:f>F694</x:f>
        <x:v>98.97784342688331</x:v>
      </x:c>
      <x:c r="K694" t="n">
        <x:f>G694</x:f>
        <x:v>100.53096491487338</x:v>
      </x:c>
    </x:row>
    <x:row r="695">
      <x:c r="A695" t="n">
        <x:v>678</x:v>
      </x:c>
      <x:c r="B695" s="40" t="n">
        <x:v>-0.012333615478602233</x:v>
      </x:c>
      <x:c r="C695" s="40" t="n">
        <x:v>1.9070118597484846</x:v>
      </x:c>
      <x:c r="D695" s="40" t="n">
        <x:v>-2.940917669965197</x:v>
      </x:c>
      <x:c r="E695" t="n">
        <x:f>--((B695^2/$B$4^2+C695^2/$B$5^2+D695^2/$B$6^2)&lt;=1)</x:f>
        <x:v>1</x:v>
      </x:c>
      <x:c r="F695" s="42" t="n">
        <x:f>$B$8*SUM($E$18:E695)/A695</x:f>
        <x:v>99.11504424778761</x:v>
      </x:c>
      <x:c r="G695" s="42" t="n">
        <x:f>$B$11</x:f>
        <x:v>100.53096491487338</x:v>
      </x:c>
      <x:c r="I695" t="n">
        <x:f>A695</x:f>
        <x:v>678</x:v>
      </x:c>
      <x:c r="J695" t="n">
        <x:f>F695</x:f>
        <x:v>99.11504424778761</x:v>
      </x:c>
      <x:c r="K695" t="n">
        <x:f>G695</x:f>
        <x:v>100.53096491487338</x:v>
      </x:c>
    </x:row>
    <x:row r="696">
      <x:c r="A696" t="n">
        <x:v>679</x:v>
      </x:c>
      <x:c r="B696" s="40" t="n">
        <x:v>-1.462532346747754</x:v>
      </x:c>
      <x:c r="C696" s="40" t="n">
        <x:v>1.473887947427146</x:v>
      </x:c>
      <x:c r="D696" s="40" t="n">
        <x:v>-3.379586605908269</x:v>
      </x:c>
      <x:c r="E696" t="n">
        <x:f>--((B696^2/$B$4^2+C696^2/$B$5^2+D696^2/$B$6^2)&lt;=1)</x:f>
        <x:v>0</x:v>
      </x:c>
      <x:c r="F696" s="42" t="n">
        <x:f>$B$8*SUM($E$18:E696)/A696</x:f>
        <x:v>98.96907216494846</x:v>
      </x:c>
      <x:c r="G696" s="42" t="n">
        <x:f>$B$11</x:f>
        <x:v>100.53096491487338</x:v>
      </x:c>
      <x:c r="I696" t="n">
        <x:f>A696</x:f>
        <x:v>679</x:v>
      </x:c>
      <x:c r="J696" t="n">
        <x:f>F696</x:f>
        <x:v>98.96907216494846</x:v>
      </x:c>
      <x:c r="K696" t="n">
        <x:f>G696</x:f>
        <x:v>100.53096491487338</x:v>
      </x:c>
    </x:row>
    <x:row r="697">
      <x:c r="A697" t="n">
        <x:v>680</x:v>
      </x:c>
      <x:c r="B697" s="40" t="n">
        <x:v>-0.5384861472034661</x:v>
      </x:c>
      <x:c r="C697" s="40" t="n">
        <x:v>-0.9517290349128431</x:v>
      </x:c>
      <x:c r="D697" s="40" t="n">
        <x:v>2.9970832947435166</x:v>
      </x:c>
      <x:c r="E697" t="n">
        <x:f>--((B697^2/$B$4^2+C697^2/$B$5^2+D697^2/$B$6^2)&lt;=1)</x:f>
        <x:v>1</x:v>
      </x:c>
      <x:c r="F697" s="42" t="n">
        <x:f>$B$8*SUM($E$18:E697)/A697</x:f>
        <x:v>99.10588235294118</x:v>
      </x:c>
      <x:c r="G697" s="42" t="n">
        <x:f>$B$11</x:f>
        <x:v>100.53096491487338</x:v>
      </x:c>
      <x:c r="I697" t="n">
        <x:f>A697</x:f>
        <x:v>680</x:v>
      </x:c>
      <x:c r="J697" t="n">
        <x:f>F697</x:f>
        <x:v>99.10588235294118</x:v>
      </x:c>
      <x:c r="K697" t="n">
        <x:f>G697</x:f>
        <x:v>100.53096491487338</x:v>
      </x:c>
    </x:row>
    <x:row r="698">
      <x:c r="A698" t="n">
        <x:v>681</x:v>
      </x:c>
      <x:c r="B698" s="40" t="n">
        <x:v>-1.7313333246089324</x:v>
      </x:c>
      <x:c r="C698" s="40" t="n">
        <x:v>1.8034627050919223</x:v>
      </x:c>
      <x:c r="D698" s="40" t="n">
        <x:v>3.5529209239722253</x:v>
      </x:c>
      <x:c r="E698" t="n">
        <x:f>--((B698^2/$B$4^2+C698^2/$B$5^2+D698^2/$B$6^2)&lt;=1)</x:f>
        <x:v>0</x:v>
      </x:c>
      <x:c r="F698" s="42" t="n">
        <x:f>$B$8*SUM($E$18:E698)/A698</x:f>
        <x:v>98.96035242290749</x:v>
      </x:c>
      <x:c r="G698" s="42" t="n">
        <x:f>$B$11</x:f>
        <x:v>100.53096491487338</x:v>
      </x:c>
      <x:c r="I698" t="n">
        <x:f>A698</x:f>
        <x:v>681</x:v>
      </x:c>
      <x:c r="J698" t="n">
        <x:f>F698</x:f>
        <x:v>98.96035242290749</x:v>
      </x:c>
      <x:c r="K698" t="n">
        <x:f>G698</x:f>
        <x:v>100.53096491487338</x:v>
      </x:c>
    </x:row>
    <x:row r="699">
      <x:c r="A699" t="n">
        <x:v>682</x:v>
      </x:c>
      <x:c r="B699" s="40" t="n">
        <x:v>-1.1920838492448738</x:v>
      </x:c>
      <x:c r="C699" s="40" t="n">
        <x:v>2.1219040140270007</x:v>
      </x:c>
      <x:c r="D699" s="40" t="n">
        <x:v>-3.62751078616971</x:v>
      </x:c>
      <x:c r="E699" t="n">
        <x:f>--((B699^2/$B$4^2+C699^2/$B$5^2+D699^2/$B$6^2)&lt;=1)</x:f>
        <x:v>0</x:v>
      </x:c>
      <x:c r="F699" s="42" t="n">
        <x:f>$B$8*SUM($E$18:E699)/A699</x:f>
        <x:v>98.81524926686217</x:v>
      </x:c>
      <x:c r="G699" s="42" t="n">
        <x:f>$B$11</x:f>
        <x:v>100.53096491487338</x:v>
      </x:c>
      <x:c r="I699" t="n">
        <x:f>A699</x:f>
        <x:v>682</x:v>
      </x:c>
      <x:c r="J699" t="n">
        <x:f>F699</x:f>
        <x:v>98.81524926686217</x:v>
      </x:c>
      <x:c r="K699" t="n">
        <x:f>G699</x:f>
        <x:v>100.53096491487338</x:v>
      </x:c>
    </x:row>
    <x:row r="700">
      <x:c r="A700" t="n">
        <x:v>683</x:v>
      </x:c>
      <x:c r="B700" s="40" t="n">
        <x:v>-1.9293248760003512</x:v>
      </x:c>
      <x:c r="C700" s="40" t="n">
        <x:v>-2.079046767754857</x:v>
      </x:c>
      <x:c r="D700" s="40" t="n">
        <x:v>2.080574252348322</x:v>
      </x:c>
      <x:c r="E700" t="n">
        <x:f>--((B700^2/$B$4^2+C700^2/$B$5^2+D700^2/$B$6^2)&lt;=1)</x:f>
        <x:v>0</x:v>
      </x:c>
      <x:c r="F700" s="42" t="n">
        <x:f>$B$8*SUM($E$18:E700)/A700</x:f>
        <x:v>98.6705710102489</x:v>
      </x:c>
      <x:c r="G700" s="42" t="n">
        <x:f>$B$11</x:f>
        <x:v>100.53096491487338</x:v>
      </x:c>
      <x:c r="I700" t="n">
        <x:f>A700</x:f>
        <x:v>683</x:v>
      </x:c>
      <x:c r="J700" t="n">
        <x:f>F700</x:f>
        <x:v>98.6705710102489</x:v>
      </x:c>
      <x:c r="K700" t="n">
        <x:f>G700</x:f>
        <x:v>100.53096491487338</x:v>
      </x:c>
    </x:row>
    <x:row r="701">
      <x:c r="A701" t="n">
        <x:v>684</x:v>
      </x:c>
      <x:c r="B701" s="40" t="n">
        <x:v>-0.18688033399934634</x:v>
      </x:c>
      <x:c r="C701" s="40" t="n">
        <x:v>0.49609477038455285</x:v>
      </x:c>
      <x:c r="D701" s="40" t="n">
        <x:v>1.897213973737582</x:v>
      </x:c>
      <x:c r="E701" t="n">
        <x:f>--((B701^2/$B$4^2+C701^2/$B$5^2+D701^2/$B$6^2)&lt;=1)</x:f>
        <x:v>1</x:v>
      </x:c>
      <x:c r="F701" s="42" t="n">
        <x:f>$B$8*SUM($E$18:E701)/A701</x:f>
        <x:v>98.80701754385964</x:v>
      </x:c>
      <x:c r="G701" s="42" t="n">
        <x:f>$B$11</x:f>
        <x:v>100.53096491487338</x:v>
      </x:c>
      <x:c r="I701" t="n">
        <x:f>A701</x:f>
        <x:v>684</x:v>
      </x:c>
      <x:c r="J701" t="n">
        <x:f>F701</x:f>
        <x:v>98.80701754385964</x:v>
      </x:c>
      <x:c r="K701" t="n">
        <x:f>G701</x:f>
        <x:v>100.53096491487338</x:v>
      </x:c>
    </x:row>
    <x:row r="702">
      <x:c r="A702" t="n">
        <x:v>685</x:v>
      </x:c>
      <x:c r="B702" s="40" t="n">
        <x:v>0.5381610598071886</x:v>
      </x:c>
      <x:c r="C702" s="40" t="n">
        <x:v>-1.2881280384047173</x:v>
      </x:c>
      <x:c r="D702" s="40" t="n">
        <x:v>3.975275396880323</x:v>
      </x:c>
      <x:c r="E702" t="n">
        <x:f>--((B702^2/$B$4^2+C702^2/$B$5^2+D702^2/$B$6^2)&lt;=1)</x:f>
        <x:v>0</x:v>
      </x:c>
      <x:c r="F702" s="42" t="n">
        <x:f>$B$8*SUM($E$18:E702)/A702</x:f>
        <x:v>98.66277372262773</x:v>
      </x:c>
      <x:c r="G702" s="42" t="n">
        <x:f>$B$11</x:f>
        <x:v>100.53096491487338</x:v>
      </x:c>
      <x:c r="I702" t="n">
        <x:f>A702</x:f>
        <x:v>685</x:v>
      </x:c>
      <x:c r="J702" t="n">
        <x:f>F702</x:f>
        <x:v>98.66277372262773</x:v>
      </x:c>
      <x:c r="K702" t="n">
        <x:f>G702</x:f>
        <x:v>100.53096491487338</x:v>
      </x:c>
    </x:row>
    <x:row r="703">
      <x:c r="A703" t="n">
        <x:v>686</x:v>
      </x:c>
      <x:c r="B703" s="40" t="n">
        <x:v>-0.626830150484369</x:v>
      </x:c>
      <x:c r="C703" s="40" t="n">
        <x:v>1.4350339315603353</x:v>
      </x:c>
      <x:c r="D703" s="40" t="n">
        <x:v>-1.2170347062314546</x:v>
      </x:c>
      <x:c r="E703" t="n">
        <x:f>--((B703^2/$B$4^2+C703^2/$B$5^2+D703^2/$B$6^2)&lt;=1)</x:f>
        <x:v>1</x:v>
      </x:c>
      <x:c r="F703" s="42" t="n">
        <x:f>$B$8*SUM($E$18:E703)/A703</x:f>
        <x:v>98.79883381924198</x:v>
      </x:c>
      <x:c r="G703" s="42" t="n">
        <x:f>$B$11</x:f>
        <x:v>100.53096491487338</x:v>
      </x:c>
      <x:c r="I703" t="n">
        <x:f>A703</x:f>
        <x:v>686</x:v>
      </x:c>
      <x:c r="J703" t="n">
        <x:f>F703</x:f>
        <x:v>98.79883381924198</x:v>
      </x:c>
      <x:c r="K703" t="n">
        <x:f>G703</x:f>
        <x:v>100.53096491487338</x:v>
      </x:c>
    </x:row>
    <x:row r="704">
      <x:c r="A704" t="n">
        <x:v>687</x:v>
      </x:c>
      <x:c r="B704" s="40" t="n">
        <x:v>-0.31847291397889155</x:v>
      </x:c>
      <x:c r="C704" s="40" t="n">
        <x:v>-1.5672880238479006</x:v>
      </x:c>
      <x:c r="D704" s="40" t="n">
        <x:v>-1.7159280664766703</x:v>
      </x:c>
      <x:c r="E704" t="n">
        <x:f>--((B704^2/$B$4^2+C704^2/$B$5^2+D704^2/$B$6^2)&lt;=1)</x:f>
        <x:v>1</x:v>
      </x:c>
      <x:c r="F704" s="42" t="n">
        <x:f>$B$8*SUM($E$18:E704)/A704</x:f>
        <x:v>98.93449781659389</x:v>
      </x:c>
      <x:c r="G704" s="42" t="n">
        <x:f>$B$11</x:f>
        <x:v>100.53096491487338</x:v>
      </x:c>
      <x:c r="I704" t="n">
        <x:f>A704</x:f>
        <x:v>687</x:v>
      </x:c>
      <x:c r="J704" t="n">
        <x:f>F704</x:f>
        <x:v>98.93449781659389</x:v>
      </x:c>
      <x:c r="K704" t="n">
        <x:f>G704</x:f>
        <x:v>100.53096491487338</x:v>
      </x:c>
    </x:row>
    <x:row r="705">
      <x:c r="A705" t="n">
        <x:v>688</x:v>
      </x:c>
      <x:c r="B705" s="40" t="n">
        <x:v>1.8368370913783036</x:v>
      </x:c>
      <x:c r="C705" s="40" t="n">
        <x:v>1.028421145038191</x:v>
      </x:c>
      <x:c r="D705" s="40" t="n">
        <x:v>-0.3753430335213821</x:v>
      </x:c>
      <x:c r="E705" t="n">
        <x:f>--((B705^2/$B$4^2+C705^2/$B$5^2+D705^2/$B$6^2)&lt;=1)</x:f>
        <x:v>1</x:v>
      </x:c>
      <x:c r="F705" s="42" t="n">
        <x:f>$B$8*SUM($E$18:E705)/A705</x:f>
        <x:v>99.06976744186046</x:v>
      </x:c>
      <x:c r="G705" s="42" t="n">
        <x:f>$B$11</x:f>
        <x:v>100.53096491487338</x:v>
      </x:c>
      <x:c r="I705" t="n">
        <x:f>A705</x:f>
        <x:v>688</x:v>
      </x:c>
      <x:c r="J705" t="n">
        <x:f>F705</x:f>
        <x:v>99.06976744186046</x:v>
      </x:c>
      <x:c r="K705" t="n">
        <x:f>G705</x:f>
        <x:v>100.53096491487338</x:v>
      </x:c>
    </x:row>
    <x:row r="706">
      <x:c r="A706" t="n">
        <x:v>689</x:v>
      </x:c>
      <x:c r="B706" s="40" t="n">
        <x:v>1.007852486299662</x:v>
      </x:c>
      <x:c r="C706" s="40" t="n">
        <x:v>-1.4692520636541966</x:v>
      </x:c>
      <x:c r="D706" s="40" t="n">
        <x:v>2.852601417193524</x:v>
      </x:c>
      <x:c r="E706" t="n">
        <x:f>--((B706^2/$B$4^2+C706^2/$B$5^2+D706^2/$B$6^2)&lt;=1)</x:f>
        <x:v>0</x:v>
      </x:c>
      <x:c r="F706" s="42" t="n">
        <x:f>$B$8*SUM($E$18:E706)/A706</x:f>
        <x:v>98.92597968069666</x:v>
      </x:c>
      <x:c r="G706" s="42" t="n">
        <x:f>$B$11</x:f>
        <x:v>100.53096491487338</x:v>
      </x:c>
      <x:c r="I706" t="n">
        <x:f>A706</x:f>
        <x:v>689</x:v>
      </x:c>
      <x:c r="J706" t="n">
        <x:f>F706</x:f>
        <x:v>98.92597968069666</x:v>
      </x:c>
      <x:c r="K706" t="n">
        <x:f>G706</x:f>
        <x:v>100.53096491487338</x:v>
      </x:c>
    </x:row>
    <x:row r="707">
      <x:c r="A707" t="n">
        <x:v>690</x:v>
      </x:c>
      <x:c r="B707" s="40" t="n">
        <x:v>0.16342654777980492</x:v>
      </x:c>
      <x:c r="C707" s="40" t="n">
        <x:v>0.06686258057965899</x:v>
      </x:c>
      <x:c r="D707" s="40" t="n">
        <x:v>1.8287491403031906</x:v>
      </x:c>
      <x:c r="E707" t="n">
        <x:f>--((B707^2/$B$4^2+C707^2/$B$5^2+D707^2/$B$6^2)&lt;=1)</x:f>
        <x:v>1</x:v>
      </x:c>
      <x:c r="F707" s="42" t="n">
        <x:f>$B$8*SUM($E$18:E707)/A707</x:f>
        <x:v>99.06086956521739</x:v>
      </x:c>
      <x:c r="G707" s="42" t="n">
        <x:f>$B$11</x:f>
        <x:v>100.53096491487338</x:v>
      </x:c>
      <x:c r="I707" t="n">
        <x:f>A707</x:f>
        <x:v>690</x:v>
      </x:c>
      <x:c r="J707" t="n">
        <x:f>F707</x:f>
        <x:v>99.06086956521739</x:v>
      </x:c>
      <x:c r="K707" t="n">
        <x:f>G707</x:f>
        <x:v>100.53096491487338</x:v>
      </x:c>
    </x:row>
    <x:row r="708">
      <x:c r="A708" t="n">
        <x:v>691</x:v>
      </x:c>
      <x:c r="B708" s="40" t="n">
        <x:v>-0.861836499552699</x:v>
      </x:c>
      <x:c r="C708" s="40" t="n">
        <x:v>2.6918788074971527</x:v>
      </x:c>
      <x:c r="D708" s="40" t="n">
        <x:v>-0.22700948825997802</x:v>
      </x:c>
      <x:c r="E708" t="n">
        <x:f>--((B708^2/$B$4^2+C708^2/$B$5^2+D708^2/$B$6^2)&lt;=1)</x:f>
        <x:v>1</x:v>
      </x:c>
      <x:c r="F708" s="42" t="n">
        <x:f>$B$8*SUM($E$18:E708)/A708</x:f>
        <x:v>99.19536903039074</x:v>
      </x:c>
      <x:c r="G708" s="42" t="n">
        <x:f>$B$11</x:f>
        <x:v>100.53096491487338</x:v>
      </x:c>
      <x:c r="I708" t="n">
        <x:f>A708</x:f>
        <x:v>691</x:v>
      </x:c>
      <x:c r="J708" t="n">
        <x:f>F708</x:f>
        <x:v>99.19536903039074</x:v>
      </x:c>
      <x:c r="K708" t="n">
        <x:f>G708</x:f>
        <x:v>100.53096491487338</x:v>
      </x:c>
    </x:row>
    <x:row r="709">
      <x:c r="A709" t="n">
        <x:v>692</x:v>
      </x:c>
      <x:c r="B709" s="40" t="n">
        <x:v>1.5879871950919808</x:v>
      </x:c>
      <x:c r="C709" s="40" t="n">
        <x:v>-0.7121547692613932</x:v>
      </x:c>
      <x:c r="D709" s="40" t="n">
        <x:v>-2.0434972537130145</x:v>
      </x:c>
      <x:c r="E709" t="n">
        <x:f>--((B709^2/$B$4^2+C709^2/$B$5^2+D709^2/$B$6^2)&lt;=1)</x:f>
        <x:v>1</x:v>
      </x:c>
      <x:c r="F709" s="42" t="n">
        <x:f>$B$8*SUM($E$18:E709)/A709</x:f>
        <x:v>99.32947976878613</x:v>
      </x:c>
      <x:c r="G709" s="42" t="n">
        <x:f>$B$11</x:f>
        <x:v>100.53096491487338</x:v>
      </x:c>
      <x:c r="I709" t="n">
        <x:f>A709</x:f>
        <x:v>692</x:v>
      </x:c>
      <x:c r="J709" t="n">
        <x:f>F709</x:f>
        <x:v>99.32947976878613</x:v>
      </x:c>
      <x:c r="K709" t="n">
        <x:f>G709</x:f>
        <x:v>100.53096491487338</x:v>
      </x:c>
    </x:row>
    <x:row r="710">
      <x:c r="A710" t="n">
        <x:v>693</x:v>
      </x:c>
      <x:c r="B710" s="40" t="n">
        <x:v>-1.059611532477362</x:v>
      </x:c>
      <x:c r="C710" s="40" t="n">
        <x:v>2.2544309157792464</x:v>
      </x:c>
      <x:c r="D710" s="40" t="n">
        <x:v>1.8161259301469688</x:v>
      </x:c>
      <x:c r="E710" t="n">
        <x:f>--((B710^2/$B$4^2+C710^2/$B$5^2+D710^2/$B$6^2)&lt;=1)</x:f>
        <x:v>0</x:v>
      </x:c>
      <x:c r="F710" s="42" t="n">
        <x:f>$B$8*SUM($E$18:E710)/A710</x:f>
        <x:v>99.18614718614718</x:v>
      </x:c>
      <x:c r="G710" s="42" t="n">
        <x:f>$B$11</x:f>
        <x:v>100.53096491487338</x:v>
      </x:c>
      <x:c r="I710" t="n">
        <x:f>A710</x:f>
        <x:v>693</x:v>
      </x:c>
      <x:c r="J710" t="n">
        <x:f>F710</x:f>
        <x:v>99.18614718614718</x:v>
      </x:c>
      <x:c r="K710" t="n">
        <x:f>G710</x:f>
        <x:v>100.53096491487338</x:v>
      </x:c>
    </x:row>
    <x:row r="711">
      <x:c r="A711" t="n">
        <x:v>694</x:v>
      </x:c>
      <x:c r="B711" s="40" t="n">
        <x:v>-0.6986290779332918</x:v>
      </x:c>
      <x:c r="C711" s="40" t="n">
        <x:v>2.9216674872233677</x:v>
      </x:c>
      <x:c r="D711" s="40" t="n">
        <x:v>2.836214944337569</x:v>
      </x:c>
      <x:c r="E711" t="n">
        <x:f>--((B711^2/$B$4^2+C711^2/$B$5^2+D711^2/$B$6^2)&lt;=1)</x:f>
        <x:v>0</x:v>
      </x:c>
      <x:c r="F711" s="42" t="n">
        <x:f>$B$8*SUM($E$18:E711)/A711</x:f>
        <x:v>99.04322766570606</x:v>
      </x:c>
      <x:c r="G711" s="42" t="n">
        <x:f>$B$11</x:f>
        <x:v>100.53096491487338</x:v>
      </x:c>
      <x:c r="I711" t="n">
        <x:f>A711</x:f>
        <x:v>694</x:v>
      </x:c>
      <x:c r="J711" t="n">
        <x:f>F711</x:f>
        <x:v>99.04322766570606</x:v>
      </x:c>
      <x:c r="K711" t="n">
        <x:f>G711</x:f>
        <x:v>100.53096491487338</x:v>
      </x:c>
    </x:row>
    <x:row r="712">
      <x:c r="A712" t="n">
        <x:v>695</x:v>
      </x:c>
      <x:c r="B712" s="40" t="n">
        <x:v>1.636259257691794</x:v>
      </x:c>
      <x:c r="C712" s="40" t="n">
        <x:v>2.2491050928309795</x:v>
      </x:c>
      <x:c r="D712" s="40" t="n">
        <x:v>-0.8003901514600731</x:v>
      </x:c>
      <x:c r="E712" t="n">
        <x:f>--((B712^2/$B$4^2+C712^2/$B$5^2+D712^2/$B$6^2)&lt;=1)</x:f>
        <x:v>0</x:v>
      </x:c>
      <x:c r="F712" s="42" t="n">
        <x:f>$B$8*SUM($E$18:E712)/A712</x:f>
        <x:v>98.90071942446043</x:v>
      </x:c>
      <x:c r="G712" s="42" t="n">
        <x:f>$B$11</x:f>
        <x:v>100.53096491487338</x:v>
      </x:c>
      <x:c r="I712" t="n">
        <x:f>A712</x:f>
        <x:v>695</x:v>
      </x:c>
      <x:c r="J712" t="n">
        <x:f>F712</x:f>
        <x:v>98.90071942446043</x:v>
      </x:c>
      <x:c r="K712" t="n">
        <x:f>G712</x:f>
        <x:v>100.53096491487338</x:v>
      </x:c>
    </x:row>
    <x:row r="713">
      <x:c r="A713" t="n">
        <x:v>696</x:v>
      </x:c>
      <x:c r="B713" s="40" t="n">
        <x:v>0.11816822114028946</x:v>
      </x:c>
      <x:c r="C713" s="40" t="n">
        <x:v>-2.0048038216599426</x:v>
      </x:c>
      <x:c r="D713" s="40" t="n">
        <x:v>1.3486835665678738</x:v>
      </x:c>
      <x:c r="E713" t="n">
        <x:f>--((B713^2/$B$4^2+C713^2/$B$5^2+D713^2/$B$6^2)&lt;=1)</x:f>
        <x:v>1</x:v>
      </x:c>
      <x:c r="F713" s="42" t="n">
        <x:f>$B$8*SUM($E$18:E713)/A713</x:f>
        <x:v>99.03448275862068</x:v>
      </x:c>
      <x:c r="G713" s="42" t="n">
        <x:f>$B$11</x:f>
        <x:v>100.53096491487338</x:v>
      </x:c>
      <x:c r="I713" t="n">
        <x:f>A713</x:f>
        <x:v>696</x:v>
      </x:c>
      <x:c r="J713" t="n">
        <x:f>F713</x:f>
        <x:v>99.03448275862068</x:v>
      </x:c>
      <x:c r="K713" t="n">
        <x:f>G713</x:f>
        <x:v>100.53096491487338</x:v>
      </x:c>
    </x:row>
    <x:row r="714">
      <x:c r="A714" t="n">
        <x:v>697</x:v>
      </x:c>
      <x:c r="B714" s="40" t="n">
        <x:v>0.9692717976719067</x:v>
      </x:c>
      <x:c r="C714" s="40" t="n">
        <x:v>1.9179493172109785</x:v>
      </x:c>
      <x:c r="D714" s="40" t="n">
        <x:v>-0.7983038305872148</x:v>
      </x:c>
      <x:c r="E714" t="n">
        <x:f>--((B714^2/$B$4^2+C714^2/$B$5^2+D714^2/$B$6^2)&lt;=1)</x:f>
        <x:v>1</x:v>
      </x:c>
      <x:c r="F714" s="42" t="n">
        <x:f>$B$8*SUM($E$18:E714)/A714</x:f>
        <x:v>99.16786226685797</x:v>
      </x:c>
      <x:c r="G714" s="42" t="n">
        <x:f>$B$11</x:f>
        <x:v>100.53096491487338</x:v>
      </x:c>
      <x:c r="I714" t="n">
        <x:f>A714</x:f>
        <x:v>697</x:v>
      </x:c>
      <x:c r="J714" t="n">
        <x:f>F714</x:f>
        <x:v>99.16786226685797</x:v>
      </x:c>
      <x:c r="K714" t="n">
        <x:f>G714</x:f>
        <x:v>100.53096491487338</x:v>
      </x:c>
    </x:row>
    <x:row r="715">
      <x:c r="A715" t="n">
        <x:v>698</x:v>
      </x:c>
      <x:c r="B715" s="40" t="n">
        <x:v>0.3629791766550645</x:v>
      </x:c>
      <x:c r="C715" s="40" t="n">
        <x:v>-2.8071036293966323</x:v>
      </x:c>
      <x:c r="D715" s="40" t="n">
        <x:v>-0.17205249486812146</x:v>
      </x:c>
      <x:c r="E715" t="n">
        <x:f>--((B715^2/$B$4^2+C715^2/$B$5^2+D715^2/$B$6^2)&lt;=1)</x:f>
        <x:v>1</x:v>
      </x:c>
      <x:c r="F715" s="42" t="n">
        <x:f>$B$8*SUM($E$18:E715)/A715</x:f>
        <x:v>99.30085959885386</x:v>
      </x:c>
      <x:c r="G715" s="42" t="n">
        <x:f>$B$11</x:f>
        <x:v>100.53096491487338</x:v>
      </x:c>
      <x:c r="I715" t="n">
        <x:f>A715</x:f>
        <x:v>698</x:v>
      </x:c>
      <x:c r="J715" t="n">
        <x:f>F715</x:f>
        <x:v>99.30085959885386</x:v>
      </x:c>
      <x:c r="K715" t="n">
        <x:f>G715</x:f>
        <x:v>100.53096491487338</x:v>
      </x:c>
    </x:row>
    <x:row r="716">
      <x:c r="A716" t="n">
        <x:v>699</x:v>
      </x:c>
      <x:c r="B716" s="40" t="n">
        <x:v>0.6137568360379806</x:v>
      </x:c>
      <x:c r="C716" s="40" t="n">
        <x:v>-0.6401886978041529</x:v>
      </x:c>
      <x:c r="D716" s="40" t="n">
        <x:v>0.19928303963930905</x:v>
      </x:c>
      <x:c r="E716" t="n">
        <x:f>--((B716^2/$B$4^2+C716^2/$B$5^2+D716^2/$B$6^2)&lt;=1)</x:f>
        <x:v>1</x:v>
      </x:c>
      <x:c r="F716" s="42" t="n">
        <x:f>$B$8*SUM($E$18:E716)/A716</x:f>
        <x:v>99.43347639484979</x:v>
      </x:c>
      <x:c r="G716" s="42" t="n">
        <x:f>$B$11</x:f>
        <x:v>100.53096491487338</x:v>
      </x:c>
      <x:c r="I716" t="n">
        <x:f>A716</x:f>
        <x:v>699</x:v>
      </x:c>
      <x:c r="J716" t="n">
        <x:f>F716</x:f>
        <x:v>99.43347639484979</x:v>
      </x:c>
      <x:c r="K716" t="n">
        <x:f>G716</x:f>
        <x:v>100.53096491487338</x:v>
      </x:c>
    </x:row>
    <x:row r="717">
      <x:c r="A717" t="n">
        <x:v>700</x:v>
      </x:c>
      <x:c r="B717" s="40" t="n">
        <x:v>-0.8024668339406977</x:v>
      </x:c>
      <x:c r="C717" s="40" t="n">
        <x:v>2.224400239907183</x:v>
      </x:c>
      <x:c r="D717" s="40" t="n">
        <x:v>2.2058065121782233</x:v>
      </x:c>
      <x:c r="E717" t="n">
        <x:f>--((B717^2/$B$4^2+C717^2/$B$5^2+D717^2/$B$6^2)&lt;=1)</x:f>
        <x:v>0</x:v>
      </x:c>
      <x:c r="F717" s="42" t="n">
        <x:f>$B$8*SUM($E$18:E717)/A717</x:f>
        <x:v>99.29142857142857</x:v>
      </x:c>
      <x:c r="G717" s="42" t="n">
        <x:f>$B$11</x:f>
        <x:v>100.53096491487338</x:v>
      </x:c>
      <x:c r="I717" t="n">
        <x:f>A717</x:f>
        <x:v>700</x:v>
      </x:c>
      <x:c r="J717" t="n">
        <x:f>F717</x:f>
        <x:v>99.29142857142857</x:v>
      </x:c>
      <x:c r="K717" t="n">
        <x:f>G717</x:f>
        <x:v>100.53096491487338</x:v>
      </x:c>
    </x:row>
    <x:row r="718">
      <x:c r="A718" t="n">
        <x:v>701</x:v>
      </x:c>
      <x:c r="B718" s="40" t="n">
        <x:v>-1.0345117534933483</x:v>
      </x:c>
      <x:c r="C718" s="40" t="n">
        <x:v>1.1325132765595187</x:v>
      </x:c>
      <x:c r="D718" s="40" t="n">
        <x:v>3.8200478730314487</x:v>
      </x:c>
      <x:c r="E718" t="n">
        <x:f>--((B718^2/$B$4^2+C718^2/$B$5^2+D718^2/$B$6^2)&lt;=1)</x:f>
        <x:v>0</x:v>
      </x:c>
      <x:c r="F718" s="42" t="n">
        <x:f>$B$8*SUM($E$18:E718)/A718</x:f>
        <x:v>99.14978601997147</x:v>
      </x:c>
      <x:c r="G718" s="42" t="n">
        <x:f>$B$11</x:f>
        <x:v>100.53096491487338</x:v>
      </x:c>
      <x:c r="I718" t="n">
        <x:f>A718</x:f>
        <x:v>701</x:v>
      </x:c>
      <x:c r="J718" t="n">
        <x:f>F718</x:f>
        <x:v>99.14978601997147</x:v>
      </x:c>
      <x:c r="K718" t="n">
        <x:f>G718</x:f>
        <x:v>100.53096491487338</x:v>
      </x:c>
    </x:row>
    <x:row r="719">
      <x:c r="A719" t="n">
        <x:v>702</x:v>
      </x:c>
      <x:c r="B719" s="40" t="n">
        <x:v>-0.710030611325339</x:v>
      </x:c>
      <x:c r="C719" s="40" t="n">
        <x:v>0.19644256402726867</x:v>
      </x:c>
      <x:c r="D719" s="40" t="n">
        <x:v>-0.4450706988941411</x:v>
      </x:c>
      <x:c r="E719" t="n">
        <x:f>--((B719^2/$B$4^2+C719^2/$B$5^2+D719^2/$B$6^2)&lt;=1)</x:f>
        <x:v>1</x:v>
      </x:c>
      <x:c r="F719" s="42" t="n">
        <x:f>$B$8*SUM($E$18:E719)/A719</x:f>
        <x:v>99.28205128205128</x:v>
      </x:c>
      <x:c r="G719" s="42" t="n">
        <x:f>$B$11</x:f>
        <x:v>100.53096491487338</x:v>
      </x:c>
      <x:c r="I719" t="n">
        <x:f>A719</x:f>
        <x:v>702</x:v>
      </x:c>
      <x:c r="J719" t="n">
        <x:f>F719</x:f>
        <x:v>99.28205128205128</x:v>
      </x:c>
      <x:c r="K719" t="n">
        <x:f>G719</x:f>
        <x:v>100.53096491487338</x:v>
      </x:c>
    </x:row>
    <x:row r="720">
      <x:c r="A720" t="n">
        <x:v>703</x:v>
      </x:c>
      <x:c r="B720" s="40" t="n">
        <x:v>-1.3782337436663101</x:v>
      </x:c>
      <x:c r="C720" s="40" t="n">
        <x:v>-0.6728158495042766</x:v>
      </x:c>
      <x:c r="D720" s="40" t="n">
        <x:v>-1.2614799500191527</x:v>
      </x:c>
      <x:c r="E720" t="n">
        <x:f>--((B720^2/$B$4^2+C720^2/$B$5^2+D720^2/$B$6^2)&lt;=1)</x:f>
        <x:v>1</x:v>
      </x:c>
      <x:c r="F720" s="42" t="n">
        <x:f>$B$8*SUM($E$18:E720)/A720</x:f>
        <x:v>99.41394025604552</x:v>
      </x:c>
      <x:c r="G720" s="42" t="n">
        <x:f>$B$11</x:f>
        <x:v>100.53096491487338</x:v>
      </x:c>
      <x:c r="I720" t="n">
        <x:f>A720</x:f>
        <x:v>703</x:v>
      </x:c>
      <x:c r="J720" t="n">
        <x:f>F720</x:f>
        <x:v>99.41394025604552</x:v>
      </x:c>
      <x:c r="K720" t="n">
        <x:f>G720</x:f>
        <x:v>100.53096491487338</x:v>
      </x:c>
    </x:row>
    <x:row r="721">
      <x:c r="A721" t="n">
        <x:v>704</x:v>
      </x:c>
      <x:c r="B721" s="40" t="n">
        <x:v>1.4972574611632297</x:v>
      </x:c>
      <x:c r="C721" s="40" t="n">
        <x:v>1.8737816788217163</x:v>
      </x:c>
      <x:c r="D721" s="40" t="n">
        <x:v>-1.0112719482208696</x:v>
      </x:c>
      <x:c r="E721" t="n">
        <x:f>--((B721^2/$B$4^2+C721^2/$B$5^2+D721^2/$B$6^2)&lt;=1)</x:f>
        <x:v>0</x:v>
      </x:c>
      <x:c r="F721" s="42" t="n">
        <x:f>$B$8*SUM($E$18:E721)/A721</x:f>
        <x:v>99.27272727272727</x:v>
      </x:c>
      <x:c r="G721" s="42" t="n">
        <x:f>$B$11</x:f>
        <x:v>100.53096491487338</x:v>
      </x:c>
      <x:c r="I721" t="n">
        <x:f>A721</x:f>
        <x:v>704</x:v>
      </x:c>
      <x:c r="J721" t="n">
        <x:f>F721</x:f>
        <x:v>99.27272727272727</x:v>
      </x:c>
      <x:c r="K721" t="n">
        <x:f>G721</x:f>
        <x:v>100.53096491487338</x:v>
      </x:c>
    </x:row>
    <x:row r="722">
      <x:c r="A722" t="n">
        <x:v>705</x:v>
      </x:c>
      <x:c r="B722" s="40" t="n">
        <x:v>-0.8670122669995437</x:v>
      </x:c>
      <x:c r="C722" s="40" t="n">
        <x:v>1.2573504236893251</x:v>
      </x:c>
      <x:c r="D722" s="40" t="n">
        <x:v>-2.928887444998547</x:v>
      </x:c>
      <x:c r="E722" t="n">
        <x:f>--((B722^2/$B$4^2+C722^2/$B$5^2+D722^2/$B$6^2)&lt;=1)</x:f>
        <x:v>1</x:v>
      </x:c>
      <x:c r="F722" s="42" t="n">
        <x:f>$B$8*SUM($E$18:E722)/A722</x:f>
        <x:v>99.40425531914893</x:v>
      </x:c>
      <x:c r="G722" s="42" t="n">
        <x:f>$B$11</x:f>
        <x:v>100.53096491487338</x:v>
      </x:c>
      <x:c r="I722" t="n">
        <x:f>A722</x:f>
        <x:v>705</x:v>
      </x:c>
      <x:c r="J722" t="n">
        <x:f>F722</x:f>
        <x:v>99.40425531914893</x:v>
      </x:c>
      <x:c r="K722" t="n">
        <x:f>G722</x:f>
        <x:v>100.53096491487338</x:v>
      </x:c>
    </x:row>
    <x:row r="723">
      <x:c r="A723" t="n">
        <x:v>706</x:v>
      </x:c>
      <x:c r="B723" s="40" t="n">
        <x:v>0.24595757765753845</x:v>
      </x:c>
      <x:c r="C723" s="40" t="n">
        <x:v>-0.18956808230595978</x:v>
      </x:c>
      <x:c r="D723" s="40" t="n">
        <x:v>-1.6244900974582182</x:v>
      </x:c>
      <x:c r="E723" t="n">
        <x:f>--((B723^2/$B$4^2+C723^2/$B$5^2+D723^2/$B$6^2)&lt;=1)</x:f>
        <x:v>1</x:v>
      </x:c>
      <x:c r="F723" s="42" t="n">
        <x:f>$B$8*SUM($E$18:E723)/A723</x:f>
        <x:v>99.53541076487252</x:v>
      </x:c>
      <x:c r="G723" s="42" t="n">
        <x:f>$B$11</x:f>
        <x:v>100.53096491487338</x:v>
      </x:c>
      <x:c r="I723" t="n">
        <x:f>A723</x:f>
        <x:v>706</x:v>
      </x:c>
      <x:c r="J723" t="n">
        <x:f>F723</x:f>
        <x:v>99.53541076487252</x:v>
      </x:c>
      <x:c r="K723" t="n">
        <x:f>G723</x:f>
        <x:v>100.53096491487338</x:v>
      </x:c>
    </x:row>
    <x:row r="724">
      <x:c r="A724" t="n">
        <x:v>707</x:v>
      </x:c>
      <x:c r="B724" s="40" t="n">
        <x:v>1.1678977005654962</x:v>
      </x:c>
      <x:c r="C724" s="40" t="n">
        <x:v>2.354906023257959</x:v>
      </x:c>
      <x:c r="D724" s="40" t="n">
        <x:v>-3.30842069384955</x:v>
      </x:c>
      <x:c r="E724" t="n">
        <x:f>--((B724^2/$B$4^2+C724^2/$B$5^2+D724^2/$B$6^2)&lt;=1)</x:f>
        <x:v>0</x:v>
      </x:c>
      <x:c r="F724" s="42" t="n">
        <x:f>$B$8*SUM($E$18:E724)/A724</x:f>
        <x:v>99.3946251768034</x:v>
      </x:c>
      <x:c r="G724" s="42" t="n">
        <x:f>$B$11</x:f>
        <x:v>100.53096491487338</x:v>
      </x:c>
      <x:c r="I724" t="n">
        <x:f>A724</x:f>
        <x:v>707</x:v>
      </x:c>
      <x:c r="J724" t="n">
        <x:f>F724</x:f>
        <x:v>99.3946251768034</x:v>
      </x:c>
      <x:c r="K724" t="n">
        <x:f>G724</x:f>
        <x:v>100.53096491487338</x:v>
      </x:c>
    </x:row>
    <x:row r="725">
      <x:c r="A725" t="n">
        <x:v>708</x:v>
      </x:c>
      <x:c r="B725" s="40" t="n">
        <x:v>1.1352964375028542</x:v>
      </x:c>
      <x:c r="C725" s="40" t="n">
        <x:v>-1.6203118930882057</x:v>
      </x:c>
      <x:c r="D725" s="40" t="n">
        <x:v>-0.5768458945660226</x:v>
      </x:c>
      <x:c r="E725" t="n">
        <x:f>--((B725^2/$B$4^2+C725^2/$B$5^2+D725^2/$B$6^2)&lt;=1)</x:f>
        <x:v>1</x:v>
      </x:c>
      <x:c r="F725" s="42" t="n">
        <x:f>$B$8*SUM($E$18:E725)/A725</x:f>
        <x:v>99.52542372881356</x:v>
      </x:c>
      <x:c r="G725" s="42" t="n">
        <x:f>$B$11</x:f>
        <x:v>100.53096491487338</x:v>
      </x:c>
      <x:c r="I725" t="n">
        <x:f>A725</x:f>
        <x:v>708</x:v>
      </x:c>
      <x:c r="J725" t="n">
        <x:f>F725</x:f>
        <x:v>99.52542372881356</x:v>
      </x:c>
      <x:c r="K725" t="n">
        <x:f>G725</x:f>
        <x:v>100.53096491487338</x:v>
      </x:c>
    </x:row>
    <x:row r="726">
      <x:c r="A726" t="n">
        <x:v>709</x:v>
      </x:c>
      <x:c r="B726" s="40" t="n">
        <x:v>-0.24645496566322844</x:v>
      </x:c>
      <x:c r="C726" s="40" t="n">
        <x:v>-1.9776509450482507</x:v>
      </x:c>
      <x:c r="D726" s="40" t="n">
        <x:v>-2.661141845511609</x:v>
      </x:c>
      <x:c r="E726" t="n">
        <x:f>--((B726^2/$B$4^2+C726^2/$B$5^2+D726^2/$B$6^2)&lt;=1)</x:f>
        <x:v>1</x:v>
      </x:c>
      <x:c r="F726" s="42" t="n">
        <x:f>$B$8*SUM($E$18:E726)/A726</x:f>
        <x:v>99.6558533145275</x:v>
      </x:c>
      <x:c r="G726" s="42" t="n">
        <x:f>$B$11</x:f>
        <x:v>100.53096491487338</x:v>
      </x:c>
      <x:c r="I726" t="n">
        <x:f>A726</x:f>
        <x:v>709</x:v>
      </x:c>
      <x:c r="J726" t="n">
        <x:f>F726</x:f>
        <x:v>99.6558533145275</x:v>
      </x:c>
      <x:c r="K726" t="n">
        <x:f>G726</x:f>
        <x:v>100.53096491487338</x:v>
      </x:c>
    </x:row>
    <x:row r="727">
      <x:c r="A727" t="n">
        <x:v>710</x:v>
      </x:c>
      <x:c r="B727" s="40" t="n">
        <x:v>-0.09497076565309737</x:v>
      </x:c>
      <x:c r="C727" s="40" t="n">
        <x:v>0.8568225860014893</x:v>
      </x:c>
      <x:c r="D727" s="40" t="n">
        <x:v>-1.2287460322047306</x:v>
      </x:c>
      <x:c r="E727" t="n">
        <x:f>--((B727^2/$B$4^2+C727^2/$B$5^2+D727^2/$B$6^2)&lt;=1)</x:f>
        <x:v>1</x:v>
      </x:c>
      <x:c r="F727" s="42" t="n">
        <x:f>$B$8*SUM($E$18:E727)/A727</x:f>
        <x:v>99.78591549295774</x:v>
      </x:c>
      <x:c r="G727" s="42" t="n">
        <x:f>$B$11</x:f>
        <x:v>100.53096491487338</x:v>
      </x:c>
      <x:c r="I727" t="n">
        <x:f>A727</x:f>
        <x:v>710</x:v>
      </x:c>
      <x:c r="J727" t="n">
        <x:f>F727</x:f>
        <x:v>99.78591549295774</x:v>
      </x:c>
      <x:c r="K727" t="n">
        <x:f>G727</x:f>
        <x:v>100.53096491487338</x:v>
      </x:c>
    </x:row>
    <x:row r="728">
      <x:c r="A728" t="n">
        <x:v>711</x:v>
      </x:c>
      <x:c r="B728" s="40" t="n">
        <x:v>1.9788069957400993</x:v>
      </x:c>
      <x:c r="C728" s="40" t="n">
        <x:v>2.8319660562106215</x:v>
      </x:c>
      <x:c r="D728" s="40" t="n">
        <x:v>2.3486219951328504</x:v>
      </x:c>
      <x:c r="E728" t="n">
        <x:f>--((B728^2/$B$4^2+C728^2/$B$5^2+D728^2/$B$6^2)&lt;=1)</x:f>
        <x:v>0</x:v>
      </x:c>
      <x:c r="F728" s="42" t="n">
        <x:f>$B$8*SUM($E$18:E728)/A728</x:f>
        <x:v>99.64556962025317</x:v>
      </x:c>
      <x:c r="G728" s="42" t="n">
        <x:f>$B$11</x:f>
        <x:v>100.53096491487338</x:v>
      </x:c>
      <x:c r="I728" t="n">
        <x:f>A728</x:f>
        <x:v>711</x:v>
      </x:c>
      <x:c r="J728" t="n">
        <x:f>F728</x:f>
        <x:v>99.64556962025317</x:v>
      </x:c>
      <x:c r="K728" t="n">
        <x:f>G728</x:f>
        <x:v>100.53096491487338</x:v>
      </x:c>
    </x:row>
    <x:row r="729">
      <x:c r="A729" t="n">
        <x:v>712</x:v>
      </x:c>
      <x:c r="B729" s="40" t="n">
        <x:v>0.6983899079160962</x:v>
      </x:c>
      <x:c r="C729" s="40" t="n">
        <x:v>-1.5164605601593781</x:v>
      </x:c>
      <x:c r="D729" s="40" t="n">
        <x:v>-2.032578795286912</x:v>
      </x:c>
      <x:c r="E729" t="n">
        <x:f>--((B729^2/$B$4^2+C729^2/$B$5^2+D729^2/$B$6^2)&lt;=1)</x:f>
        <x:v>1</x:v>
      </x:c>
      <x:c r="F729" s="42" t="n">
        <x:f>$B$8*SUM($E$18:E729)/A729</x:f>
        <x:v>99.7752808988764</x:v>
      </x:c>
      <x:c r="G729" s="42" t="n">
        <x:f>$B$11</x:f>
        <x:v>100.53096491487338</x:v>
      </x:c>
      <x:c r="I729" t="n">
        <x:f>A729</x:f>
        <x:v>712</x:v>
      </x:c>
      <x:c r="J729" t="n">
        <x:f>F729</x:f>
        <x:v>99.7752808988764</x:v>
      </x:c>
      <x:c r="K729" t="n">
        <x:f>G729</x:f>
        <x:v>100.53096491487338</x:v>
      </x:c>
    </x:row>
    <x:row r="730">
      <x:c r="A730" t="n">
        <x:v>713</x:v>
      </x:c>
      <x:c r="B730" s="40" t="n">
        <x:v>1.2585537724715308</x:v>
      </x:c>
      <x:c r="C730" s="40" t="n">
        <x:v>-1.501977726397041</x:v>
      </x:c>
      <x:c r="D730" s="40" t="n">
        <x:v>0.8951569707365516</x:v>
      </x:c>
      <x:c r="E730" t="n">
        <x:f>--((B730^2/$B$4^2+C730^2/$B$5^2+D730^2/$B$6^2)&lt;=1)</x:f>
        <x:v>1</x:v>
      </x:c>
      <x:c r="F730" s="42" t="n">
        <x:f>$B$8*SUM($E$18:E730)/A730</x:f>
        <x:v>99.90462833099579</x:v>
      </x:c>
      <x:c r="G730" s="42" t="n">
        <x:f>$B$11</x:f>
        <x:v>100.53096491487338</x:v>
      </x:c>
      <x:c r="I730" t="n">
        <x:f>A730</x:f>
        <x:v>713</x:v>
      </x:c>
      <x:c r="J730" t="n">
        <x:f>F730</x:f>
        <x:v>99.90462833099579</x:v>
      </x:c>
      <x:c r="K730" t="n">
        <x:f>G730</x:f>
        <x:v>100.53096491487338</x:v>
      </x:c>
    </x:row>
    <x:row r="731">
      <x:c r="A731" t="n">
        <x:v>714</x:v>
      </x:c>
      <x:c r="B731" s="40" t="n">
        <x:v>1.6102158768769277</x:v>
      </x:c>
      <x:c r="C731" s="40" t="n">
        <x:v>-2.1630069122268605</x:v>
      </x:c>
      <x:c r="D731" s="40" t="n">
        <x:v>3.2094513539889027</x:v>
      </x:c>
      <x:c r="E731" t="n">
        <x:f>--((B731^2/$B$4^2+C731^2/$B$5^2+D731^2/$B$6^2)&lt;=1)</x:f>
        <x:v>0</x:v>
      </x:c>
      <x:c r="F731" s="42" t="n">
        <x:f>$B$8*SUM($E$18:E731)/A731</x:f>
        <x:v>99.76470588235294</x:v>
      </x:c>
      <x:c r="G731" s="42" t="n">
        <x:f>$B$11</x:f>
        <x:v>100.53096491487338</x:v>
      </x:c>
      <x:c r="I731" t="n">
        <x:f>A731</x:f>
        <x:v>714</x:v>
      </x:c>
      <x:c r="J731" t="n">
        <x:f>F731</x:f>
        <x:v>99.76470588235294</x:v>
      </x:c>
      <x:c r="K731" t="n">
        <x:f>G731</x:f>
        <x:v>100.53096491487338</x:v>
      </x:c>
    </x:row>
    <x:row r="732">
      <x:c r="A732" t="n">
        <x:v>715</x:v>
      </x:c>
      <x:c r="B732" s="40" t="n">
        <x:v>1.1503593449173568</x:v>
      </x:c>
      <x:c r="C732" s="40" t="n">
        <x:v>2.1633813316417925</x:v>
      </x:c>
      <x:c r="D732" s="40" t="n">
        <x:v>0.5354334962363749</x:v>
      </x:c>
      <x:c r="E732" t="n">
        <x:f>--((B732^2/$B$4^2+C732^2/$B$5^2+D732^2/$B$6^2)&lt;=1)</x:f>
        <x:v>1</x:v>
      </x:c>
      <x:c r="F732" s="42" t="n">
        <x:f>$B$8*SUM($E$18:E732)/A732</x:f>
        <x:v>99.89370629370629</x:v>
      </x:c>
      <x:c r="G732" s="42" t="n">
        <x:f>$B$11</x:f>
        <x:v>100.53096491487338</x:v>
      </x:c>
      <x:c r="I732" t="n">
        <x:f>A732</x:f>
        <x:v>715</x:v>
      </x:c>
      <x:c r="J732" t="n">
        <x:f>F732</x:f>
        <x:v>99.89370629370629</x:v>
      </x:c>
      <x:c r="K732" t="n">
        <x:f>G732</x:f>
        <x:v>100.53096491487338</x:v>
      </x:c>
    </x:row>
    <x:row r="733">
      <x:c r="A733" t="n">
        <x:v>716</x:v>
      </x:c>
      <x:c r="B733" s="40" t="n">
        <x:v>-1.2592826201857297</x:v>
      </x:c>
      <x:c r="C733" s="40" t="n">
        <x:v>-1.6416147575319955</x:v>
      </x:c>
      <x:c r="D733" s="40" t="n">
        <x:v>-2.4496590978206987</x:v>
      </x:c>
      <x:c r="E733" t="n">
        <x:f>--((B733^2/$B$4^2+C733^2/$B$5^2+D733^2/$B$6^2)&lt;=1)</x:f>
        <x:v>0</x:v>
      </x:c>
      <x:c r="F733" s="42" t="n">
        <x:f>$B$8*SUM($E$18:E733)/A733</x:f>
        <x:v>99.75418994413408</x:v>
      </x:c>
      <x:c r="G733" s="42" t="n">
        <x:f>$B$11</x:f>
        <x:v>100.53096491487338</x:v>
      </x:c>
      <x:c r="I733" t="n">
        <x:f>A733</x:f>
        <x:v>716</x:v>
      </x:c>
      <x:c r="J733" t="n">
        <x:f>F733</x:f>
        <x:v>99.75418994413408</x:v>
      </x:c>
      <x:c r="K733" t="n">
        <x:f>G733</x:f>
        <x:v>100.53096491487338</x:v>
      </x:c>
    </x:row>
    <x:row r="734">
      <x:c r="A734" t="n">
        <x:v>717</x:v>
      </x:c>
      <x:c r="B734" s="40" t="n">
        <x:v>0.24868293495028881</x:v>
      </x:c>
      <x:c r="C734" s="40" t="n">
        <x:v>0.019071160349326988</x:v>
      </x:c>
      <x:c r="D734" s="40" t="n">
        <x:v>-1.2418704482723655</x:v>
      </x:c>
      <x:c r="E734" t="n">
        <x:f>--((B734^2/$B$4^2+C734^2/$B$5^2+D734^2/$B$6^2)&lt;=1)</x:f>
        <x:v>1</x:v>
      </x:c>
      <x:c r="F734" s="42" t="n">
        <x:f>$B$8*SUM($E$18:E734)/A734</x:f>
        <x:v>99.88284518828452</x:v>
      </x:c>
      <x:c r="G734" s="42" t="n">
        <x:f>$B$11</x:f>
        <x:v>100.53096491487338</x:v>
      </x:c>
      <x:c r="I734" t="n">
        <x:f>A734</x:f>
        <x:v>717</x:v>
      </x:c>
      <x:c r="J734" t="n">
        <x:f>F734</x:f>
        <x:v>99.88284518828452</x:v>
      </x:c>
      <x:c r="K734" t="n">
        <x:f>G734</x:f>
        <x:v>100.53096491487338</x:v>
      </x:c>
    </x:row>
    <x:row r="735">
      <x:c r="A735" t="n">
        <x:v>718</x:v>
      </x:c>
      <x:c r="B735" s="40" t="n">
        <x:v>-1.5924233707418205</x:v>
      </x:c>
      <x:c r="C735" s="40" t="n">
        <x:v>2.9452348680132276</x:v>
      </x:c>
      <x:c r="D735" s="40" t="n">
        <x:v>0.7229536574725284</x:v>
      </x:c>
      <x:c r="E735" t="n">
        <x:f>--((B735^2/$B$4^2+C735^2/$B$5^2+D735^2/$B$6^2)&lt;=1)</x:f>
        <x:v>0</x:v>
      </x:c>
      <x:c r="F735" s="42" t="n">
        <x:f>$B$8*SUM($E$18:E735)/A735</x:f>
        <x:v>99.74373259052925</x:v>
      </x:c>
      <x:c r="G735" s="42" t="n">
        <x:f>$B$11</x:f>
        <x:v>100.53096491487338</x:v>
      </x:c>
      <x:c r="I735" t="n">
        <x:f>A735</x:f>
        <x:v>718</x:v>
      </x:c>
      <x:c r="J735" t="n">
        <x:f>F735</x:f>
        <x:v>99.74373259052925</x:v>
      </x:c>
      <x:c r="K735" t="n">
        <x:f>G735</x:f>
        <x:v>100.53096491487338</x:v>
      </x:c>
    </x:row>
    <x:row r="736">
      <x:c r="A736" t="n">
        <x:v>719</x:v>
      </x:c>
      <x:c r="B736" s="40" t="n">
        <x:v>0.6116885062559936</x:v>
      </x:c>
      <x:c r="C736" s="40" t="n">
        <x:v>-2.927154594467739</x:v>
      </x:c>
      <x:c r="D736" s="40" t="n">
        <x:v>0.05288911807882801</x:v>
      </x:c>
      <x:c r="E736" t="n">
        <x:f>--((B736^2/$B$4^2+C736^2/$B$5^2+D736^2/$B$6^2)&lt;=1)</x:f>
        <x:v>0</x:v>
      </x:c>
      <x:c r="F736" s="42" t="n">
        <x:f>$B$8*SUM($E$18:E736)/A736</x:f>
        <x:v>99.60500695410292</x:v>
      </x:c>
      <x:c r="G736" s="42" t="n">
        <x:f>$B$11</x:f>
        <x:v>100.53096491487338</x:v>
      </x:c>
      <x:c r="I736" t="n">
        <x:f>A736</x:f>
        <x:v>719</x:v>
      </x:c>
      <x:c r="J736" t="n">
        <x:f>F736</x:f>
        <x:v>99.60500695410292</x:v>
      </x:c>
      <x:c r="K736" t="n">
        <x:f>G736</x:f>
        <x:v>100.53096491487338</x:v>
      </x:c>
    </x:row>
    <x:row r="737">
      <x:c r="A737" t="n">
        <x:v>720</x:v>
      </x:c>
      <x:c r="B737" s="40" t="n">
        <x:v>1.821397712751244</x:v>
      </x:c>
      <x:c r="C737" s="40" t="n">
        <x:v>0.33891654306476493</x:v>
      </x:c>
      <x:c r="D737" s="40" t="n">
        <x:v>-2.8110413097847697</x:v>
      </x:c>
      <x:c r="E737" t="n">
        <x:f>--((B737^2/$B$4^2+C737^2/$B$5^2+D737^2/$B$6^2)&lt;=1)</x:f>
        <x:v>0</x:v>
      </x:c>
      <x:c r="F737" s="42" t="n">
        <x:f>$B$8*SUM($E$18:E737)/A737</x:f>
        <x:v>99.46666666666667</x:v>
      </x:c>
      <x:c r="G737" s="42" t="n">
        <x:f>$B$11</x:f>
        <x:v>100.53096491487338</x:v>
      </x:c>
      <x:c r="I737" t="n">
        <x:f>A737</x:f>
        <x:v>720</x:v>
      </x:c>
      <x:c r="J737" t="n">
        <x:f>F737</x:f>
        <x:v>99.46666666666667</x:v>
      </x:c>
      <x:c r="K737" t="n">
        <x:f>G737</x:f>
        <x:v>100.53096491487338</x:v>
      </x:c>
    </x:row>
    <x:row r="738">
      <x:c r="A738" t="n">
        <x:v>721</x:v>
      </x:c>
      <x:c r="B738" s="40" t="n">
        <x:v>0.05092825720044525</x:v>
      </x:c>
      <x:c r="C738" s="40" t="n">
        <x:v>0.07373425622967478</x:v>
      </x:c>
      <x:c r="D738" s="40" t="n">
        <x:v>-0.4256292424754484</x:v>
      </x:c>
      <x:c r="E738" t="n">
        <x:f>--((B738^2/$B$4^2+C738^2/$B$5^2+D738^2/$B$6^2)&lt;=1)</x:f>
        <x:v>1</x:v>
      </x:c>
      <x:c r="F738" s="42" t="n">
        <x:f>$B$8*SUM($E$18:E738)/A738</x:f>
        <x:v>99.59500693481276</x:v>
      </x:c>
      <x:c r="G738" s="42" t="n">
        <x:f>$B$11</x:f>
        <x:v>100.53096491487338</x:v>
      </x:c>
      <x:c r="I738" t="n">
        <x:f>A738</x:f>
        <x:v>721</x:v>
      </x:c>
      <x:c r="J738" t="n">
        <x:f>F738</x:f>
        <x:v>99.59500693481276</x:v>
      </x:c>
      <x:c r="K738" t="n">
        <x:f>G738</x:f>
        <x:v>100.53096491487338</x:v>
      </x:c>
    </x:row>
    <x:row r="739">
      <x:c r="A739" t="n">
        <x:v>722</x:v>
      </x:c>
      <x:c r="B739" s="40" t="n">
        <x:v>-0.2681100285289313</x:v>
      </x:c>
      <x:c r="C739" s="40" t="n">
        <x:v>1.8446842584609282</x:v>
      </x:c>
      <x:c r="D739" s="40" t="n">
        <x:v>0.34453355928198715</x:v>
      </x:c>
      <x:c r="E739" t="n">
        <x:f>--((B739^2/$B$4^2+C739^2/$B$5^2+D739^2/$B$6^2)&lt;=1)</x:f>
        <x:v>1</x:v>
      </x:c>
      <x:c r="F739" s="42" t="n">
        <x:f>$B$8*SUM($E$18:E739)/A739</x:f>
        <x:v>99.7229916897507</x:v>
      </x:c>
      <x:c r="G739" s="42" t="n">
        <x:f>$B$11</x:f>
        <x:v>100.53096491487338</x:v>
      </x:c>
      <x:c r="I739" t="n">
        <x:f>A739</x:f>
        <x:v>722</x:v>
      </x:c>
      <x:c r="J739" t="n">
        <x:f>F739</x:f>
        <x:v>99.7229916897507</x:v>
      </x:c>
      <x:c r="K739" t="n">
        <x:f>G739</x:f>
        <x:v>100.53096491487338</x:v>
      </x:c>
    </x:row>
    <x:row r="740">
      <x:c r="A740" t="n">
        <x:v>723</x:v>
      </x:c>
      <x:c r="B740" s="40" t="n">
        <x:v>-1.8566289943273473</x:v>
      </x:c>
      <x:c r="C740" s="40" t="n">
        <x:v>-0.868310762683338</x:v>
      </x:c>
      <x:c r="D740" s="40" t="n">
        <x:v>-1.8613382843394204</x:v>
      </x:c>
      <x:c r="E740" t="n">
        <x:f>--((B740^2/$B$4^2+C740^2/$B$5^2+D740^2/$B$6^2)&lt;=1)</x:f>
        <x:v>0</x:v>
      </x:c>
      <x:c r="F740" s="42" t="n">
        <x:f>$B$8*SUM($E$18:E740)/A740</x:f>
        <x:v>99.5850622406639</x:v>
      </x:c>
      <x:c r="G740" s="42" t="n">
        <x:f>$B$11</x:f>
        <x:v>100.53096491487338</x:v>
      </x:c>
      <x:c r="I740" t="n">
        <x:f>A740</x:f>
        <x:v>723</x:v>
      </x:c>
      <x:c r="J740" t="n">
        <x:f>F740</x:f>
        <x:v>99.5850622406639</x:v>
      </x:c>
      <x:c r="K740" t="n">
        <x:f>G740</x:f>
        <x:v>100.53096491487338</x:v>
      </x:c>
    </x:row>
    <x:row r="741">
      <x:c r="A741" t="n">
        <x:v>724</x:v>
      </x:c>
      <x:c r="B741" s="40" t="n">
        <x:v>1.8390980893168813</x:v>
      </x:c>
      <x:c r="C741" s="40" t="n">
        <x:v>-0.5379518466057505</x:v>
      </x:c>
      <x:c r="D741" s="40" t="n">
        <x:v>0.8995641227188154</x:v>
      </x:c>
      <x:c r="E741" t="n">
        <x:f>--((B741^2/$B$4^2+C741^2/$B$5^2+D741^2/$B$6^2)&lt;=1)</x:f>
        <x:v>1</x:v>
      </x:c>
      <x:c r="F741" s="42" t="n">
        <x:f>$B$8*SUM($E$18:E741)/A741</x:f>
        <x:v>99.71270718232044</x:v>
      </x:c>
      <x:c r="G741" s="42" t="n">
        <x:f>$B$11</x:f>
        <x:v>100.53096491487338</x:v>
      </x:c>
      <x:c r="I741" t="n">
        <x:f>A741</x:f>
        <x:v>724</x:v>
      </x:c>
      <x:c r="J741" t="n">
        <x:f>F741</x:f>
        <x:v>99.71270718232044</x:v>
      </x:c>
      <x:c r="K741" t="n">
        <x:f>G741</x:f>
        <x:v>100.53096491487338</x:v>
      </x:c>
    </x:row>
    <x:row r="742">
      <x:c r="A742" t="n">
        <x:v>725</x:v>
      </x:c>
      <x:c r="B742" s="40" t="n">
        <x:v>-1.5879892634793649</x:v>
      </x:c>
      <x:c r="C742" s="40" t="n">
        <x:v>-1.992372116406818</x:v>
      </x:c>
      <x:c r="D742" s="40" t="n">
        <x:v>-3.438719204118321</x:v>
      </x:c>
      <x:c r="E742" t="n">
        <x:f>--((B742^2/$B$4^2+C742^2/$B$5^2+D742^2/$B$6^2)&lt;=1)</x:f>
        <x:v>0</x:v>
      </x:c>
      <x:c r="F742" s="42" t="n">
        <x:f>$B$8*SUM($E$18:E742)/A742</x:f>
        <x:v>99.5751724137931</x:v>
      </x:c>
      <x:c r="G742" s="42" t="n">
        <x:f>$B$11</x:f>
        <x:v>100.53096491487338</x:v>
      </x:c>
      <x:c r="I742" t="n">
        <x:f>A742</x:f>
        <x:v>725</x:v>
      </x:c>
      <x:c r="J742" t="n">
        <x:f>F742</x:f>
        <x:v>99.5751724137931</x:v>
      </x:c>
      <x:c r="K742" t="n">
        <x:f>G742</x:f>
        <x:v>100.53096491487338</x:v>
      </x:c>
    </x:row>
    <x:row r="743">
      <x:c r="A743" t="n">
        <x:v>726</x:v>
      </x:c>
      <x:c r="B743" s="40" t="n">
        <x:v>-1.8356836267806123</x:v>
      </x:c>
      <x:c r="C743" s="40" t="n">
        <x:v>1.4448913898147202</x:v>
      </x:c>
      <x:c r="D743" s="40" t="n">
        <x:v>-1.3071437314758656</x:v>
      </x:c>
      <x:c r="E743" t="n">
        <x:f>--((B743^2/$B$4^2+C743^2/$B$5^2+D743^2/$B$6^2)&lt;=1)</x:f>
        <x:v>0</x:v>
      </x:c>
      <x:c r="F743" s="42" t="n">
        <x:f>$B$8*SUM($E$18:E743)/A743</x:f>
        <x:v>99.43801652892562</x:v>
      </x:c>
      <x:c r="G743" s="42" t="n">
        <x:f>$B$11</x:f>
        <x:v>100.53096491487338</x:v>
      </x:c>
      <x:c r="I743" t="n">
        <x:f>A743</x:f>
        <x:v>726</x:v>
      </x:c>
      <x:c r="J743" t="n">
        <x:f>F743</x:f>
        <x:v>99.43801652892562</x:v>
      </x:c>
      <x:c r="K743" t="n">
        <x:f>G743</x:f>
        <x:v>100.53096491487338</x:v>
      </x:c>
    </x:row>
    <x:row r="744">
      <x:c r="A744" t="n">
        <x:v>727</x:v>
      </x:c>
      <x:c r="B744" s="40" t="n">
        <x:v>-1.0157335539802461</x:v>
      </x:c>
      <x:c r="C744" s="40" t="n">
        <x:v>1.7082534551288902</x:v>
      </x:c>
      <x:c r="D744" s="40" t="n">
        <x:v>2.4342146622205956</x:v>
      </x:c>
      <x:c r="E744" t="n">
        <x:f>--((B744^2/$B$4^2+C744^2/$B$5^2+D744^2/$B$6^2)&lt;=1)</x:f>
        <x:v>1</x:v>
      </x:c>
      <x:c r="F744" s="42" t="n">
        <x:f>$B$8*SUM($E$18:E744)/A744</x:f>
        <x:v>99.56533700137551</x:v>
      </x:c>
      <x:c r="G744" s="42" t="n">
        <x:f>$B$11</x:f>
        <x:v>100.53096491487338</x:v>
      </x:c>
      <x:c r="I744" t="n">
        <x:f>A744</x:f>
        <x:v>727</x:v>
      </x:c>
      <x:c r="J744" t="n">
        <x:f>F744</x:f>
        <x:v>99.56533700137551</x:v>
      </x:c>
      <x:c r="K744" t="n">
        <x:f>G744</x:f>
        <x:v>100.53096491487338</x:v>
      </x:c>
    </x:row>
    <x:row r="745">
      <x:c r="A745" t="n">
        <x:v>728</x:v>
      </x:c>
      <x:c r="B745" s="40" t="n">
        <x:v>-1.7378782643264703</x:v>
      </x:c>
      <x:c r="C745" s="40" t="n">
        <x:v>-2.1800200753270182</x:v>
      </x:c>
      <x:c r="D745" s="40" t="n">
        <x:v>-1.9257215927347566</x:v>
      </x:c>
      <x:c r="E745" t="n">
        <x:f>--((B745^2/$B$4^2+C745^2/$B$5^2+D745^2/$B$6^2)&lt;=1)</x:f>
        <x:v>0</x:v>
      </x:c>
      <x:c r="F745" s="42" t="n">
        <x:f>$B$8*SUM($E$18:E745)/A745</x:f>
        <x:v>99.42857142857143</x:v>
      </x:c>
      <x:c r="G745" s="42" t="n">
        <x:f>$B$11</x:f>
        <x:v>100.53096491487338</x:v>
      </x:c>
      <x:c r="I745" t="n">
        <x:f>A745</x:f>
        <x:v>728</x:v>
      </x:c>
      <x:c r="J745" t="n">
        <x:f>F745</x:f>
        <x:v>99.42857142857143</x:v>
      </x:c>
      <x:c r="K745" t="n">
        <x:f>G745</x:f>
        <x:v>100.53096491487338</x:v>
      </x:c>
    </x:row>
    <x:row r="746">
      <x:c r="A746" t="n">
        <x:v>729</x:v>
      </x:c>
      <x:c r="B746" s="40" t="n">
        <x:v>-0.17952863035295064</x:v>
      </x:c>
      <x:c r="C746" s="40" t="n">
        <x:v>-0.6392575560700697</x:v>
      </x:c>
      <x:c r="D746" s="40" t="n">
        <x:v>0.8414148000246255</x:v>
      </x:c>
      <x:c r="E746" t="n">
        <x:f>--((B746^2/$B$4^2+C746^2/$B$5^2+D746^2/$B$6^2)&lt;=1)</x:f>
        <x:v>1</x:v>
      </x:c>
      <x:c r="F746" s="42" t="n">
        <x:f>$B$8*SUM($E$18:E746)/A746</x:f>
        <x:v>99.55555555555556</x:v>
      </x:c>
      <x:c r="G746" s="42" t="n">
        <x:f>$B$11</x:f>
        <x:v>100.53096491487338</x:v>
      </x:c>
      <x:c r="I746" t="n">
        <x:f>A746</x:f>
        <x:v>729</x:v>
      </x:c>
      <x:c r="J746" t="n">
        <x:f>F746</x:f>
        <x:v>99.55555555555556</x:v>
      </x:c>
      <x:c r="K746" t="n">
        <x:f>G746</x:f>
        <x:v>100.53096491487338</x:v>
      </x:c>
    </x:row>
    <x:row r="747">
      <x:c r="A747" t="n">
        <x:v>730</x:v>
      </x:c>
      <x:c r="B747" s="40" t="n">
        <x:v>0.0643512050284496</x:v>
      </x:c>
      <x:c r="C747" s="40" t="n">
        <x:v>2.3574299721760976</x:v>
      </x:c>
      <x:c r="D747" s="40" t="n">
        <x:v>-0.7197622903175045</x:v>
      </x:c>
      <x:c r="E747" t="n">
        <x:f>--((B747^2/$B$4^2+C747^2/$B$5^2+D747^2/$B$6^2)&lt;=1)</x:f>
        <x:v>1</x:v>
      </x:c>
      <x:c r="F747" s="42" t="n">
        <x:f>$B$8*SUM($E$18:E747)/A747</x:f>
        <x:v>99.68219178082192</x:v>
      </x:c>
      <x:c r="G747" s="42" t="n">
        <x:f>$B$11</x:f>
        <x:v>100.53096491487338</x:v>
      </x:c>
      <x:c r="I747" t="n">
        <x:f>A747</x:f>
        <x:v>730</x:v>
      </x:c>
      <x:c r="J747" t="n">
        <x:f>F747</x:f>
        <x:v>99.68219178082192</x:v>
      </x:c>
      <x:c r="K747" t="n">
        <x:f>G747</x:f>
        <x:v>100.53096491487338</x:v>
      </x:c>
    </x:row>
    <x:row r="748">
      <x:c r="A748" t="n">
        <x:v>731</x:v>
      </x:c>
      <x:c r="B748" s="40" t="n">
        <x:v>-0.7497202038856643</x:v>
      </x:c>
      <x:c r="C748" s="40" t="n">
        <x:v>-2.983756357945277</x:v>
      </x:c>
      <x:c r="D748" s="40" t="n">
        <x:v>-1.4683188606780258</x:v>
      </x:c>
      <x:c r="E748" t="n">
        <x:f>--((B748^2/$B$4^2+C748^2/$B$5^2+D748^2/$B$6^2)&lt;=1)</x:f>
        <x:v>0</x:v>
      </x:c>
      <x:c r="F748" s="42" t="n">
        <x:f>$B$8*SUM($E$18:E748)/A748</x:f>
        <x:v>99.54582763337893</x:v>
      </x:c>
      <x:c r="G748" s="42" t="n">
        <x:f>$B$11</x:f>
        <x:v>100.53096491487338</x:v>
      </x:c>
      <x:c r="I748" t="n">
        <x:f>A748</x:f>
        <x:v>731</x:v>
      </x:c>
      <x:c r="J748" t="n">
        <x:f>F748</x:f>
        <x:v>99.54582763337893</x:v>
      </x:c>
      <x:c r="K748" t="n">
        <x:f>G748</x:f>
        <x:v>100.53096491487338</x:v>
      </x:c>
    </x:row>
    <x:row r="749">
      <x:c r="A749" t="n">
        <x:v>732</x:v>
      </x:c>
      <x:c r="B749" s="40" t="n">
        <x:v>-1.7961580697004558</x:v>
      </x:c>
      <x:c r="C749" s="40" t="n">
        <x:v>-1.2074455762642062</x:v>
      </x:c>
      <x:c r="D749" s="40" t="n">
        <x:v>3.329053503280215</x:v>
      </x:c>
      <x:c r="E749" t="n">
        <x:f>--((B749^2/$B$4^2+C749^2/$B$5^2+D749^2/$B$6^2)&lt;=1)</x:f>
        <x:v>0</x:v>
      </x:c>
      <x:c r="F749" s="42" t="n">
        <x:f>$B$8*SUM($E$18:E749)/A749</x:f>
        <x:v>99.40983606557377</x:v>
      </x:c>
      <x:c r="G749" s="42" t="n">
        <x:f>$B$11</x:f>
        <x:v>100.53096491487338</x:v>
      </x:c>
      <x:c r="I749" t="n">
        <x:f>A749</x:f>
        <x:v>732</x:v>
      </x:c>
      <x:c r="J749" t="n">
        <x:f>F749</x:f>
        <x:v>99.40983606557377</x:v>
      </x:c>
      <x:c r="K749" t="n">
        <x:f>G749</x:f>
        <x:v>100.53096491487338</x:v>
      </x:c>
    </x:row>
    <x:row r="750">
      <x:c r="A750" t="n">
        <x:v>733</x:v>
      </x:c>
      <x:c r="B750" s="40" t="n">
        <x:v>-1.5535985270030932</x:v>
      </x:c>
      <x:c r="C750" s="40" t="n">
        <x:v>0.3302537103152865</x:v>
      </x:c>
      <x:c r="D750" s="40" t="n">
        <x:v>-1.2539062553569318</x:v>
      </x:c>
      <x:c r="E750" t="n">
        <x:f>--((B750^2/$B$4^2+C750^2/$B$5^2+D750^2/$B$6^2)&lt;=1)</x:f>
        <x:v>1</x:v>
      </x:c>
      <x:c r="F750" s="42" t="n">
        <x:f>$B$8*SUM($E$18:E750)/A750</x:f>
        <x:v>99.53615279672579</x:v>
      </x:c>
      <x:c r="G750" s="42" t="n">
        <x:f>$B$11</x:f>
        <x:v>100.53096491487338</x:v>
      </x:c>
      <x:c r="I750" t="n">
        <x:f>A750</x:f>
        <x:v>733</x:v>
      </x:c>
      <x:c r="J750" t="n">
        <x:f>F750</x:f>
        <x:v>99.53615279672579</x:v>
      </x:c>
      <x:c r="K750" t="n">
        <x:f>G750</x:f>
        <x:v>100.53096491487338</x:v>
      </x:c>
    </x:row>
    <x:row r="751">
      <x:c r="A751" t="n">
        <x:v>734</x:v>
      </x:c>
      <x:c r="B751" s="40" t="n">
        <x:v>-0.46198248804028763</x:v>
      </x:c>
      <x:c r="C751" s="40" t="n">
        <x:v>-0.9954368420402799</x:v>
      </x:c>
      <x:c r="D751" s="40" t="n">
        <x:v>-2.1065927881038533</x:v>
      </x:c>
      <x:c r="E751" t="n">
        <x:f>--((B751^2/$B$4^2+C751^2/$B$5^2+D751^2/$B$6^2)&lt;=1)</x:f>
        <x:v>1</x:v>
      </x:c>
      <x:c r="F751" s="42" t="n">
        <x:f>$B$8*SUM($E$18:E751)/A751</x:f>
        <x:v>99.66212534059946</x:v>
      </x:c>
      <x:c r="G751" s="42" t="n">
        <x:f>$B$11</x:f>
        <x:v>100.53096491487338</x:v>
      </x:c>
      <x:c r="I751" t="n">
        <x:f>A751</x:f>
        <x:v>734</x:v>
      </x:c>
      <x:c r="J751" t="n">
        <x:f>F751</x:f>
        <x:v>99.66212534059946</x:v>
      </x:c>
      <x:c r="K751" t="n">
        <x:f>G751</x:f>
        <x:v>100.53096491487338</x:v>
      </x:c>
    </x:row>
    <x:row r="752">
      <x:c r="A752" t="n">
        <x:v>735</x:v>
      </x:c>
      <x:c r="B752" s="40" t="n">
        <x:v>-1.7578861966938555</x:v>
      </x:c>
      <x:c r="C752" s="40" t="n">
        <x:v>-1.3677288649339836</x:v>
      </x:c>
      <x:c r="D752" s="40" t="n">
        <x:v>3.274410525122164</x:v>
      </x:c>
      <x:c r="E752" t="n">
        <x:f>--((B752^2/$B$4^2+C752^2/$B$5^2+D752^2/$B$6^2)&lt;=1)</x:f>
        <x:v>0</x:v>
      </x:c>
      <x:c r="F752" s="42" t="n">
        <x:f>$B$8*SUM($E$18:E752)/A752</x:f>
        <x:v>99.5265306122449</x:v>
      </x:c>
      <x:c r="G752" s="42" t="n">
        <x:f>$B$11</x:f>
        <x:v>100.53096491487338</x:v>
      </x:c>
      <x:c r="I752" t="n">
        <x:f>A752</x:f>
        <x:v>735</x:v>
      </x:c>
      <x:c r="J752" t="n">
        <x:f>F752</x:f>
        <x:v>99.5265306122449</x:v>
      </x:c>
      <x:c r="K752" t="n">
        <x:f>G752</x:f>
        <x:v>100.53096491487338</x:v>
      </x:c>
    </x:row>
    <x:row r="753">
      <x:c r="A753" t="n">
        <x:v>736</x:v>
      </x:c>
      <x:c r="B753" s="40" t="n">
        <x:v>0.7927589024396537</x:v>
      </x:c>
      <x:c r="C753" s="40" t="n">
        <x:v>-0.2397750905807241</x:v>
      </x:c>
      <x:c r="D753" s="40" t="n">
        <x:v>1.967554847486519</x:v>
      </x:c>
      <x:c r="E753" t="n">
        <x:f>--((B753^2/$B$4^2+C753^2/$B$5^2+D753^2/$B$6^2)&lt;=1)</x:f>
        <x:v>1</x:v>
      </x:c>
      <x:c r="F753" s="42" t="n">
        <x:f>$B$8*SUM($E$18:E753)/A753</x:f>
        <x:v>99.65217391304348</x:v>
      </x:c>
      <x:c r="G753" s="42" t="n">
        <x:f>$B$11</x:f>
        <x:v>100.53096491487338</x:v>
      </x:c>
      <x:c r="I753" t="n">
        <x:f>A753</x:f>
        <x:v>736</x:v>
      </x:c>
      <x:c r="J753" t="n">
        <x:f>F753</x:f>
        <x:v>99.65217391304348</x:v>
      </x:c>
      <x:c r="K753" t="n">
        <x:f>G753</x:f>
        <x:v>100.53096491487338</x:v>
      </x:c>
    </x:row>
    <x:row r="754">
      <x:c r="A754" t="n">
        <x:v>737</x:v>
      </x:c>
      <x:c r="B754" s="40" t="n">
        <x:v>-1.171917833900752</x:v>
      </x:c>
      <x:c r="C754" s="40" t="n">
        <x:v>-1.9108613513418375</x:v>
      </x:c>
      <x:c r="D754" s="40" t="n">
        <x:v>1.454397709585579</x:v>
      </x:c>
      <x:c r="E754" t="n">
        <x:f>--((B754^2/$B$4^2+C754^2/$B$5^2+D754^2/$B$6^2)&lt;=1)</x:f>
        <x:v>1</x:v>
      </x:c>
      <x:c r="F754" s="42" t="n">
        <x:f>$B$8*SUM($E$18:E754)/A754</x:f>
        <x:v>99.77747625508819</x:v>
      </x:c>
      <x:c r="G754" s="42" t="n">
        <x:f>$B$11</x:f>
        <x:v>100.53096491487338</x:v>
      </x:c>
      <x:c r="I754" t="n">
        <x:f>A754</x:f>
        <x:v>737</x:v>
      </x:c>
      <x:c r="J754" t="n">
        <x:f>F754</x:f>
        <x:v>99.77747625508819</x:v>
      </x:c>
      <x:c r="K754" t="n">
        <x:f>G754</x:f>
        <x:v>100.53096491487338</x:v>
      </x:c>
    </x:row>
    <x:row r="755">
      <x:c r="A755" t="n">
        <x:v>738</x:v>
      </x:c>
      <x:c r="B755" s="40" t="n">
        <x:v>-0.791713724865446</x:v>
      </x:c>
      <x:c r="C755" s="40" t="n">
        <x:v>0.17775144575690316</x:v>
      </x:c>
      <x:c r="D755" s="40" t="n">
        <x:v>-3.6037204634649935</x:v>
      </x:c>
      <x:c r="E755" t="n">
        <x:f>--((B755^2/$B$4^2+C755^2/$B$5^2+D755^2/$B$6^2)&lt;=1)</x:f>
        <x:v>1</x:v>
      </x:c>
      <x:c r="F755" s="42" t="n">
        <x:f>$B$8*SUM($E$18:E755)/A755</x:f>
        <x:v>99.90243902439025</x:v>
      </x:c>
      <x:c r="G755" s="42" t="n">
        <x:f>$B$11</x:f>
        <x:v>100.53096491487338</x:v>
      </x:c>
      <x:c r="I755" t="n">
        <x:f>A755</x:f>
        <x:v>738</x:v>
      </x:c>
      <x:c r="J755" t="n">
        <x:f>F755</x:f>
        <x:v>99.90243902439025</x:v>
      </x:c>
      <x:c r="K755" t="n">
        <x:f>G755</x:f>
        <x:v>100.53096491487338</x:v>
      </x:c>
    </x:row>
    <x:row r="756">
      <x:c r="A756" t="n">
        <x:v>739</x:v>
      </x:c>
      <x:c r="B756" s="40" t="n">
        <x:v>-0.42349689128761003</x:v>
      </x:c>
      <x:c r="C756" s="40" t="n">
        <x:v>1.2401755278793551</x:v>
      </x:c>
      <x:c r="D756" s="40" t="n">
        <x:v>-2.9503603142737935</x:v>
      </x:c>
      <x:c r="E756" t="n">
        <x:f>--((B756^2/$B$4^2+C756^2/$B$5^2+D756^2/$B$6^2)&lt;=1)</x:f>
        <x:v>1</x:v>
      </x:c>
      <x:c r="F756" s="42" t="n">
        <x:f>$B$8*SUM($E$18:E756)/A756</x:f>
        <x:v>100.02706359945873</x:v>
      </x:c>
      <x:c r="G756" s="42" t="n">
        <x:f>$B$11</x:f>
        <x:v>100.53096491487338</x:v>
      </x:c>
      <x:c r="I756" t="n">
        <x:f>A756</x:f>
        <x:v>739</x:v>
      </x:c>
      <x:c r="J756" t="n">
        <x:f>F756</x:f>
        <x:v>100.02706359945873</x:v>
      </x:c>
      <x:c r="K756" t="n">
        <x:f>G756</x:f>
        <x:v>100.53096491487338</x:v>
      </x:c>
    </x:row>
    <x:row r="757">
      <x:c r="A757" t="n">
        <x:v>740</x:v>
      </x:c>
      <x:c r="B757" s="40" t="n">
        <x:v>-0.33356146772340844</x:v>
      </x:c>
      <x:c r="C757" s="40" t="n">
        <x:v>0.45176971577101277</x:v>
      </x:c>
      <x:c r="D757" s="40" t="n">
        <x:v>1.1067197104773028</x:v>
      </x:c>
      <x:c r="E757" t="n">
        <x:f>--((B757^2/$B$4^2+C757^2/$B$5^2+D757^2/$B$6^2)&lt;=1)</x:f>
        <x:v>1</x:v>
      </x:c>
      <x:c r="F757" s="42" t="n">
        <x:f>$B$8*SUM($E$18:E757)/A757</x:f>
        <x:v>100.15135135135135</x:v>
      </x:c>
      <x:c r="G757" s="42" t="n">
        <x:f>$B$11</x:f>
        <x:v>100.53096491487338</x:v>
      </x:c>
      <x:c r="I757" t="n">
        <x:f>A757</x:f>
        <x:v>740</x:v>
      </x:c>
      <x:c r="J757" t="n">
        <x:f>F757</x:f>
        <x:v>100.15135135135135</x:v>
      </x:c>
      <x:c r="K757" t="n">
        <x:f>G757</x:f>
        <x:v>100.53096491487338</x:v>
      </x:c>
    </x:row>
    <x:row r="758">
      <x:c r="A758" t="n">
        <x:v>741</x:v>
      </x:c>
      <x:c r="B758" s="40" t="n">
        <x:v>-1.9933571693007979</x:v>
      </x:c>
      <x:c r="C758" s="40" t="n">
        <x:v>-2.4413440148488146</x:v>
      </x:c>
      <x:c r="D758" s="40" t="n">
        <x:v>-2.3245373077899183</x:v>
      </x:c>
      <x:c r="E758" t="n">
        <x:f>--((B758^2/$B$4^2+C758^2/$B$5^2+D758^2/$B$6^2)&lt;=1)</x:f>
        <x:v>0</x:v>
      </x:c>
      <x:c r="F758" s="42" t="n">
        <x:f>$B$8*SUM($E$18:E758)/A758</x:f>
        <x:v>100.01619433198381</x:v>
      </x:c>
      <x:c r="G758" s="42" t="n">
        <x:f>$B$11</x:f>
        <x:v>100.53096491487338</x:v>
      </x:c>
      <x:c r="I758" t="n">
        <x:f>A758</x:f>
        <x:v>741</x:v>
      </x:c>
      <x:c r="J758" t="n">
        <x:f>F758</x:f>
        <x:v>100.01619433198381</x:v>
      </x:c>
      <x:c r="K758" t="n">
        <x:f>G758</x:f>
        <x:v>100.53096491487338</x:v>
      </x:c>
    </x:row>
    <x:row r="759">
      <x:c r="A759" t="n">
        <x:v>742</x:v>
      </x:c>
      <x:c r="B759" s="40" t="n">
        <x:v>-1.5517185160052098</x:v>
      </x:c>
      <x:c r="C759" s="40" t="n">
        <x:v>2.0664516849934396</x:v>
      </x:c>
      <x:c r="D759" s="40" t="n">
        <x:v>-2.1948961149571273</x:v>
      </x:c>
      <x:c r="E759" t="n">
        <x:f>--((B759^2/$B$4^2+C759^2/$B$5^2+D759^2/$B$6^2)&lt;=1)</x:f>
        <x:v>0</x:v>
      </x:c>
      <x:c r="F759" s="42" t="n">
        <x:f>$B$8*SUM($E$18:E759)/A759</x:f>
        <x:v>99.88140161725067</x:v>
      </x:c>
      <x:c r="G759" s="42" t="n">
        <x:f>$B$11</x:f>
        <x:v>100.53096491487338</x:v>
      </x:c>
      <x:c r="I759" t="n">
        <x:f>A759</x:f>
        <x:v>742</x:v>
      </x:c>
      <x:c r="J759" t="n">
        <x:f>F759</x:f>
        <x:v>99.88140161725067</x:v>
      </x:c>
      <x:c r="K759" t="n">
        <x:f>G759</x:f>
        <x:v>100.53096491487338</x:v>
      </x:c>
    </x:row>
    <x:row r="760">
      <x:c r="A760" t="n">
        <x:v>743</x:v>
      </x:c>
      <x:c r="B760" s="40" t="n">
        <x:v>1.4510582549635123</x:v>
      </x:c>
      <x:c r="C760" s="40" t="n">
        <x:v>-1.9501329750750709</x:v>
      </x:c>
      <x:c r="D760" s="40" t="n">
        <x:v>2.2331081227488854</x:v>
      </x:c>
      <x:c r="E760" t="n">
        <x:f>--((B760^2/$B$4^2+C760^2/$B$5^2+D760^2/$B$6^2)&lt;=1)</x:f>
        <x:v>0</x:v>
      </x:c>
      <x:c r="F760" s="42" t="n">
        <x:f>$B$8*SUM($E$18:E760)/A760</x:f>
        <x:v>99.74697173620457</x:v>
      </x:c>
      <x:c r="G760" s="42" t="n">
        <x:f>$B$11</x:f>
        <x:v>100.53096491487338</x:v>
      </x:c>
      <x:c r="I760" t="n">
        <x:f>A760</x:f>
        <x:v>743</x:v>
      </x:c>
      <x:c r="J760" t="n">
        <x:f>F760</x:f>
        <x:v>99.74697173620457</x:v>
      </x:c>
      <x:c r="K760" t="n">
        <x:f>G760</x:f>
        <x:v>100.53096491487338</x:v>
      </x:c>
    </x:row>
    <x:row r="761">
      <x:c r="A761" t="n">
        <x:v>744</x:v>
      </x:c>
      <x:c r="B761" s="40" t="n">
        <x:v>-1.9950677499523675</x:v>
      </x:c>
      <x:c r="C761" s="40" t="n">
        <x:v>1.588872003666772</x:v>
      </x:c>
      <x:c r="D761" s="40" t="n">
        <x:v>-1.712600409304459</x:v>
      </x:c>
      <x:c r="E761" t="n">
        <x:f>--((B761^2/$B$4^2+C761^2/$B$5^2+D761^2/$B$6^2)&lt;=1)</x:f>
        <x:v>0</x:v>
      </x:c>
      <x:c r="F761" s="42" t="n">
        <x:f>$B$8*SUM($E$18:E761)/A761</x:f>
        <x:v>99.61290322580645</x:v>
      </x:c>
      <x:c r="G761" s="42" t="n">
        <x:f>$B$11</x:f>
        <x:v>100.53096491487338</x:v>
      </x:c>
      <x:c r="I761" t="n">
        <x:f>A761</x:f>
        <x:v>744</x:v>
      </x:c>
      <x:c r="J761" t="n">
        <x:f>F761</x:f>
        <x:v>99.61290322580645</x:v>
      </x:c>
      <x:c r="K761" t="n">
        <x:f>G761</x:f>
        <x:v>100.53096491487338</x:v>
      </x:c>
    </x:row>
    <x:row r="762">
      <x:c r="A762" t="n">
        <x:v>745</x:v>
      </x:c>
      <x:c r="B762" s="40" t="n">
        <x:v>0.03266942325150035</x:v>
      </x:c>
      <x:c r="C762" s="40" t="n">
        <x:v>-0.8366093353448978</x:v>
      </x:c>
      <x:c r="D762" s="40" t="n">
        <x:v>-3.427301582784672</x:v>
      </x:c>
      <x:c r="E762" t="n">
        <x:f>--((B762^2/$B$4^2+C762^2/$B$5^2+D762^2/$B$6^2)&lt;=1)</x:f>
        <x:v>1</x:v>
      </x:c>
      <x:c r="F762" s="42" t="n">
        <x:f>$B$8*SUM($E$18:E762)/A762</x:f>
        <x:v>99.73691275167785</x:v>
      </x:c>
      <x:c r="G762" s="42" t="n">
        <x:f>$B$11</x:f>
        <x:v>100.53096491487338</x:v>
      </x:c>
      <x:c r="I762" t="n">
        <x:f>A762</x:f>
        <x:v>745</x:v>
      </x:c>
      <x:c r="J762" t="n">
        <x:f>F762</x:f>
        <x:v>99.73691275167785</x:v>
      </x:c>
      <x:c r="K762" t="n">
        <x:f>G762</x:f>
        <x:v>100.53096491487338</x:v>
      </x:c>
    </x:row>
    <x:row r="763">
      <x:c r="A763" t="n">
        <x:v>746</x:v>
      </x:c>
      <x:c r="B763" s="40" t="n">
        <x:v>-0.04199197397116761</x:v>
      </x:c>
      <x:c r="C763" s="40" t="n">
        <x:v>1.6965680883366137</x:v>
      </x:c>
      <x:c r="D763" s="40" t="n">
        <x:v>-3.708544421521111</x:v>
      </x:c>
      <x:c r="E763" t="n">
        <x:f>--((B763^2/$B$4^2+C763^2/$B$5^2+D763^2/$B$6^2)&lt;=1)</x:f>
        <x:v>0</x:v>
      </x:c>
      <x:c r="F763" s="42" t="n">
        <x:f>$B$8*SUM($E$18:E763)/A763</x:f>
        <x:v>99.60321715817695</x:v>
      </x:c>
      <x:c r="G763" s="42" t="n">
        <x:f>$B$11</x:f>
        <x:v>100.53096491487338</x:v>
      </x:c>
      <x:c r="I763" t="n">
        <x:f>A763</x:f>
        <x:v>746</x:v>
      </x:c>
      <x:c r="J763" t="n">
        <x:f>F763</x:f>
        <x:v>99.60321715817695</x:v>
      </x:c>
      <x:c r="K763" t="n">
        <x:f>G763</x:f>
        <x:v>100.53096491487338</x:v>
      </x:c>
    </x:row>
    <x:row r="764">
      <x:c r="A764" t="n">
        <x:v>747</x:v>
      </x:c>
      <x:c r="B764" s="40" t="n">
        <x:v>-0.6676233559574487</x:v>
      </x:c>
      <x:c r="C764" s="40" t="n">
        <x:v>-1.7623625795679254</x:v>
      </x:c>
      <x:c r="D764" s="40" t="n">
        <x:v>-0.4545761020376977</x:v>
      </x:c>
      <x:c r="E764" t="n">
        <x:f>--((B764^2/$B$4^2+C764^2/$B$5^2+D764^2/$B$6^2)&lt;=1)</x:f>
        <x:v>1</x:v>
      </x:c>
      <x:c r="F764" s="42" t="n">
        <x:f>$B$8*SUM($E$18:E764)/A764</x:f>
        <x:v>99.72690763052209</x:v>
      </x:c>
      <x:c r="G764" s="42" t="n">
        <x:f>$B$11</x:f>
        <x:v>100.53096491487338</x:v>
      </x:c>
      <x:c r="I764" t="n">
        <x:f>A764</x:f>
        <x:v>747</x:v>
      </x:c>
      <x:c r="J764" t="n">
        <x:f>F764</x:f>
        <x:v>99.72690763052209</x:v>
      </x:c>
      <x:c r="K764" t="n">
        <x:f>G764</x:f>
        <x:v>100.53096491487338</x:v>
      </x:c>
    </x:row>
    <x:row r="765">
      <x:c r="A765" t="n">
        <x:v>748</x:v>
      </x:c>
      <x:c r="B765" s="40" t="n">
        <x:v>-0.27469191941420146</x:v>
      </x:c>
      <x:c r="C765" s="40" t="n">
        <x:v>-1.8800273778274212</x:v>
      </x:c>
      <x:c r="D765" s="40" t="n">
        <x:v>0.9370286214771681</x:v>
      </x:c>
      <x:c r="E765" t="n">
        <x:f>--((B765^2/$B$4^2+C765^2/$B$5^2+D765^2/$B$6^2)&lt;=1)</x:f>
        <x:v>1</x:v>
      </x:c>
      <x:c r="F765" s="42" t="n">
        <x:f>$B$8*SUM($E$18:E765)/A765</x:f>
        <x:v>99.85026737967914</x:v>
      </x:c>
      <x:c r="G765" s="42" t="n">
        <x:f>$B$11</x:f>
        <x:v>100.53096491487338</x:v>
      </x:c>
      <x:c r="I765" t="n">
        <x:f>A765</x:f>
        <x:v>748</x:v>
      </x:c>
      <x:c r="J765" t="n">
        <x:f>F765</x:f>
        <x:v>99.85026737967914</x:v>
      </x:c>
      <x:c r="K765" t="n">
        <x:f>G765</x:f>
        <x:v>100.53096491487338</x:v>
      </x:c>
    </x:row>
    <x:row r="766">
      <x:c r="A766" t="n">
        <x:v>749</x:v>
      </x:c>
      <x:c r="B766" s="40" t="n">
        <x:v>1.1223245501063372</x:v>
      </x:c>
      <x:c r="C766" s="40" t="n">
        <x:v>-0.01784492269510629</x:v>
      </x:c>
      <x:c r="D766" s="40" t="n">
        <x:v>2.951081867134423</x:v>
      </x:c>
      <x:c r="E766" t="n">
        <x:f>--((B766^2/$B$4^2+C766^2/$B$5^2+D766^2/$B$6^2)&lt;=1)</x:f>
        <x:v>1</x:v>
      </x:c>
      <x:c r="F766" s="42" t="n">
        <x:f>$B$8*SUM($E$18:E766)/A766</x:f>
        <x:v>99.97329773030708</x:v>
      </x:c>
      <x:c r="G766" s="42" t="n">
        <x:f>$B$11</x:f>
        <x:v>100.53096491487338</x:v>
      </x:c>
      <x:c r="I766" t="n">
        <x:f>A766</x:f>
        <x:v>749</x:v>
      </x:c>
      <x:c r="J766" t="n">
        <x:f>F766</x:f>
        <x:v>99.97329773030708</x:v>
      </x:c>
      <x:c r="K766" t="n">
        <x:f>G766</x:f>
        <x:v>100.53096491487338</x:v>
      </x:c>
    </x:row>
    <x:row r="767">
      <x:c r="A767" t="n">
        <x:v>750</x:v>
      </x:c>
      <x:c r="B767" s="40" t="n">
        <x:v>1.3648148248598257</x:v>
      </x:c>
      <x:c r="C767" s="40" t="n">
        <x:v>-2.8023839118098373</x:v>
      </x:c>
      <x:c r="D767" s="40" t="n">
        <x:v>-3.1135648397388858</x:v>
      </x:c>
      <x:c r="E767" t="n">
        <x:f>--((B767^2/$B$4^2+C767^2/$B$5^2+D767^2/$B$6^2)&lt;=1)</x:f>
        <x:v>0</x:v>
      </x:c>
      <x:c r="F767" s="42" t="n">
        <x:f>$B$8*SUM($E$18:E767)/A767</x:f>
        <x:v>99.84</x:v>
      </x:c>
      <x:c r="G767" s="42" t="n">
        <x:f>$B$11</x:f>
        <x:v>100.53096491487338</x:v>
      </x:c>
      <x:c r="I767" t="n">
        <x:f>A767</x:f>
        <x:v>750</x:v>
      </x:c>
      <x:c r="J767" t="n">
        <x:f>F767</x:f>
        <x:v>99.84</x:v>
      </x:c>
      <x:c r="K767" t="n">
        <x:f>G767</x:f>
        <x:v>100.53096491487338</x:v>
      </x:c>
    </x:row>
    <x:row r="768">
      <x:c r="A768" t="n">
        <x:v>751</x:v>
      </x:c>
      <x:c r="B768" s="40" t="n">
        <x:v>-0.9586058263389998</x:v>
      </x:c>
      <x:c r="C768" s="40" t="n">
        <x:v>-1.6482159673059997</x:v>
      </x:c>
      <x:c r="D768" s="40" t="n">
        <x:v>-2.4266173896936296</x:v>
      </x:c>
      <x:c r="E768" t="n">
        <x:f>--((B768^2/$B$4^2+C768^2/$B$5^2+D768^2/$B$6^2)&lt;=1)</x:f>
        <x:v>1</x:v>
      </x:c>
      <x:c r="F768" s="42" t="n">
        <x:f>$B$8*SUM($E$18:E768)/A768</x:f>
        <x:v>99.96271637816245</x:v>
      </x:c>
      <x:c r="G768" s="42" t="n">
        <x:f>$B$11</x:f>
        <x:v>100.53096491487338</x:v>
      </x:c>
      <x:c r="I768" t="n">
        <x:f>A768</x:f>
        <x:v>751</x:v>
      </x:c>
      <x:c r="J768" t="n">
        <x:f>F768</x:f>
        <x:v>99.96271637816245</x:v>
      </x:c>
      <x:c r="K768" t="n">
        <x:f>G768</x:f>
        <x:v>100.53096491487338</x:v>
      </x:c>
    </x:row>
    <x:row r="769">
      <x:c r="A769" t="n">
        <x:v>752</x:v>
      </x:c>
      <x:c r="B769" s="40" t="n">
        <x:v>-0.7100382361290807</x:v>
      </x:c>
      <x:c r="C769" s="40" t="n">
        <x:v>1.34407351310609</x:v>
      </x:c>
      <x:c r="D769" s="40" t="n">
        <x:v>0.23840488725976883</x:v>
      </x:c>
      <x:c r="E769" t="n">
        <x:f>--((B769^2/$B$4^2+C769^2/$B$5^2+D769^2/$B$6^2)&lt;=1)</x:f>
        <x:v>1</x:v>
      </x:c>
      <x:c r="F769" s="42" t="n">
        <x:f>$B$8*SUM($E$18:E769)/A769</x:f>
        <x:v>100.08510638297872</x:v>
      </x:c>
      <x:c r="G769" s="42" t="n">
        <x:f>$B$11</x:f>
        <x:v>100.53096491487338</x:v>
      </x:c>
      <x:c r="I769" t="n">
        <x:f>A769</x:f>
        <x:v>752</x:v>
      </x:c>
      <x:c r="J769" t="n">
        <x:f>F769</x:f>
        <x:v>100.08510638297872</x:v>
      </x:c>
      <x:c r="K769" t="n">
        <x:f>G769</x:f>
        <x:v>100.53096491487338</x:v>
      </x:c>
    </x:row>
    <x:row r="770">
      <x:c r="A770" t="n">
        <x:v>753</x:v>
      </x:c>
      <x:c r="B770" s="40" t="n">
        <x:v>-1.030068587886669</x:v>
      </x:c>
      <x:c r="C770" s="40" t="n">
        <x:v>2.024300869832553</x:v>
      </x:c>
      <x:c r="D770" s="40" t="n">
        <x:v>-1.0871331020641994</x:v>
      </x:c>
      <x:c r="E770" t="n">
        <x:f>--((B770^2/$B$4^2+C770^2/$B$5^2+D770^2/$B$6^2)&lt;=1)</x:f>
        <x:v>1</x:v>
      </x:c>
      <x:c r="F770" s="42" t="n">
        <x:f>$B$8*SUM($E$18:E770)/A770</x:f>
        <x:v>100.20717131474103</x:v>
      </x:c>
      <x:c r="G770" s="42" t="n">
        <x:f>$B$11</x:f>
        <x:v>100.53096491487338</x:v>
      </x:c>
      <x:c r="I770" t="n">
        <x:f>A770</x:f>
        <x:v>753</x:v>
      </x:c>
      <x:c r="J770" t="n">
        <x:f>F770</x:f>
        <x:v>100.20717131474103</x:v>
      </x:c>
      <x:c r="K770" t="n">
        <x:f>G770</x:f>
        <x:v>100.53096491487338</x:v>
      </x:c>
    </x:row>
    <x:row r="771">
      <x:c r="A771" t="n">
        <x:v>754</x:v>
      </x:c>
      <x:c r="B771" s="40" t="n">
        <x:v>-0.08054639779573947</x:v>
      </x:c>
      <x:c r="C771" s="40" t="n">
        <x:v>-2.5152878163731374</x:v>
      </x:c>
      <x:c r="D771" s="40" t="n">
        <x:v>-0.13970039003604295</x:v>
      </x:c>
      <x:c r="E771" t="n">
        <x:f>--((B771^2/$B$4^2+C771^2/$B$5^2+D771^2/$B$6^2)&lt;=1)</x:f>
        <x:v>1</x:v>
      </x:c>
      <x:c r="F771" s="42" t="n">
        <x:f>$B$8*SUM($E$18:E771)/A771</x:f>
        <x:v>100.3289124668435</x:v>
      </x:c>
      <x:c r="G771" s="42" t="n">
        <x:f>$B$11</x:f>
        <x:v>100.53096491487338</x:v>
      </x:c>
      <x:c r="I771" t="n">
        <x:f>A771</x:f>
        <x:v>754</x:v>
      </x:c>
      <x:c r="J771" t="n">
        <x:f>F771</x:f>
        <x:v>100.3289124668435</x:v>
      </x:c>
      <x:c r="K771" t="n">
        <x:f>G771</x:f>
        <x:v>100.53096491487338</x:v>
      </x:c>
    </x:row>
    <x:row r="772">
      <x:c r="A772" t="n">
        <x:v>755</x:v>
      </x:c>
      <x:c r="B772" s="40" t="n">
        <x:v>0.7330334306352517</x:v>
      </x:c>
      <x:c r="C772" s="40" t="n">
        <x:v>2.292466256628626</x:v>
      </x:c>
      <x:c r="D772" s="40" t="n">
        <x:v>3.3929971918737234</x:v>
      </x:c>
      <x:c r="E772" t="n">
        <x:f>--((B772^2/$B$4^2+C772^2/$B$5^2+D772^2/$B$6^2)&lt;=1)</x:f>
        <x:v>0</x:v>
      </x:c>
      <x:c r="F772" s="42" t="n">
        <x:f>$B$8*SUM($E$18:E772)/A772</x:f>
        <x:v>100.19602649006623</x:v>
      </x:c>
      <x:c r="G772" s="42" t="n">
        <x:f>$B$11</x:f>
        <x:v>100.53096491487338</x:v>
      </x:c>
      <x:c r="I772" t="n">
        <x:f>A772</x:f>
        <x:v>755</x:v>
      </x:c>
      <x:c r="J772" t="n">
        <x:f>F772</x:f>
        <x:v>100.19602649006623</x:v>
      </x:c>
      <x:c r="K772" t="n">
        <x:f>G772</x:f>
        <x:v>100.53096491487338</x:v>
      </x:c>
    </x:row>
    <x:row r="773">
      <x:c r="A773" t="n">
        <x:v>756</x:v>
      </x:c>
      <x:c r="B773" s="40" t="n">
        <x:v>-1.0869884981463178</x:v>
      </x:c>
      <x:c r="C773" s="40" t="n">
        <x:v>1.7851032243190748</x:v>
      </x:c>
      <x:c r="D773" s="40" t="n">
        <x:v>0.3591332309174975</x:v>
      </x:c>
      <x:c r="E773" t="n">
        <x:f>--((B773^2/$B$4^2+C773^2/$B$5^2+D773^2/$B$6^2)&lt;=1)</x:f>
        <x:v>1</x:v>
      </x:c>
      <x:c r="F773" s="42" t="n">
        <x:f>$B$8*SUM($E$18:E773)/A773</x:f>
        <x:v>100.31746031746032</x:v>
      </x:c>
      <x:c r="G773" s="42" t="n">
        <x:f>$B$11</x:f>
        <x:v>100.53096491487338</x:v>
      </x:c>
      <x:c r="I773" t="n">
        <x:f>A773</x:f>
        <x:v>756</x:v>
      </x:c>
      <x:c r="J773" t="n">
        <x:f>F773</x:f>
        <x:v>100.31746031746032</x:v>
      </x:c>
      <x:c r="K773" t="n">
        <x:f>G773</x:f>
        <x:v>100.53096491487338</x:v>
      </x:c>
    </x:row>
    <x:row r="774">
      <x:c r="A774" t="n">
        <x:v>757</x:v>
      </x:c>
      <x:c r="B774" s="40" t="n">
        <x:v>-0.6770570317805333</x:v>
      </x:c>
      <x:c r="C774" s="40" t="n">
        <x:v>2.218105774241792</x:v>
      </x:c>
      <x:c r="D774" s="40" t="n">
        <x:v>-0.6790351151033924</x:v>
      </x:c>
      <x:c r="E774" t="n">
        <x:f>--((B774^2/$B$4^2+C774^2/$B$5^2+D774^2/$B$6^2)&lt;=1)</x:f>
        <x:v>1</x:v>
      </x:c>
      <x:c r="F774" s="42" t="n">
        <x:f>$B$8*SUM($E$18:E774)/A774</x:f>
        <x:v>100.43857331571995</x:v>
      </x:c>
      <x:c r="G774" s="42" t="n">
        <x:f>$B$11</x:f>
        <x:v>100.53096491487338</x:v>
      </x:c>
      <x:c r="I774" t="n">
        <x:f>A774</x:f>
        <x:v>757</x:v>
      </x:c>
      <x:c r="J774" t="n">
        <x:f>F774</x:f>
        <x:v>100.43857331571995</x:v>
      </x:c>
      <x:c r="K774" t="n">
        <x:f>G774</x:f>
        <x:v>100.53096491487338</x:v>
      </x:c>
    </x:row>
    <x:row r="775">
      <x:c r="A775" t="n">
        <x:v>758</x:v>
      </x:c>
      <x:c r="B775" s="40" t="n">
        <x:v>1.721538470356602</x:v>
      </x:c>
      <x:c r="C775" s="40" t="n">
        <x:v>1.1905713274730392</x:v>
      </x:c>
      <x:c r="D775" s="40" t="n">
        <x:v>3.9155192535979584</x:v>
      </x:c>
      <x:c r="E775" t="n">
        <x:f>--((B775^2/$B$4^2+C775^2/$B$5^2+D775^2/$B$6^2)&lt;=1)</x:f>
        <x:v>0</x:v>
      </x:c>
      <x:c r="F775" s="42" t="n">
        <x:f>$B$8*SUM($E$18:E775)/A775</x:f>
        <x:v>100.3060686015831</x:v>
      </x:c>
      <x:c r="G775" s="42" t="n">
        <x:f>$B$11</x:f>
        <x:v>100.53096491487338</x:v>
      </x:c>
      <x:c r="I775" t="n">
        <x:f>A775</x:f>
        <x:v>758</x:v>
      </x:c>
      <x:c r="J775" t="n">
        <x:f>F775</x:f>
        <x:v>100.3060686015831</x:v>
      </x:c>
      <x:c r="K775" t="n">
        <x:f>G775</x:f>
        <x:v>100.53096491487338</x:v>
      </x:c>
    </x:row>
    <x:row r="776">
      <x:c r="A776" t="n">
        <x:v>759</x:v>
      </x:c>
      <x:c r="B776" s="40" t="n">
        <x:v>-1.8057228406121677</x:v>
      </x:c>
      <x:c r="C776" s="40" t="n">
        <x:v>1.0449184037637886</x:v>
      </x:c>
      <x:c r="D776" s="40" t="n">
        <x:v>-3.4782746408037095</x:v>
      </x:c>
      <x:c r="E776" t="n">
        <x:f>--((B776^2/$B$4^2+C776^2/$B$5^2+D776^2/$B$6^2)&lt;=1)</x:f>
        <x:v>0</x:v>
      </x:c>
      <x:c r="F776" s="42" t="n">
        <x:f>$B$8*SUM($E$18:E776)/A776</x:f>
        <x:v>100.17391304347827</x:v>
      </x:c>
      <x:c r="G776" s="42" t="n">
        <x:f>$B$11</x:f>
        <x:v>100.53096491487338</x:v>
      </x:c>
      <x:c r="I776" t="n">
        <x:f>A776</x:f>
        <x:v>759</x:v>
      </x:c>
      <x:c r="J776" t="n">
        <x:f>F776</x:f>
        <x:v>100.17391304347827</x:v>
      </x:c>
      <x:c r="K776" t="n">
        <x:f>G776</x:f>
        <x:v>100.53096491487338</x:v>
      </x:c>
    </x:row>
    <x:row r="777">
      <x:c r="A777" t="n">
        <x:v>760</x:v>
      </x:c>
      <x:c r="B777" s="40" t="n">
        <x:v>-0.1569215790417351</x:v>
      </x:c>
      <x:c r="C777" s="40" t="n">
        <x:v>0.15055940006918256</x:v>
      </x:c>
      <x:c r="D777" s="40" t="n">
        <x:v>3.4569075869693755</x:v>
      </x:c>
      <x:c r="E777" t="n">
        <x:f>--((B777^2/$B$4^2+C777^2/$B$5^2+D777^2/$B$6^2)&lt;=1)</x:f>
        <x:v>1</x:v>
      </x:c>
      <x:c r="F777" s="42" t="n">
        <x:f>$B$8*SUM($E$18:E777)/A777</x:f>
        <x:v>100.29473684210527</x:v>
      </x:c>
      <x:c r="G777" s="42" t="n">
        <x:f>$B$11</x:f>
        <x:v>100.53096491487338</x:v>
      </x:c>
      <x:c r="I777" t="n">
        <x:f>A777</x:f>
        <x:v>760</x:v>
      </x:c>
      <x:c r="J777" t="n">
        <x:f>F777</x:f>
        <x:v>100.29473684210527</x:v>
      </x:c>
      <x:c r="K777" t="n">
        <x:f>G777</x:f>
        <x:v>100.53096491487338</x:v>
      </x:c>
    </x:row>
    <x:row r="778">
      <x:c r="A778" t="n">
        <x:v>761</x:v>
      </x:c>
      <x:c r="B778" s="40" t="n">
        <x:v>0.8462321663871113</x:v>
      </x:c>
      <x:c r="C778" s="40" t="n">
        <x:v>0.9167233469478901</x:v>
      </x:c>
      <x:c r="D778" s="40" t="n">
        <x:v>0.013294736523864259</x:v>
      </x:c>
      <x:c r="E778" t="n">
        <x:f>--((B778^2/$B$4^2+C778^2/$B$5^2+D778^2/$B$6^2)&lt;=1)</x:f>
        <x:v>1</x:v>
      </x:c>
      <x:c r="F778" s="42" t="n">
        <x:f>$B$8*SUM($E$18:E778)/A778</x:f>
        <x:v>100.41524310118265</x:v>
      </x:c>
      <x:c r="G778" s="42" t="n">
        <x:f>$B$11</x:f>
        <x:v>100.53096491487338</x:v>
      </x:c>
      <x:c r="I778" t="n">
        <x:f>A778</x:f>
        <x:v>761</x:v>
      </x:c>
      <x:c r="J778" t="n">
        <x:f>F778</x:f>
        <x:v>100.41524310118265</x:v>
      </x:c>
      <x:c r="K778" t="n">
        <x:f>G778</x:f>
        <x:v>100.53096491487338</x:v>
      </x:c>
    </x:row>
    <x:row r="779">
      <x:c r="A779" t="n">
        <x:v>762</x:v>
      </x:c>
      <x:c r="B779" s="40" t="n">
        <x:v>-1.3981839537701037</x:v>
      </x:c>
      <x:c r="C779" s="40" t="n">
        <x:v>2.514657987399631</x:v>
      </x:c>
      <x:c r="D779" s="40" t="n">
        <x:v>0.030050702137105034</x:v>
      </x:c>
      <x:c r="E779" t="n">
        <x:f>--((B779^2/$B$4^2+C779^2/$B$5^2+D779^2/$B$6^2)&lt;=1)</x:f>
        <x:v>0</x:v>
      </x:c>
      <x:c r="F779" s="42" t="n">
        <x:f>$B$8*SUM($E$18:E779)/A779</x:f>
        <x:v>100.28346456692914</x:v>
      </x:c>
      <x:c r="G779" s="42" t="n">
        <x:f>$B$11</x:f>
        <x:v>100.53096491487338</x:v>
      </x:c>
      <x:c r="I779" t="n">
        <x:f>A779</x:f>
        <x:v>762</x:v>
      </x:c>
      <x:c r="J779" t="n">
        <x:f>F779</x:f>
        <x:v>100.28346456692914</x:v>
      </x:c>
      <x:c r="K779" t="n">
        <x:f>G779</x:f>
        <x:v>100.53096491487338</x:v>
      </x:c>
    </x:row>
    <x:row r="780">
      <x:c r="A780" t="n">
        <x:v>763</x:v>
      </x:c>
      <x:c r="B780" s="40" t="n">
        <x:v>-1.8105039199780726</x:v>
      </x:c>
      <x:c r="C780" s="40" t="n">
        <x:v>-2.3968679914997493</x:v>
      </x:c>
      <x:c r="D780" s="40" t="n">
        <x:v>3.375714673625674</x:v>
      </x:c>
      <x:c r="E780" t="n">
        <x:f>--((B780^2/$B$4^2+C780^2/$B$5^2+D780^2/$B$6^2)&lt;=1)</x:f>
        <x:v>0</x:v>
      </x:c>
      <x:c r="F780" s="42" t="n">
        <x:f>$B$8*SUM($E$18:E780)/A780</x:f>
        <x:v>100.15203145478375</x:v>
      </x:c>
      <x:c r="G780" s="42" t="n">
        <x:f>$B$11</x:f>
        <x:v>100.53096491487338</x:v>
      </x:c>
      <x:c r="I780" t="n">
        <x:f>A780</x:f>
        <x:v>763</x:v>
      </x:c>
      <x:c r="J780" t="n">
        <x:f>F780</x:f>
        <x:v>100.15203145478375</x:v>
      </x:c>
      <x:c r="K780" t="n">
        <x:f>G780</x:f>
        <x:v>100.53096491487338</x:v>
      </x:c>
    </x:row>
    <x:row r="781">
      <x:c r="A781" t="n">
        <x:v>764</x:v>
      </x:c>
      <x:c r="B781" s="40" t="n">
        <x:v>-1.447178513445877</x:v>
      </x:c>
      <x:c r="C781" s="40" t="n">
        <x:v>-1.105413132923453</x:v>
      </x:c>
      <x:c r="D781" s="40" t="n">
        <x:v>0.05859183674455615</x:v>
      </x:c>
      <x:c r="E781" t="n">
        <x:f>--((B781^2/$B$4^2+C781^2/$B$5^2+D781^2/$B$6^2)&lt;=1)</x:f>
        <x:v>1</x:v>
      </x:c>
      <x:c r="F781" s="42" t="n">
        <x:f>$B$8*SUM($E$18:E781)/A781</x:f>
        <x:v>100.27225130890052</x:v>
      </x:c>
      <x:c r="G781" s="42" t="n">
        <x:f>$B$11</x:f>
        <x:v>100.53096491487338</x:v>
      </x:c>
      <x:c r="I781" t="n">
        <x:f>A781</x:f>
        <x:v>764</x:v>
      </x:c>
      <x:c r="J781" t="n">
        <x:f>F781</x:f>
        <x:v>100.27225130890052</x:v>
      </x:c>
      <x:c r="K781" t="n">
        <x:f>G781</x:f>
        <x:v>100.53096491487338</x:v>
      </x:c>
    </x:row>
    <x:row r="782">
      <x:c r="A782" t="n">
        <x:v>765</x:v>
      </x:c>
      <x:c r="B782" s="40" t="n">
        <x:v>1.6752927741227315</x:v>
      </x:c>
      <x:c r="C782" s="40" t="n">
        <x:v>-2.5652701584247692</x:v>
      </x:c>
      <x:c r="D782" s="40" t="n">
        <x:v>-0.4927432757588095</x:v>
      </x:c>
      <x:c r="E782" t="n">
        <x:f>--((B782^2/$B$4^2+C782^2/$B$5^2+D782^2/$B$6^2)&lt;=1)</x:f>
        <x:v>0</x:v>
      </x:c>
      <x:c r="F782" s="42" t="n">
        <x:f>$B$8*SUM($E$18:E782)/A782</x:f>
        <x:v>100.14117647058823</x:v>
      </x:c>
      <x:c r="G782" s="42" t="n">
        <x:f>$B$11</x:f>
        <x:v>100.53096491487338</x:v>
      </x:c>
      <x:c r="I782" t="n">
        <x:f>A782</x:f>
        <x:v>765</x:v>
      </x:c>
      <x:c r="J782" t="n">
        <x:f>F782</x:f>
        <x:v>100.14117647058823</x:v>
      </x:c>
      <x:c r="K782" t="n">
        <x:f>G782</x:f>
        <x:v>100.53096491487338</x:v>
      </x:c>
    </x:row>
    <x:row r="783">
      <x:c r="A783" t="n">
        <x:v>766</x:v>
      </x:c>
      <x:c r="B783" s="40" t="n">
        <x:v>-1.9629608727155063</x:v>
      </x:c>
      <x:c r="C783" s="40" t="n">
        <x:v>2.668831031664231</x:v>
      </x:c>
      <x:c r="D783" s="40" t="n">
        <x:v>-1.820091263062408</x:v>
      </x:c>
      <x:c r="E783" t="n">
        <x:f>--((B783^2/$B$4^2+C783^2/$B$5^2+D783^2/$B$6^2)&lt;=1)</x:f>
        <x:v>0</x:v>
      </x:c>
      <x:c r="F783" s="42" t="n">
        <x:f>$B$8*SUM($E$18:E783)/A783</x:f>
        <x:v>100.01044386422977</x:v>
      </x:c>
      <x:c r="G783" s="42" t="n">
        <x:f>$B$11</x:f>
        <x:v>100.53096491487338</x:v>
      </x:c>
      <x:c r="I783" t="n">
        <x:f>A783</x:f>
        <x:v>766</x:v>
      </x:c>
      <x:c r="J783" t="n">
        <x:f>F783</x:f>
        <x:v>100.01044386422977</x:v>
      </x:c>
      <x:c r="K783" t="n">
        <x:f>G783</x:f>
        <x:v>100.53096491487338</x:v>
      </x:c>
    </x:row>
    <x:row r="784">
      <x:c r="A784" t="n">
        <x:v>767</x:v>
      </x:c>
      <x:c r="B784" s="40" t="n">
        <x:v>-1.2467121007545927</x:v>
      </x:c>
      <x:c r="C784" s="40" t="n">
        <x:v>-0.32840720400367207</x:v>
      </x:c>
      <x:c r="D784" s="40" t="n">
        <x:v>1.2705341345393668</x:v>
      </x:c>
      <x:c r="E784" t="n">
        <x:f>--((B784^2/$B$4^2+C784^2/$B$5^2+D784^2/$B$6^2)&lt;=1)</x:f>
        <x:v>1</x:v>
      </x:c>
      <x:c r="F784" s="42" t="n">
        <x:f>$B$8*SUM($E$18:E784)/A784</x:f>
        <x:v>100.13037809647979</x:v>
      </x:c>
      <x:c r="G784" s="42" t="n">
        <x:f>$B$11</x:f>
        <x:v>100.53096491487338</x:v>
      </x:c>
      <x:c r="I784" t="n">
        <x:f>A784</x:f>
        <x:v>767</x:v>
      </x:c>
      <x:c r="J784" t="n">
        <x:f>F784</x:f>
        <x:v>100.13037809647979</x:v>
      </x:c>
      <x:c r="K784" t="n">
        <x:f>G784</x:f>
        <x:v>100.53096491487338</x:v>
      </x:c>
    </x:row>
    <x:row r="785">
      <x:c r="A785" t="n">
        <x:v>768</x:v>
      </x:c>
      <x:c r="B785" s="40" t="n">
        <x:v>-1.8748659483934218</x:v>
      </x:c>
      <x:c r="C785" s="40" t="n">
        <x:v>1.05206682405713</x:v>
      </x:c>
      <x:c r="D785" s="40" t="n">
        <x:v>0.5571607278380926</x:v>
      </x:c>
      <x:c r="E785" t="n">
        <x:f>--((B785^2/$B$4^2+C785^2/$B$5^2+D785^2/$B$6^2)&lt;=1)</x:f>
        <x:v>0</x:v>
      </x:c>
      <x:c r="F785" s="42" t="n">
        <x:f>$B$8*SUM($E$18:E785)/A785</x:f>
        <x:v>100</x:v>
      </x:c>
      <x:c r="G785" s="42" t="n">
        <x:f>$B$11</x:f>
        <x:v>100.53096491487338</x:v>
      </x:c>
      <x:c r="I785" t="n">
        <x:f>A785</x:f>
        <x:v>768</x:v>
      </x:c>
      <x:c r="J785" t="n">
        <x:f>F785</x:f>
        <x:v>100</x:v>
      </x:c>
      <x:c r="K785" t="n">
        <x:f>G785</x:f>
        <x:v>100.53096491487338</x:v>
      </x:c>
    </x:row>
    <x:row r="786">
      <x:c r="A786" t="n">
        <x:v>769</x:v>
      </x:c>
      <x:c r="B786" s="40" t="n">
        <x:v>-1.557482129751187</x:v>
      </x:c>
      <x:c r="C786" s="40" t="n">
        <x:v>2.0467203870259283</x:v>
      </x:c>
      <x:c r="D786" s="40" t="n">
        <x:v>-2.2852365044177354</x:v>
      </x:c>
      <x:c r="E786" t="n">
        <x:f>--((B786^2/$B$4^2+C786^2/$B$5^2+D786^2/$B$6^2)&lt;=1)</x:f>
        <x:v>0</x:v>
      </x:c>
      <x:c r="F786" s="42" t="n">
        <x:f>$B$8*SUM($E$18:E786)/A786</x:f>
        <x:v>99.86996098829648</x:v>
      </x:c>
      <x:c r="G786" s="42" t="n">
        <x:f>$B$11</x:f>
        <x:v>100.53096491487338</x:v>
      </x:c>
      <x:c r="I786" t="n">
        <x:f>A786</x:f>
        <x:v>769</x:v>
      </x:c>
      <x:c r="J786" t="n">
        <x:f>F786</x:f>
        <x:v>99.86996098829648</x:v>
      </x:c>
      <x:c r="K786" t="n">
        <x:f>G786</x:f>
        <x:v>100.53096491487338</x:v>
      </x:c>
    </x:row>
    <x:row r="787">
      <x:c r="A787" t="n">
        <x:v>770</x:v>
      </x:c>
      <x:c r="B787" s="40" t="n">
        <x:v>0.4805971465131851</x:v>
      </x:c>
      <x:c r="C787" s="40" t="n">
        <x:v>2.946001488458931</x:v>
      </x:c>
      <x:c r="D787" s="40" t="n">
        <x:v>1.675303320490598</x:v>
      </x:c>
      <x:c r="E787" t="n">
        <x:f>--((B787^2/$B$4^2+C787^2/$B$5^2+D787^2/$B$6^2)&lt;=1)</x:f>
        <x:v>0</x:v>
      </x:c>
      <x:c r="F787" s="42" t="n">
        <x:f>$B$8*SUM($E$18:E787)/A787</x:f>
        <x:v>99.74025974025975</x:v>
      </x:c>
      <x:c r="G787" s="42" t="n">
        <x:f>$B$11</x:f>
        <x:v>100.53096491487338</x:v>
      </x:c>
      <x:c r="I787" t="n">
        <x:f>A787</x:f>
        <x:v>770</x:v>
      </x:c>
      <x:c r="J787" t="n">
        <x:f>F787</x:f>
        <x:v>99.74025974025975</x:v>
      </x:c>
      <x:c r="K787" t="n">
        <x:f>G787</x:f>
        <x:v>100.53096491487338</x:v>
      </x:c>
    </x:row>
    <x:row r="788">
      <x:c r="A788" t="n">
        <x:v>771</x:v>
      </x:c>
      <x:c r="B788" s="40" t="n">
        <x:v>-1.0334443650436569</x:v>
      </x:c>
      <x:c r="C788" s="40" t="n">
        <x:v>-2.0293052532464055</x:v>
      </x:c>
      <x:c r="D788" s="40" t="n">
        <x:v>1.152694858693124</x:v>
      </x:c>
      <x:c r="E788" t="n">
        <x:f>--((B788^2/$B$4^2+C788^2/$B$5^2+D788^2/$B$6^2)&lt;=1)</x:f>
        <x:v>1</x:v>
      </x:c>
      <x:c r="F788" s="42" t="n">
        <x:f>$B$8*SUM($E$18:E788)/A788</x:f>
        <x:v>99.85992217898833</x:v>
      </x:c>
      <x:c r="G788" s="42" t="n">
        <x:f>$B$11</x:f>
        <x:v>100.53096491487338</x:v>
      </x:c>
      <x:c r="I788" t="n">
        <x:f>A788</x:f>
        <x:v>771</x:v>
      </x:c>
      <x:c r="J788" t="n">
        <x:f>F788</x:f>
        <x:v>99.85992217898833</x:v>
      </x:c>
      <x:c r="K788" t="n">
        <x:f>G788</x:f>
        <x:v>100.53096491487338</x:v>
      </x:c>
    </x:row>
    <x:row r="789">
      <x:c r="A789" t="n">
        <x:v>772</x:v>
      </x:c>
      <x:c r="B789" s="40" t="n">
        <x:v>0.2768482017227072</x:v>
      </x:c>
      <x:c r="C789" s="40" t="n">
        <x:v>1.7970756343093726</x:v>
      </x:c>
      <x:c r="D789" s="40" t="n">
        <x:v>-0.8213289263476735</x:v>
      </x:c>
      <x:c r="E789" t="n">
        <x:f>--((B789^2/$B$4^2+C789^2/$B$5^2+D789^2/$B$6^2)&lt;=1)</x:f>
        <x:v>1</x:v>
      </x:c>
      <x:c r="F789" s="42" t="n">
        <x:f>$B$8*SUM($E$18:E789)/A789</x:f>
        <x:v>99.97927461139896</x:v>
      </x:c>
      <x:c r="G789" s="42" t="n">
        <x:f>$B$11</x:f>
        <x:v>100.53096491487338</x:v>
      </x:c>
      <x:c r="I789" t="n">
        <x:f>A789</x:f>
        <x:v>772</x:v>
      </x:c>
      <x:c r="J789" t="n">
        <x:f>F789</x:f>
        <x:v>99.97927461139896</x:v>
      </x:c>
      <x:c r="K789" t="n">
        <x:f>G789</x:f>
        <x:v>100.53096491487338</x:v>
      </x:c>
    </x:row>
    <x:row r="790">
      <x:c r="A790" t="n">
        <x:v>773</x:v>
      </x:c>
      <x:c r="B790" s="40" t="n">
        <x:v>0.3607815310645046</x:v>
      </x:c>
      <x:c r="C790" s="40" t="n">
        <x:v>2.324537388820418</x:v>
      </x:c>
      <x:c r="D790" s="40" t="n">
        <x:v>-3.9647926247715954</x:v>
      </x:c>
      <x:c r="E790" t="n">
        <x:f>--((B790^2/$B$4^2+C790^2/$B$5^2+D790^2/$B$6^2)&lt;=1)</x:f>
        <x:v>0</x:v>
      </x:c>
      <x:c r="F790" s="42" t="n">
        <x:f>$B$8*SUM($E$18:E790)/A790</x:f>
        <x:v>99.84993531694695</x:v>
      </x:c>
      <x:c r="G790" s="42" t="n">
        <x:f>$B$11</x:f>
        <x:v>100.53096491487338</x:v>
      </x:c>
      <x:c r="I790" t="n">
        <x:f>A790</x:f>
        <x:v>773</x:v>
      </x:c>
      <x:c r="J790" t="n">
        <x:f>F790</x:f>
        <x:v>99.84993531694695</x:v>
      </x:c>
      <x:c r="K790" t="n">
        <x:f>G790</x:f>
        <x:v>100.53096491487338</x:v>
      </x:c>
    </x:row>
    <x:row r="791">
      <x:c r="A791" t="n">
        <x:v>774</x:v>
      </x:c>
      <x:c r="B791" s="40" t="n">
        <x:v>1.3977413323591161</x:v>
      </x:c>
      <x:c r="C791" s="40" t="n">
        <x:v>-2.7067477388947463</x:v>
      </x:c>
      <x:c r="D791" s="40" t="n">
        <x:v>-0.4273507985904983</x:v>
      </x:c>
      <x:c r="E791" t="n">
        <x:f>--((B791^2/$B$4^2+C791^2/$B$5^2+D791^2/$B$6^2)&lt;=1)</x:f>
        <x:v>0</x:v>
      </x:c>
      <x:c r="F791" s="42" t="n">
        <x:f>$B$8*SUM($E$18:E791)/A791</x:f>
        <x:v>99.72093023255815</x:v>
      </x:c>
      <x:c r="G791" s="42" t="n">
        <x:f>$B$11</x:f>
        <x:v>100.53096491487338</x:v>
      </x:c>
      <x:c r="I791" t="n">
        <x:f>A791</x:f>
        <x:v>774</x:v>
      </x:c>
      <x:c r="J791" t="n">
        <x:f>F791</x:f>
        <x:v>99.72093023255815</x:v>
      </x:c>
      <x:c r="K791" t="n">
        <x:f>G791</x:f>
        <x:v>100.53096491487338</x:v>
      </x:c>
    </x:row>
    <x:row r="792">
      <x:c r="A792" t="n">
        <x:v>775</x:v>
      </x:c>
      <x:c r="B792" s="40" t="n">
        <x:v>-1.9810344283525043</x:v>
      </x:c>
      <x:c r="C792" s="40" t="n">
        <x:v>1.524543361113441</x:v>
      </x:c>
      <x:c r="D792" s="40" t="n">
        <x:v>-3.951535062957986</x:v>
      </x:c>
      <x:c r="E792" t="n">
        <x:f>--((B792^2/$B$4^2+C792^2/$B$5^2+D792^2/$B$6^2)&lt;=1)</x:f>
        <x:v>0</x:v>
      </x:c>
      <x:c r="F792" s="42" t="n">
        <x:f>$B$8*SUM($E$18:E792)/A792</x:f>
        <x:v>99.59225806451613</x:v>
      </x:c>
      <x:c r="G792" s="42" t="n">
        <x:f>$B$11</x:f>
        <x:v>100.53096491487338</x:v>
      </x:c>
      <x:c r="I792" t="n">
        <x:f>A792</x:f>
        <x:v>775</x:v>
      </x:c>
      <x:c r="J792" t="n">
        <x:f>F792</x:f>
        <x:v>99.59225806451613</x:v>
      </x:c>
      <x:c r="K792" t="n">
        <x:f>G792</x:f>
        <x:v>100.53096491487338</x:v>
      </x:c>
    </x:row>
    <x:row r="793">
      <x:c r="A793" t="n">
        <x:v>776</x:v>
      </x:c>
      <x:c r="B793" s="40" t="n">
        <x:v>1.413477837369467</x:v>
      </x:c>
      <x:c r="C793" s="40" t="n">
        <x:v>-0.8716480728206983</x:v>
      </x:c>
      <x:c r="D793" s="40" t="n">
        <x:v>-3.400012085607681</x:v>
      </x:c>
      <x:c r="E793" t="n">
        <x:f>--((B793^2/$B$4^2+C793^2/$B$5^2+D793^2/$B$6^2)&lt;=1)</x:f>
        <x:v>0</x:v>
      </x:c>
      <x:c r="F793" s="42" t="n">
        <x:f>$B$8*SUM($E$18:E793)/A793</x:f>
        <x:v>99.4639175257732</x:v>
      </x:c>
      <x:c r="G793" s="42" t="n">
        <x:f>$B$11</x:f>
        <x:v>100.53096491487338</x:v>
      </x:c>
      <x:c r="I793" t="n">
        <x:f>A793</x:f>
        <x:v>776</x:v>
      </x:c>
      <x:c r="J793" t="n">
        <x:f>F793</x:f>
        <x:v>99.4639175257732</x:v>
      </x:c>
      <x:c r="K793" t="n">
        <x:f>G793</x:f>
        <x:v>100.53096491487338</x:v>
      </x:c>
    </x:row>
    <x:row r="794">
      <x:c r="A794" t="n">
        <x:v>777</x:v>
      </x:c>
      <x:c r="B794" s="40" t="n">
        <x:v>0.476476345707896</x:v>
      </x:c>
      <x:c r="C794" s="40" t="n">
        <x:v>0.8915807488225922</x:v>
      </x:c>
      <x:c r="D794" s="40" t="n">
        <x:v>-0.5551207801533273</x:v>
      </x:c>
      <x:c r="E794" t="n">
        <x:f>--((B794^2/$B$4^2+C794^2/$B$5^2+D794^2/$B$6^2)&lt;=1)</x:f>
        <x:v>1</x:v>
      </x:c>
      <x:c r="F794" s="42" t="n">
        <x:f>$B$8*SUM($E$18:E794)/A794</x:f>
        <x:v>99.58301158301158</x:v>
      </x:c>
      <x:c r="G794" s="42" t="n">
        <x:f>$B$11</x:f>
        <x:v>100.53096491487338</x:v>
      </x:c>
      <x:c r="I794" t="n">
        <x:f>A794</x:f>
        <x:v>777</x:v>
      </x:c>
      <x:c r="J794" t="n">
        <x:f>F794</x:f>
        <x:v>99.58301158301158</x:v>
      </x:c>
      <x:c r="K794" t="n">
        <x:f>G794</x:f>
        <x:v>100.53096491487338</x:v>
      </x:c>
    </x:row>
    <x:row r="795">
      <x:c r="A795" t="n">
        <x:v>778</x:v>
      </x:c>
      <x:c r="B795" s="40" t="n">
        <x:v>-1.3490260555801696</x:v>
      </x:c>
      <x:c r="C795" s="40" t="n">
        <x:v>0.08428917623318855</x:v>
      </x:c>
      <x:c r="D795" s="40" t="n">
        <x:v>-3.3446409265173784</x:v>
      </x:c>
      <x:c r="E795" t="n">
        <x:f>--((B795^2/$B$4^2+C795^2/$B$5^2+D795^2/$B$6^2)&lt;=1)</x:f>
        <x:v>0</x:v>
      </x:c>
      <x:c r="F795" s="42" t="n">
        <x:f>$B$8*SUM($E$18:E795)/A795</x:f>
        <x:v>99.45501285347044</x:v>
      </x:c>
      <x:c r="G795" s="42" t="n">
        <x:f>$B$11</x:f>
        <x:v>100.53096491487338</x:v>
      </x:c>
      <x:c r="I795" t="n">
        <x:f>A795</x:f>
        <x:v>778</x:v>
      </x:c>
      <x:c r="J795" t="n">
        <x:f>F795</x:f>
        <x:v>99.45501285347044</x:v>
      </x:c>
      <x:c r="K795" t="n">
        <x:f>G795</x:f>
        <x:v>100.53096491487338</x:v>
      </x:c>
    </x:row>
    <x:row r="796">
      <x:c r="A796" t="n">
        <x:v>779</x:v>
      </x:c>
      <x:c r="B796" s="40" t="n">
        <x:v>1.091749552541136</x:v>
      </x:c>
      <x:c r="C796" s="40" t="n">
        <x:v>-1.4415464874801784</x:v>
      </x:c>
      <x:c r="D796" s="40" t="n">
        <x:v>-1.79467652970267</x:v>
      </x:c>
      <x:c r="E796" t="n">
        <x:f>--((B796^2/$B$4^2+C796^2/$B$5^2+D796^2/$B$6^2)&lt;=1)</x:f>
        <x:v>1</x:v>
      </x:c>
      <x:c r="F796" s="42" t="n">
        <x:f>$B$8*SUM($E$18:E796)/A796</x:f>
        <x:v>99.57381258023106</x:v>
      </x:c>
      <x:c r="G796" s="42" t="n">
        <x:f>$B$11</x:f>
        <x:v>100.53096491487338</x:v>
      </x:c>
      <x:c r="I796" t="n">
        <x:f>A796</x:f>
        <x:v>779</x:v>
      </x:c>
      <x:c r="J796" t="n">
        <x:f>F796</x:f>
        <x:v>99.57381258023106</x:v>
      </x:c>
      <x:c r="K796" t="n">
        <x:f>G796</x:f>
        <x:v>100.53096491487338</x:v>
      </x:c>
    </x:row>
    <x:row r="797">
      <x:c r="A797" t="n">
        <x:v>780</x:v>
      </x:c>
      <x:c r="B797" s="40" t="n">
        <x:v>1.421966167162343</x:v>
      </x:c>
      <x:c r="C797" s="40" t="n">
        <x:v>-2.1886718279760835</x:v>
      </x:c>
      <x:c r="D797" s="40" t="n">
        <x:v>1.2439309484717471</x:v>
      </x:c>
      <x:c r="E797" t="n">
        <x:f>--((B797^2/$B$4^2+C797^2/$B$5^2+D797^2/$B$6^2)&lt;=1)</x:f>
        <x:v>0</x:v>
      </x:c>
      <x:c r="F797" s="42" t="n">
        <x:f>$B$8*SUM($E$18:E797)/A797</x:f>
        <x:v>99.44615384615385</x:v>
      </x:c>
      <x:c r="G797" s="42" t="n">
        <x:f>$B$11</x:f>
        <x:v>100.53096491487338</x:v>
      </x:c>
      <x:c r="I797" t="n">
        <x:f>A797</x:f>
        <x:v>780</x:v>
      </x:c>
      <x:c r="J797" t="n">
        <x:f>F797</x:f>
        <x:v>99.44615384615385</x:v>
      </x:c>
      <x:c r="K797" t="n">
        <x:f>G797</x:f>
        <x:v>100.53096491487338</x:v>
      </x:c>
    </x:row>
    <x:row r="798">
      <x:c r="A798" t="n">
        <x:v>781</x:v>
      </x:c>
      <x:c r="B798" s="40" t="n">
        <x:v>-0.9829460649833708</x:v>
      </x:c>
      <x:c r="C798" s="40" t="n">
        <x:v>-2.2983166014647503</x:v>
      </x:c>
      <x:c r="D798" s="40" t="n">
        <x:v>-1.5310772591246478</x:v>
      </x:c>
      <x:c r="E798" t="n">
        <x:f>--((B798^2/$B$4^2+C798^2/$B$5^2+D798^2/$B$6^2)&lt;=1)</x:f>
        <x:v>1</x:v>
      </x:c>
      <x:c r="F798" s="42" t="n">
        <x:f>$B$8*SUM($E$18:E798)/A798</x:f>
        <x:v>99.56466069142125</x:v>
      </x:c>
      <x:c r="G798" s="42" t="n">
        <x:f>$B$11</x:f>
        <x:v>100.53096491487338</x:v>
      </x:c>
      <x:c r="I798" t="n">
        <x:f>A798</x:f>
        <x:v>781</x:v>
      </x:c>
      <x:c r="J798" t="n">
        <x:f>F798</x:f>
        <x:v>99.56466069142125</x:v>
      </x:c>
      <x:c r="K798" t="n">
        <x:f>G798</x:f>
        <x:v>100.53096491487338</x:v>
      </x:c>
    </x:row>
    <x:row r="799">
      <x:c r="A799" t="n">
        <x:v>782</x:v>
      </x:c>
      <x:c r="B799" s="40" t="n">
        <x:v>1.6751747236107235</x:v>
      </x:c>
      <x:c r="C799" s="40" t="n">
        <x:v>-2.38006285374905</x:v>
      </x:c>
      <x:c r="D799" s="40" t="n">
        <x:v>3.9811887529720833</x:v>
      </x:c>
      <x:c r="E799" t="n">
        <x:f>--((B799^2/$B$4^2+C799^2/$B$5^2+D799^2/$B$6^2)&lt;=1)</x:f>
        <x:v>0</x:v>
      </x:c>
      <x:c r="F799" s="42" t="n">
        <x:f>$B$8*SUM($E$18:E799)/A799</x:f>
        <x:v>99.43734015345268</x:v>
      </x:c>
      <x:c r="G799" s="42" t="n">
        <x:f>$B$11</x:f>
        <x:v>100.53096491487338</x:v>
      </x:c>
      <x:c r="I799" t="n">
        <x:f>A799</x:f>
        <x:v>782</x:v>
      </x:c>
      <x:c r="J799" t="n">
        <x:f>F799</x:f>
        <x:v>99.43734015345268</x:v>
      </x:c>
      <x:c r="K799" t="n">
        <x:f>G799</x:f>
        <x:v>100.53096491487338</x:v>
      </x:c>
    </x:row>
    <x:row r="800">
      <x:c r="A800" t="n">
        <x:v>783</x:v>
      </x:c>
      <x:c r="B800" s="40" t="n">
        <x:v>-0.18217027880536873</x:v>
      </x:c>
      <x:c r="C800" s="40" t="n">
        <x:v>0.8267402408074664</x:v>
      </x:c>
      <x:c r="D800" s="40" t="n">
        <x:v>3.330416271319849</x:v>
      </x:c>
      <x:c r="E800" t="n">
        <x:f>--((B800^2/$B$4^2+C800^2/$B$5^2+D800^2/$B$6^2)&lt;=1)</x:f>
        <x:v>1</x:v>
      </x:c>
      <x:c r="F800" s="42" t="n">
        <x:f>$B$8*SUM($E$18:E800)/A800</x:f>
        <x:v>99.55555555555556</x:v>
      </x:c>
      <x:c r="G800" s="42" t="n">
        <x:f>$B$11</x:f>
        <x:v>100.53096491487338</x:v>
      </x:c>
      <x:c r="I800" t="n">
        <x:f>A800</x:f>
        <x:v>783</x:v>
      </x:c>
      <x:c r="J800" t="n">
        <x:f>F800</x:f>
        <x:v>99.55555555555556</x:v>
      </x:c>
      <x:c r="K800" t="n">
        <x:f>G800</x:f>
        <x:v>100.53096491487338</x:v>
      </x:c>
    </x:row>
    <x:row r="801">
      <x:c r="A801" t="n">
        <x:v>784</x:v>
      </x:c>
      <x:c r="B801" s="40" t="n">
        <x:v>0.4136978173332859</x:v>
      </x:c>
      <x:c r="C801" s="40" t="n">
        <x:v>-0.8915348916027712</x:v>
      </x:c>
      <x:c r="D801" s="40" t="n">
        <x:v>0.6824792366841894</x:v>
      </x:c>
      <x:c r="E801" t="n">
        <x:f>--((B801^2/$B$4^2+C801^2/$B$5^2+D801^2/$B$6^2)&lt;=1)</x:f>
        <x:v>1</x:v>
      </x:c>
      <x:c r="F801" s="42" t="n">
        <x:f>$B$8*SUM($E$18:E801)/A801</x:f>
        <x:v>99.6734693877551</x:v>
      </x:c>
      <x:c r="G801" s="42" t="n">
        <x:f>$B$11</x:f>
        <x:v>100.53096491487338</x:v>
      </x:c>
      <x:c r="I801" t="n">
        <x:f>A801</x:f>
        <x:v>784</x:v>
      </x:c>
      <x:c r="J801" t="n">
        <x:f>F801</x:f>
        <x:v>99.6734693877551</x:v>
      </x:c>
      <x:c r="K801" t="n">
        <x:f>G801</x:f>
        <x:v>100.53096491487338</x:v>
      </x:c>
    </x:row>
    <x:row r="802">
      <x:c r="A802" t="n">
        <x:v>785</x:v>
      </x:c>
      <x:c r="B802" s="40" t="n">
        <x:v>1.9385981344705745</x:v>
      </x:c>
      <x:c r="C802" s="40" t="n">
        <x:v>-1.7001993707647653</x:v>
      </x:c>
      <x:c r="D802" s="40" t="n">
        <x:v>3.7355771090794434</x:v>
      </x:c>
      <x:c r="E802" t="n">
        <x:f>--((B802^2/$B$4^2+C802^2/$B$5^2+D802^2/$B$6^2)&lt;=1)</x:f>
        <x:v>0</x:v>
      </x:c>
      <x:c r="F802" s="42" t="n">
        <x:f>$B$8*SUM($E$18:E802)/A802</x:f>
        <x:v>99.54649681528663</x:v>
      </x:c>
      <x:c r="G802" s="42" t="n">
        <x:f>$B$11</x:f>
        <x:v>100.53096491487338</x:v>
      </x:c>
      <x:c r="I802" t="n">
        <x:f>A802</x:f>
        <x:v>785</x:v>
      </x:c>
      <x:c r="J802" t="n">
        <x:f>F802</x:f>
        <x:v>99.54649681528663</x:v>
      </x:c>
      <x:c r="K802" t="n">
        <x:f>G802</x:f>
        <x:v>100.53096491487338</x:v>
      </x:c>
    </x:row>
    <x:row r="803">
      <x:c r="A803" t="n">
        <x:v>786</x:v>
      </x:c>
      <x:c r="B803" s="40" t="n">
        <x:v>-0.5538556854432026</x:v>
      </x:c>
      <x:c r="C803" s="40" t="n">
        <x:v>1.1513105562354182</x:v>
      </x:c>
      <x:c r="D803" s="40" t="n">
        <x:v>2.9441383554601765</x:v>
      </x:c>
      <x:c r="E803" t="n">
        <x:f>--((B803^2/$B$4^2+C803^2/$B$5^2+D803^2/$B$6^2)&lt;=1)</x:f>
        <x:v>1</x:v>
      </x:c>
      <x:c r="F803" s="42" t="n">
        <x:f>$B$8*SUM($E$18:E803)/A803</x:f>
        <x:v>99.66412213740458</x:v>
      </x:c>
      <x:c r="G803" s="42" t="n">
        <x:f>$B$11</x:f>
        <x:v>100.53096491487338</x:v>
      </x:c>
      <x:c r="I803" t="n">
        <x:f>A803</x:f>
        <x:v>786</x:v>
      </x:c>
      <x:c r="J803" t="n">
        <x:f>F803</x:f>
        <x:v>99.66412213740458</x:v>
      </x:c>
      <x:c r="K803" t="n">
        <x:f>G803</x:f>
        <x:v>100.53096491487338</x:v>
      </x:c>
    </x:row>
    <x:row r="804">
      <x:c r="A804" t="n">
        <x:v>787</x:v>
      </x:c>
      <x:c r="B804" s="40" t="n">
        <x:v>1.2526373832804514</x:v>
      </x:c>
      <x:c r="C804" s="40" t="n">
        <x:v>1.1210973945988005</x:v>
      </x:c>
      <x:c r="D804" s="40" t="n">
        <x:v>-1.4488118492761037</x:v>
      </x:c>
      <x:c r="E804" t="n">
        <x:f>--((B804^2/$B$4^2+C804^2/$B$5^2+D804^2/$B$6^2)&lt;=1)</x:f>
        <x:v>1</x:v>
      </x:c>
      <x:c r="F804" s="42" t="n">
        <x:f>$B$8*SUM($E$18:E804)/A804</x:f>
        <x:v>99.78144853875476</x:v>
      </x:c>
      <x:c r="G804" s="42" t="n">
        <x:f>$B$11</x:f>
        <x:v>100.53096491487338</x:v>
      </x:c>
      <x:c r="I804" t="n">
        <x:f>A804</x:f>
        <x:v>787</x:v>
      </x:c>
      <x:c r="J804" t="n">
        <x:f>F804</x:f>
        <x:v>99.78144853875476</x:v>
      </x:c>
      <x:c r="K804" t="n">
        <x:f>G804</x:f>
        <x:v>100.53096491487338</x:v>
      </x:c>
    </x:row>
    <x:row r="805">
      <x:c r="A805" t="n">
        <x:v>788</x:v>
      </x:c>
      <x:c r="B805" s="40" t="n">
        <x:v>-0.7264035286861614</x:v>
      </x:c>
      <x:c r="C805" s="40" t="n">
        <x:v>0.235009754141986</x:v>
      </x:c>
      <x:c r="D805" s="40" t="n">
        <x:v>1.996769967882475</x:v>
      </x:c>
      <x:c r="E805" t="n">
        <x:f>--((B805^2/$B$4^2+C805^2/$B$5^2+D805^2/$B$6^2)&lt;=1)</x:f>
        <x:v>1</x:v>
      </x:c>
      <x:c r="F805" s="42" t="n">
        <x:f>$B$8*SUM($E$18:E805)/A805</x:f>
        <x:v>99.8984771573604</x:v>
      </x:c>
      <x:c r="G805" s="42" t="n">
        <x:f>$B$11</x:f>
        <x:v>100.53096491487338</x:v>
      </x:c>
      <x:c r="I805" t="n">
        <x:f>A805</x:f>
        <x:v>788</x:v>
      </x:c>
      <x:c r="J805" t="n">
        <x:f>F805</x:f>
        <x:v>99.8984771573604</x:v>
      </x:c>
      <x:c r="K805" t="n">
        <x:f>G805</x:f>
        <x:v>100.53096491487338</x:v>
      </x:c>
    </x:row>
    <x:row r="806">
      <x:c r="A806" t="n">
        <x:v>789</x:v>
      </x:c>
      <x:c r="B806" s="40" t="n">
        <x:v>1.196854088965964</x:v>
      </x:c>
      <x:c r="C806" s="40" t="n">
        <x:v>2.6097469011951056</x:v>
      </x:c>
      <x:c r="D806" s="40" t="n">
        <x:v>-2.905345727968421</x:v>
      </x:c>
      <x:c r="E806" t="n">
        <x:f>--((B806^2/$B$4^2+C806^2/$B$5^2+D806^2/$B$6^2)&lt;=1)</x:f>
        <x:v>0</x:v>
      </x:c>
      <x:c r="F806" s="42" t="n">
        <x:f>$B$8*SUM($E$18:E806)/A806</x:f>
        <x:v>99.77186311787072</x:v>
      </x:c>
      <x:c r="G806" s="42" t="n">
        <x:f>$B$11</x:f>
        <x:v>100.53096491487338</x:v>
      </x:c>
      <x:c r="I806" t="n">
        <x:f>A806</x:f>
        <x:v>789</x:v>
      </x:c>
      <x:c r="J806" t="n">
        <x:f>F806</x:f>
        <x:v>99.77186311787072</x:v>
      </x:c>
      <x:c r="K806" t="n">
        <x:f>G806</x:f>
        <x:v>100.53096491487338</x:v>
      </x:c>
    </x:row>
    <x:row r="807">
      <x:c r="A807" t="n">
        <x:v>790</x:v>
      </x:c>
      <x:c r="B807" s="40" t="n">
        <x:v>0.40293567545056996</x:v>
      </x:c>
      <x:c r="C807" s="40" t="n">
        <x:v>-0.6875146113514723</x:v>
      </x:c>
      <x:c r="D807" s="40" t="n">
        <x:v>1.4764113950299285</x:v>
      </x:c>
      <x:c r="E807" t="n">
        <x:f>--((B807^2/$B$4^2+C807^2/$B$5^2+D807^2/$B$6^2)&lt;=1)</x:f>
        <x:v>1</x:v>
      </x:c>
      <x:c r="F807" s="42" t="n">
        <x:f>$B$8*SUM($E$18:E807)/A807</x:f>
        <x:v>99.88860759493672</x:v>
      </x:c>
      <x:c r="G807" s="42" t="n">
        <x:f>$B$11</x:f>
        <x:v>100.53096491487338</x:v>
      </x:c>
      <x:c r="I807" t="n">
        <x:f>A807</x:f>
        <x:v>790</x:v>
      </x:c>
      <x:c r="J807" t="n">
        <x:f>F807</x:f>
        <x:v>99.88860759493672</x:v>
      </x:c>
      <x:c r="K807" t="n">
        <x:f>G807</x:f>
        <x:v>100.53096491487338</x:v>
      </x:c>
    </x:row>
    <x:row r="808">
      <x:c r="A808" t="n">
        <x:v>791</x:v>
      </x:c>
      <x:c r="B808" s="40" t="n">
        <x:v>-1.1345772190983943</x:v>
      </x:c>
      <x:c r="C808" s="40" t="n">
        <x:v>2.0151778276157577</x:v>
      </x:c>
      <x:c r="D808" s="40" t="n">
        <x:v>-0.07134538804335655</x:v>
      </x:c>
      <x:c r="E808" t="n">
        <x:f>--((B808^2/$B$4^2+C808^2/$B$5^2+D808^2/$B$6^2)&lt;=1)</x:f>
        <x:v>1</x:v>
      </x:c>
      <x:c r="F808" s="42" t="n">
        <x:f>$B$8*SUM($E$18:E808)/A808</x:f>
        <x:v>100.00505689001264</x:v>
      </x:c>
      <x:c r="G808" s="42" t="n">
        <x:f>$B$11</x:f>
        <x:v>100.53096491487338</x:v>
      </x:c>
      <x:c r="I808" t="n">
        <x:f>A808</x:f>
        <x:v>791</x:v>
      </x:c>
      <x:c r="J808" t="n">
        <x:f>F808</x:f>
        <x:v>100.00505689001264</x:v>
      </x:c>
      <x:c r="K808" t="n">
        <x:f>G808</x:f>
        <x:v>100.53096491487338</x:v>
      </x:c>
    </x:row>
    <x:row r="809">
      <x:c r="A809" t="n">
        <x:v>792</x:v>
      </x:c>
      <x:c r="B809" s="40" t="n">
        <x:v>-0.34389562484305447</x:v>
      </x:c>
      <x:c r="C809" s="40" t="n">
        <x:v>-2.549163552406822</x:v>
      </x:c>
      <x:c r="D809" s="40" t="n">
        <x:v>-3.8653924859774023</x:v>
      </x:c>
      <x:c r="E809" t="n">
        <x:f>--((B809^2/$B$4^2+C809^2/$B$5^2+D809^2/$B$6^2)&lt;=1)</x:f>
        <x:v>0</x:v>
      </x:c>
      <x:c r="F809" s="42" t="n">
        <x:f>$B$8*SUM($E$18:E809)/A809</x:f>
        <x:v>99.87878787878788</x:v>
      </x:c>
      <x:c r="G809" s="42" t="n">
        <x:f>$B$11</x:f>
        <x:v>100.53096491487338</x:v>
      </x:c>
      <x:c r="I809" t="n">
        <x:f>A809</x:f>
        <x:v>792</x:v>
      </x:c>
      <x:c r="J809" t="n">
        <x:f>F809</x:f>
        <x:v>99.87878787878788</x:v>
      </x:c>
      <x:c r="K809" t="n">
        <x:f>G809</x:f>
        <x:v>100.53096491487338</x:v>
      </x:c>
    </x:row>
    <x:row r="810">
      <x:c r="A810" t="n">
        <x:v>793</x:v>
      </x:c>
      <x:c r="B810" s="40" t="n">
        <x:v>-0.7294574625457533</x:v>
      </x:c>
      <x:c r="C810" s="40" t="n">
        <x:v>1.4389865642310262</x:v>
      </x:c>
      <x:c r="D810" s="40" t="n">
        <x:v>-1.806161420877034</x:v>
      </x:c>
      <x:c r="E810" t="n">
        <x:f>--((B810^2/$B$4^2+C810^2/$B$5^2+D810^2/$B$6^2)&lt;=1)</x:f>
        <x:v>1</x:v>
      </x:c>
      <x:c r="F810" s="42" t="n">
        <x:f>$B$8*SUM($E$18:E810)/A810</x:f>
        <x:v>99.99495586380833</x:v>
      </x:c>
      <x:c r="G810" s="42" t="n">
        <x:f>$B$11</x:f>
        <x:v>100.53096491487338</x:v>
      </x:c>
      <x:c r="I810" t="n">
        <x:f>A810</x:f>
        <x:v>793</x:v>
      </x:c>
      <x:c r="J810" t="n">
        <x:f>F810</x:f>
        <x:v>99.99495586380833</x:v>
      </x:c>
      <x:c r="K810" t="n">
        <x:f>G810</x:f>
        <x:v>100.53096491487338</x:v>
      </x:c>
    </x:row>
    <x:row r="811">
      <x:c r="A811" t="n">
        <x:v>794</x:v>
      </x:c>
      <x:c r="B811" s="40" t="n">
        <x:v>-1.6875664276785445</x:v>
      </x:c>
      <x:c r="C811" s="40" t="n">
        <x:v>2.9306844829915804</x:v>
      </x:c>
      <x:c r="D811" s="40" t="n">
        <x:v>3.6430577392339885</x:v>
      </x:c>
      <x:c r="E811" t="n">
        <x:f>--((B811^2/$B$4^2+C811^2/$B$5^2+D811^2/$B$6^2)&lt;=1)</x:f>
        <x:v>0</x:v>
      </x:c>
      <x:c r="F811" s="42" t="n">
        <x:f>$B$8*SUM($E$18:E811)/A811</x:f>
        <x:v>99.8690176322418</x:v>
      </x:c>
      <x:c r="G811" s="42" t="n">
        <x:f>$B$11</x:f>
        <x:v>100.53096491487338</x:v>
      </x:c>
      <x:c r="I811" t="n">
        <x:f>A811</x:f>
        <x:v>794</x:v>
      </x:c>
      <x:c r="J811" t="n">
        <x:f>F811</x:f>
        <x:v>99.8690176322418</x:v>
      </x:c>
      <x:c r="K811" t="n">
        <x:f>G811</x:f>
        <x:v>100.53096491487338</x:v>
      </x:c>
    </x:row>
    <x:row r="812">
      <x:c r="A812" t="n">
        <x:v>795</x:v>
      </x:c>
      <x:c r="B812" s="40" t="n">
        <x:v>-1.88066091960121</x:v>
      </x:c>
      <x:c r="C812" s="40" t="n">
        <x:v>2.0795892977269013</x:v>
      </x:c>
      <x:c r="D812" s="40" t="n">
        <x:v>-1.4733481192921545</x:v>
      </x:c>
      <x:c r="E812" t="n">
        <x:f>--((B812^2/$B$4^2+C812^2/$B$5^2+D812^2/$B$6^2)&lt;=1)</x:f>
        <x:v>0</x:v>
      </x:c>
      <x:c r="F812" s="42" t="n">
        <x:f>$B$8*SUM($E$18:E812)/A812</x:f>
        <x:v>99.7433962264151</x:v>
      </x:c>
      <x:c r="G812" s="42" t="n">
        <x:f>$B$11</x:f>
        <x:v>100.53096491487338</x:v>
      </x:c>
      <x:c r="I812" t="n">
        <x:f>A812</x:f>
        <x:v>795</x:v>
      </x:c>
      <x:c r="J812" t="n">
        <x:f>F812</x:f>
        <x:v>99.7433962264151</x:v>
      </x:c>
      <x:c r="K812" t="n">
        <x:f>G812</x:f>
        <x:v>100.53096491487338</x:v>
      </x:c>
    </x:row>
    <x:row r="813">
      <x:c r="A813" t="n">
        <x:v>796</x:v>
      </x:c>
      <x:c r="B813" s="40" t="n">
        <x:v>-0.6140853783712763</x:v>
      </x:c>
      <x:c r="C813" s="40" t="n">
        <x:v>0.4779883158603564</x:v>
      </x:c>
      <x:c r="D813" s="40" t="n">
        <x:v>-2.5483643575884747</x:v>
      </x:c>
      <x:c r="E813" t="n">
        <x:f>--((B813^2/$B$4^2+C813^2/$B$5^2+D813^2/$B$6^2)&lt;=1)</x:f>
        <x:v>1</x:v>
      </x:c>
      <x:c r="F813" s="42" t="n">
        <x:f>$B$8*SUM($E$18:E813)/A813</x:f>
        <x:v>99.85929648241206</x:v>
      </x:c>
      <x:c r="G813" s="42" t="n">
        <x:f>$B$11</x:f>
        <x:v>100.53096491487338</x:v>
      </x:c>
      <x:c r="I813" t="n">
        <x:f>A813</x:f>
        <x:v>796</x:v>
      </x:c>
      <x:c r="J813" t="n">
        <x:f>F813</x:f>
        <x:v>99.85929648241206</x:v>
      </x:c>
      <x:c r="K813" t="n">
        <x:f>G813</x:f>
        <x:v>100.53096491487338</x:v>
      </x:c>
    </x:row>
    <x:row r="814">
      <x:c r="A814" t="n">
        <x:v>797</x:v>
      </x:c>
      <x:c r="B814" s="40" t="n">
        <x:v>-1.9238634087300537</x:v>
      </x:c>
      <x:c r="C814" s="40" t="n">
        <x:v>0.7605963859629639</x:v>
      </x:c>
      <x:c r="D814" s="40" t="n">
        <x:v>-2.4997484274223334</x:v>
      </x:c>
      <x:c r="E814" t="n">
        <x:f>--((B814^2/$B$4^2+C814^2/$B$5^2+D814^2/$B$6^2)&lt;=1)</x:f>
        <x:v>0</x:v>
      </x:c>
      <x:c r="F814" s="42" t="n">
        <x:f>$B$8*SUM($E$18:E814)/A814</x:f>
        <x:v>99.73400250941029</x:v>
      </x:c>
      <x:c r="G814" s="42" t="n">
        <x:f>$B$11</x:f>
        <x:v>100.53096491487338</x:v>
      </x:c>
      <x:c r="I814" t="n">
        <x:f>A814</x:f>
        <x:v>797</x:v>
      </x:c>
      <x:c r="J814" t="n">
        <x:f>F814</x:f>
        <x:v>99.73400250941029</x:v>
      </x:c>
      <x:c r="K814" t="n">
        <x:f>G814</x:f>
        <x:v>100.53096491487338</x:v>
      </x:c>
    </x:row>
    <x:row r="815">
      <x:c r="A815" t="n">
        <x:v>798</x:v>
      </x:c>
      <x:c r="B815" s="40" t="n">
        <x:v>-1.3380489696728999</x:v>
      </x:c>
      <x:c r="C815" s="40" t="n">
        <x:v>-0.8802627033783192</x:v>
      </x:c>
      <x:c r="D815" s="40" t="n">
        <x:v>-0.16629388286440783</x:v>
      </x:c>
      <x:c r="E815" t="n">
        <x:f>--((B815^2/$B$4^2+C815^2/$B$5^2+D815^2/$B$6^2)&lt;=1)</x:f>
        <x:v>1</x:v>
      </x:c>
      <x:c r="F815" s="42" t="n">
        <x:f>$B$8*SUM($E$18:E815)/A815</x:f>
        <x:v>99.84962406015038</x:v>
      </x:c>
      <x:c r="G815" s="42" t="n">
        <x:f>$B$11</x:f>
        <x:v>100.53096491487338</x:v>
      </x:c>
      <x:c r="I815" t="n">
        <x:f>A815</x:f>
        <x:v>798</x:v>
      </x:c>
      <x:c r="J815" t="n">
        <x:f>F815</x:f>
        <x:v>99.84962406015038</x:v>
      </x:c>
      <x:c r="K815" t="n">
        <x:f>G815</x:f>
        <x:v>100.53096491487338</x:v>
      </x:c>
    </x:row>
    <x:row r="816">
      <x:c r="A816" t="n">
        <x:v>799</x:v>
      </x:c>
      <x:c r="B816" s="40" t="n">
        <x:v>0.9007332834034751</x:v>
      </x:c>
      <x:c r="C816" s="40" t="n">
        <x:v>1.076911309548624</x:v>
      </x:c>
      <x:c r="D816" s="40" t="n">
        <x:v>2.7411939253642794</x:v>
      </x:c>
      <x:c r="E816" t="n">
        <x:f>--((B816^2/$B$4^2+C816^2/$B$5^2+D816^2/$B$6^2)&lt;=1)</x:f>
        <x:v>1</x:v>
      </x:c>
      <x:c r="F816" s="42" t="n">
        <x:f>$B$8*SUM($E$18:E816)/A816</x:f>
        <x:v>99.96495619524406</x:v>
      </x:c>
      <x:c r="G816" s="42" t="n">
        <x:f>$B$11</x:f>
        <x:v>100.53096491487338</x:v>
      </x:c>
      <x:c r="I816" t="n">
        <x:f>A816</x:f>
        <x:v>799</x:v>
      </x:c>
      <x:c r="J816" t="n">
        <x:f>F816</x:f>
        <x:v>99.96495619524406</x:v>
      </x:c>
      <x:c r="K816" t="n">
        <x:f>G816</x:f>
        <x:v>100.53096491487338</x:v>
      </x:c>
    </x:row>
    <x:row r="817">
      <x:c r="A817" t="n">
        <x:v>800</x:v>
      </x:c>
      <x:c r="B817" s="40" t="n">
        <x:v>0.8323649427343516</x:v>
      </x:c>
      <x:c r="C817" s="40" t="n">
        <x:v>1.6223722990879619</x:v>
      </x:c>
      <x:c r="D817" s="40" t="n">
        <x:v>2.064014121066772</x:v>
      </x:c>
      <x:c r="E817" t="n">
        <x:f>--((B817^2/$B$4^2+C817^2/$B$5^2+D817^2/$B$6^2)&lt;=1)</x:f>
        <x:v>1</x:v>
      </x:c>
      <x:c r="F817" s="42" t="n">
        <x:f>$B$8*SUM($E$18:E817)/A817</x:f>
        <x:v>100.08</x:v>
      </x:c>
      <x:c r="G817" s="42" t="n">
        <x:f>$B$11</x:f>
        <x:v>100.53096491487338</x:v>
      </x:c>
      <x:c r="I817" t="n">
        <x:f>A817</x:f>
        <x:v>800</x:v>
      </x:c>
      <x:c r="J817" t="n">
        <x:f>F817</x:f>
        <x:v>100.08</x:v>
      </x:c>
      <x:c r="K817" t="n">
        <x:f>G817</x:f>
        <x:v>100.53096491487338</x:v>
      </x:c>
    </x:row>
    <x:row r="818">
      <x:c r="A818" t="n">
        <x:v>801</x:v>
      </x:c>
      <x:c r="B818" s="40" t="n">
        <x:v>0.9543215458295307</x:v>
      </x:c>
      <x:c r="C818" s="40" t="n">
        <x:v>2.989370886707123</x:v>
      </x:c>
      <x:c r="D818" s="40" t="n">
        <x:v>-0.5051839396978055</x:v>
      </x:c>
      <x:c r="E818" t="n">
        <x:f>--((B818^2/$B$4^2+C818^2/$B$5^2+D818^2/$B$6^2)&lt;=1)</x:f>
        <x:v>0</x:v>
      </x:c>
      <x:c r="F818" s="42" t="n">
        <x:f>$B$8*SUM($E$18:E818)/A818</x:f>
        <x:v>99.95505617977528</x:v>
      </x:c>
      <x:c r="G818" s="42" t="n">
        <x:f>$B$11</x:f>
        <x:v>100.53096491487338</x:v>
      </x:c>
      <x:c r="I818" t="n">
        <x:f>A818</x:f>
        <x:v>801</x:v>
      </x:c>
      <x:c r="J818" t="n">
        <x:f>F818</x:f>
        <x:v>99.95505617977528</x:v>
      </x:c>
      <x:c r="K818" t="n">
        <x:f>G818</x:f>
        <x:v>100.53096491487338</x:v>
      </x:c>
    </x:row>
    <x:row r="819">
      <x:c r="A819" t="n">
        <x:v>802</x:v>
      </x:c>
      <x:c r="B819" s="40" t="n">
        <x:v>-0.731387315480085</x:v>
      </x:c>
      <x:c r="C819" s="40" t="n">
        <x:v>-0.0452224979974023</x:v>
      </x:c>
      <x:c r="D819" s="40" t="n">
        <x:v>-2.3301849325043156</x:v>
      </x:c>
      <x:c r="E819" t="n">
        <x:f>--((B819^2/$B$4^2+C819^2/$B$5^2+D819^2/$B$6^2)&lt;=1)</x:f>
        <x:v>1</x:v>
      </x:c>
      <x:c r="F819" s="42" t="n">
        <x:f>$B$8*SUM($E$18:E819)/A819</x:f>
        <x:v>100.06982543640898</x:v>
      </x:c>
      <x:c r="G819" s="42" t="n">
        <x:f>$B$11</x:f>
        <x:v>100.53096491487338</x:v>
      </x:c>
      <x:c r="I819" t="n">
        <x:f>A819</x:f>
        <x:v>802</x:v>
      </x:c>
      <x:c r="J819" t="n">
        <x:f>F819</x:f>
        <x:v>100.06982543640898</x:v>
      </x:c>
      <x:c r="K819" t="n">
        <x:f>G819</x:f>
        <x:v>100.53096491487338</x:v>
      </x:c>
    </x:row>
    <x:row r="820">
      <x:c r="A820" t="n">
        <x:v>803</x:v>
      </x:c>
      <x:c r="B820" s="40" t="n">
        <x:v>1.560077828470782</x:v>
      </x:c>
      <x:c r="C820" s="40" t="n">
        <x:v>-2.6321756053593464</x:v>
      </x:c>
      <x:c r="D820" s="40" t="n">
        <x:v>-3.631480799182471</x:v>
      </x:c>
      <x:c r="E820" t="n">
        <x:f>--((B820^2/$B$4^2+C820^2/$B$5^2+D820^2/$B$6^2)&lt;=1)</x:f>
        <x:v>0</x:v>
      </x:c>
      <x:c r="F820" s="42" t="n">
        <x:f>$B$8*SUM($E$18:E820)/A820</x:f>
        <x:v>99.94520547945206</x:v>
      </x:c>
      <x:c r="G820" s="42" t="n">
        <x:f>$B$11</x:f>
        <x:v>100.53096491487338</x:v>
      </x:c>
      <x:c r="I820" t="n">
        <x:f>A820</x:f>
        <x:v>803</x:v>
      </x:c>
      <x:c r="J820" t="n">
        <x:f>F820</x:f>
        <x:v>99.94520547945206</x:v>
      </x:c>
      <x:c r="K820" t="n">
        <x:f>G820</x:f>
        <x:v>100.53096491487338</x:v>
      </x:c>
    </x:row>
    <x:row r="821">
      <x:c r="A821" t="n">
        <x:v>804</x:v>
      </x:c>
      <x:c r="B821" s="40" t="n">
        <x:v>0.37532219211379036</x:v>
      </x:c>
      <x:c r="C821" s="40" t="n">
        <x:v>0.5751477043859117</x:v>
      </x:c>
      <x:c r="D821" s="40" t="n">
        <x:v>-0.29895744413815173</x:v>
      </x:c>
      <x:c r="E821" t="n">
        <x:f>--((B821^2/$B$4^2+C821^2/$B$5^2+D821^2/$B$6^2)&lt;=1)</x:f>
        <x:v>1</x:v>
      </x:c>
      <x:c r="F821" s="42" t="n">
        <x:f>$B$8*SUM($E$18:E821)/A821</x:f>
        <x:v>100.05970149253731</x:v>
      </x:c>
      <x:c r="G821" s="42" t="n">
        <x:f>$B$11</x:f>
        <x:v>100.53096491487338</x:v>
      </x:c>
      <x:c r="I821" t="n">
        <x:f>A821</x:f>
        <x:v>804</x:v>
      </x:c>
      <x:c r="J821" t="n">
        <x:f>F821</x:f>
        <x:v>100.05970149253731</x:v>
      </x:c>
      <x:c r="K821" t="n">
        <x:f>G821</x:f>
        <x:v>100.53096491487338</x:v>
      </x:c>
    </x:row>
    <x:row r="822">
      <x:c r="A822" t="n">
        <x:v>805</x:v>
      </x:c>
      <x:c r="B822" s="40" t="n">
        <x:v>-1.495894633013494</x:v>
      </x:c>
      <x:c r="C822" s="40" t="n">
        <x:v>-2.2858551001069882</x:v>
      </x:c>
      <x:c r="D822" s="40" t="n">
        <x:v>2.5182027881455333</x:v>
      </x:c>
      <x:c r="E822" t="n">
        <x:f>--((B822^2/$B$4^2+C822^2/$B$5^2+D822^2/$B$6^2)&lt;=1)</x:f>
        <x:v>0</x:v>
      </x:c>
      <x:c r="F822" s="42" t="n">
        <x:f>$B$8*SUM($E$18:E822)/A822</x:f>
        <x:v>99.93540372670807</x:v>
      </x:c>
      <x:c r="G822" s="42" t="n">
        <x:f>$B$11</x:f>
        <x:v>100.53096491487338</x:v>
      </x:c>
      <x:c r="I822" t="n">
        <x:f>A822</x:f>
        <x:v>805</x:v>
      </x:c>
      <x:c r="J822" t="n">
        <x:f>F822</x:f>
        <x:v>99.93540372670807</x:v>
      </x:c>
      <x:c r="K822" t="n">
        <x:f>G822</x:f>
        <x:v>100.53096491487338</x:v>
      </x:c>
    </x:row>
    <x:row r="823">
      <x:c r="A823" t="n">
        <x:v>806</x:v>
      </x:c>
      <x:c r="B823" s="40" t="n">
        <x:v>-1.4251253541778635</x:v>
      </x:c>
      <x:c r="C823" s="40" t="n">
        <x:v>-1.5314097386633396</x:v>
      </x:c>
      <x:c r="D823" s="40" t="n">
        <x:v>1.83745594875451</x:v>
      </x:c>
      <x:c r="E823" t="n">
        <x:f>--((B823^2/$B$4^2+C823^2/$B$5^2+D823^2/$B$6^2)&lt;=1)</x:f>
        <x:v>1</x:v>
      </x:c>
      <x:c r="F823" s="42" t="n">
        <x:f>$B$8*SUM($E$18:E823)/A823</x:f>
        <x:v>100.04962779156328</x:v>
      </x:c>
      <x:c r="G823" s="42" t="n">
        <x:f>$B$11</x:f>
        <x:v>100.53096491487338</x:v>
      </x:c>
      <x:c r="I823" t="n">
        <x:f>A823</x:f>
        <x:v>806</x:v>
      </x:c>
      <x:c r="J823" t="n">
        <x:f>F823</x:f>
        <x:v>100.04962779156328</x:v>
      </x:c>
      <x:c r="K823" t="n">
        <x:f>G823</x:f>
        <x:v>100.53096491487338</x:v>
      </x:c>
    </x:row>
    <x:row r="824">
      <x:c r="A824" t="n">
        <x:v>807</x:v>
      </x:c>
      <x:c r="B824" s="40" t="n">
        <x:v>0.772381707718806</x:v>
      </x:c>
      <x:c r="C824" s="40" t="n">
        <x:v>-1.0273205321655765</x:v>
      </x:c>
      <x:c r="D824" s="40" t="n">
        <x:v>-0.7311938589819977</x:v>
      </x:c>
      <x:c r="E824" t="n">
        <x:f>--((B824^2/$B$4^2+C824^2/$B$5^2+D824^2/$B$6^2)&lt;=1)</x:f>
        <x:v>1</x:v>
      </x:c>
      <x:c r="F824" s="42" t="n">
        <x:f>$B$8*SUM($E$18:E824)/A824</x:f>
        <x:v>100.1635687732342</x:v>
      </x:c>
      <x:c r="G824" s="42" t="n">
        <x:f>$B$11</x:f>
        <x:v>100.53096491487338</x:v>
      </x:c>
      <x:c r="I824" t="n">
        <x:f>A824</x:f>
        <x:v>807</x:v>
      </x:c>
      <x:c r="J824" t="n">
        <x:f>F824</x:f>
        <x:v>100.1635687732342</x:v>
      </x:c>
      <x:c r="K824" t="n">
        <x:f>G824</x:f>
        <x:v>100.53096491487338</x:v>
      </x:c>
    </x:row>
    <x:row r="825">
      <x:c r="A825" t="n">
        <x:v>808</x:v>
      </x:c>
      <x:c r="B825" s="40" t="n">
        <x:v>-1.3082242542316878</x:v>
      </x:c>
      <x:c r="C825" s="40" t="n">
        <x:v>1.3861792388904632</x:v>
      </x:c>
      <x:c r="D825" s="40" t="n">
        <x:v>0.7576213753408023</x:v>
      </x:c>
      <x:c r="E825" t="n">
        <x:f>--((B825^2/$B$4^2+C825^2/$B$5^2+D825^2/$B$6^2)&lt;=1)</x:f>
        <x:v>1</x:v>
      </x:c>
      <x:c r="F825" s="42" t="n">
        <x:f>$B$8*SUM($E$18:E825)/A825</x:f>
        <x:v>100.27722772277228</x:v>
      </x:c>
      <x:c r="G825" s="42" t="n">
        <x:f>$B$11</x:f>
        <x:v>100.53096491487338</x:v>
      </x:c>
      <x:c r="I825" t="n">
        <x:f>A825</x:f>
        <x:v>808</x:v>
      </x:c>
      <x:c r="J825" t="n">
        <x:f>F825</x:f>
        <x:v>100.27722772277228</x:v>
      </x:c>
      <x:c r="K825" t="n">
        <x:f>G825</x:f>
        <x:v>100.53096491487338</x:v>
      </x:c>
    </x:row>
    <x:row r="826">
      <x:c r="A826" t="n">
        <x:v>809</x:v>
      </x:c>
      <x:c r="B826" s="40" t="n">
        <x:v>0.02917080632817326</x:v>
      </x:c>
      <x:c r="C826" s="40" t="n">
        <x:v>-1.8971512567289968</x:v>
      </x:c>
      <x:c r="D826" s="40" t="n">
        <x:v>-0.510027832430259</x:v>
      </x:c>
      <x:c r="E826" t="n">
        <x:f>--((B826^2/$B$4^2+C826^2/$B$5^2+D826^2/$B$6^2)&lt;=1)</x:f>
        <x:v>1</x:v>
      </x:c>
      <x:c r="F826" s="42" t="n">
        <x:f>$B$8*SUM($E$18:E826)/A826</x:f>
        <x:v>100.39060568603213</x:v>
      </x:c>
      <x:c r="G826" s="42" t="n">
        <x:f>$B$11</x:f>
        <x:v>100.53096491487338</x:v>
      </x:c>
      <x:c r="I826" t="n">
        <x:f>A826</x:f>
        <x:v>809</x:v>
      </x:c>
      <x:c r="J826" t="n">
        <x:f>F826</x:f>
        <x:v>100.39060568603213</x:v>
      </x:c>
      <x:c r="K826" t="n">
        <x:f>G826</x:f>
        <x:v>100.53096491487338</x:v>
      </x:c>
    </x:row>
    <x:row r="827">
      <x:c r="A827" t="n">
        <x:v>810</x:v>
      </x:c>
      <x:c r="B827" s="40" t="n">
        <x:v>1.9670979037148428</x:v>
      </x:c>
      <x:c r="C827" s="40" t="n">
        <x:v>-2.0054823189458846</x:v>
      </x:c>
      <x:c r="D827" s="40" t="n">
        <x:v>0.6321288783214225</x:v>
      </x:c>
      <x:c r="E827" t="n">
        <x:f>--((B827^2/$B$4^2+C827^2/$B$5^2+D827^2/$B$6^2)&lt;=1)</x:f>
        <x:v>0</x:v>
      </x:c>
      <x:c r="F827" s="42" t="n">
        <x:f>$B$8*SUM($E$18:E827)/A827</x:f>
        <x:v>100.26666666666667</x:v>
      </x:c>
      <x:c r="G827" s="42" t="n">
        <x:f>$B$11</x:f>
        <x:v>100.53096491487338</x:v>
      </x:c>
      <x:c r="I827" t="n">
        <x:f>A827</x:f>
        <x:v>810</x:v>
      </x:c>
      <x:c r="J827" t="n">
        <x:f>F827</x:f>
        <x:v>100.26666666666667</x:v>
      </x:c>
      <x:c r="K827" t="n">
        <x:f>G827</x:f>
        <x:v>100.53096491487338</x:v>
      </x:c>
    </x:row>
    <x:row r="828">
      <x:c r="A828" t="n">
        <x:v>811</x:v>
      </x:c>
      <x:c r="B828" s="40" t="n">
        <x:v>-1.983969581066642</x:v>
      </x:c>
      <x:c r="C828" s="40" t="n">
        <x:v>-2.730214545007035</x:v>
      </x:c>
      <x:c r="D828" s="40" t="n">
        <x:v>0.14004195514839335</x:v>
      </x:c>
      <x:c r="E828" t="n">
        <x:f>--((B828^2/$B$4^2+C828^2/$B$5^2+D828^2/$B$6^2)&lt;=1)</x:f>
        <x:v>0</x:v>
      </x:c>
      <x:c r="F828" s="42" t="n">
        <x:f>$B$8*SUM($E$18:E828)/A828</x:f>
        <x:v>100.1430332922318</x:v>
      </x:c>
      <x:c r="G828" s="42" t="n">
        <x:f>$B$11</x:f>
        <x:v>100.53096491487338</x:v>
      </x:c>
      <x:c r="I828" t="n">
        <x:f>A828</x:f>
        <x:v>811</x:v>
      </x:c>
      <x:c r="J828" t="n">
        <x:f>F828</x:f>
        <x:v>100.1430332922318</x:v>
      </x:c>
      <x:c r="K828" t="n">
        <x:f>G828</x:f>
        <x:v>100.53096491487338</x:v>
      </x:c>
    </x:row>
    <x:row r="829">
      <x:c r="A829" t="n">
        <x:v>812</x:v>
      </x:c>
      <x:c r="B829" s="40" t="n">
        <x:v>-1.9336807924097723</x:v>
      </x:c>
      <x:c r="C829" s="40" t="n">
        <x:v>2.239439618123285</x:v>
      </x:c>
      <x:c r="D829" s="40" t="n">
        <x:v>1.4477328010012718</x:v>
      </x:c>
      <x:c r="E829" t="n">
        <x:f>--((B829^2/$B$4^2+C829^2/$B$5^2+D829^2/$B$6^2)&lt;=1)</x:f>
        <x:v>0</x:v>
      </x:c>
      <x:c r="F829" s="42" t="n">
        <x:f>$B$8*SUM($E$18:E829)/A829</x:f>
        <x:v>100.01970443349754</x:v>
      </x:c>
      <x:c r="G829" s="42" t="n">
        <x:f>$B$11</x:f>
        <x:v>100.53096491487338</x:v>
      </x:c>
      <x:c r="I829" t="n">
        <x:f>A829</x:f>
        <x:v>812</x:v>
      </x:c>
      <x:c r="J829" t="n">
        <x:f>F829</x:f>
        <x:v>100.01970443349754</x:v>
      </x:c>
      <x:c r="K829" t="n">
        <x:f>G829</x:f>
        <x:v>100.53096491487338</x:v>
      </x:c>
    </x:row>
    <x:row r="830">
      <x:c r="A830" t="n">
        <x:v>813</x:v>
      </x:c>
      <x:c r="B830" s="40" t="n">
        <x:v>1.972338327722026</x:v>
      </x:c>
      <x:c r="C830" s="40" t="n">
        <x:v>1.1610325461363642</x:v>
      </x:c>
      <x:c r="D830" s="40" t="n">
        <x:v>0.06167074826499164</x:v>
      </x:c>
      <x:c r="E830" t="n">
        <x:f>--((B830^2/$B$4^2+C830^2/$B$5^2+D830^2/$B$6^2)&lt;=1)</x:f>
        <x:v>0</x:v>
      </x:c>
      <x:c r="F830" s="42" t="n">
        <x:f>$B$8*SUM($E$18:E830)/A830</x:f>
        <x:v>99.89667896678966</x:v>
      </x:c>
      <x:c r="G830" s="42" t="n">
        <x:f>$B$11</x:f>
        <x:v>100.53096491487338</x:v>
      </x:c>
      <x:c r="I830" t="n">
        <x:f>A830</x:f>
        <x:v>813</x:v>
      </x:c>
      <x:c r="J830" t="n">
        <x:f>F830</x:f>
        <x:v>99.89667896678966</x:v>
      </x:c>
      <x:c r="K830" t="n">
        <x:f>G830</x:f>
        <x:v>100.53096491487338</x:v>
      </x:c>
    </x:row>
    <x:row r="831">
      <x:c r="A831" t="n">
        <x:v>814</x:v>
      </x:c>
      <x:c r="B831" s="40" t="n">
        <x:v>0.33855533653666203</x:v>
      </x:c>
      <x:c r="C831" s="40" t="n">
        <x:v>-2.760321206294241</x:v>
      </x:c>
      <x:c r="D831" s="40" t="n">
        <x:v>3.5248879853404684</x:v>
      </x:c>
      <x:c r="E831" t="n">
        <x:f>--((B831^2/$B$4^2+C831^2/$B$5^2+D831^2/$B$6^2)&lt;=1)</x:f>
        <x:v>0</x:v>
      </x:c>
      <x:c r="F831" s="42" t="n">
        <x:f>$B$8*SUM($E$18:E831)/A831</x:f>
        <x:v>99.77395577395578</x:v>
      </x:c>
      <x:c r="G831" s="42" t="n">
        <x:f>$B$11</x:f>
        <x:v>100.53096491487338</x:v>
      </x:c>
      <x:c r="I831" t="n">
        <x:f>A831</x:f>
        <x:v>814</x:v>
      </x:c>
      <x:c r="J831" t="n">
        <x:f>F831</x:f>
        <x:v>99.77395577395578</x:v>
      </x:c>
      <x:c r="K831" t="n">
        <x:f>G831</x:f>
        <x:v>100.53096491487338</x:v>
      </x:c>
    </x:row>
    <x:row r="832">
      <x:c r="A832" t="n">
        <x:v>815</x:v>
      </x:c>
      <x:c r="B832" s="40" t="n">
        <x:v>-1.4923600979259475</x:v>
      </x:c>
      <x:c r="C832" s="40" t="n">
        <x:v>-2.8302461661713125</x:v>
      </x:c>
      <x:c r="D832" s="40" t="n">
        <x:v>-0.5757745473465103</x:v>
      </x:c>
      <x:c r="E832" t="n">
        <x:f>--((B832^2/$B$4^2+C832^2/$B$5^2+D832^2/$B$6^2)&lt;=1)</x:f>
        <x:v>0</x:v>
      </x:c>
      <x:c r="F832" s="42" t="n">
        <x:f>$B$8*SUM($E$18:E832)/A832</x:f>
        <x:v>99.65153374233128</x:v>
      </x:c>
      <x:c r="G832" s="42" t="n">
        <x:f>$B$11</x:f>
        <x:v>100.53096491487338</x:v>
      </x:c>
      <x:c r="I832" t="n">
        <x:f>A832</x:f>
        <x:v>815</x:v>
      </x:c>
      <x:c r="J832" t="n">
        <x:f>F832</x:f>
        <x:v>99.65153374233128</x:v>
      </x:c>
      <x:c r="K832" t="n">
        <x:f>G832</x:f>
        <x:v>100.53096491487338</x:v>
      </x:c>
    </x:row>
    <x:row r="833">
      <x:c r="A833" t="n">
        <x:v>816</x:v>
      </x:c>
      <x:c r="B833" s="40" t="n">
        <x:v>1.5892087990163746</x:v>
      </x:c>
      <x:c r="C833" s="40" t="n">
        <x:v>0.3520457788503366</x:v>
      </x:c>
      <x:c r="D833" s="40" t="n">
        <x:v>-3.8726695756823126</x:v>
      </x:c>
      <x:c r="E833" t="n">
        <x:f>--((B833^2/$B$4^2+C833^2/$B$5^2+D833^2/$B$6^2)&lt;=1)</x:f>
        <x:v>0</x:v>
      </x:c>
      <x:c r="F833" s="42" t="n">
        <x:f>$B$8*SUM($E$18:E833)/A833</x:f>
        <x:v>99.52941176470588</x:v>
      </x:c>
      <x:c r="G833" s="42" t="n">
        <x:f>$B$11</x:f>
        <x:v>100.53096491487338</x:v>
      </x:c>
      <x:c r="I833" t="n">
        <x:f>A833</x:f>
        <x:v>816</x:v>
      </x:c>
      <x:c r="J833" t="n">
        <x:f>F833</x:f>
        <x:v>99.52941176470588</x:v>
      </x:c>
      <x:c r="K833" t="n">
        <x:f>G833</x:f>
        <x:v>100.53096491487338</x:v>
      </x:c>
    </x:row>
    <x:row r="834">
      <x:c r="A834" t="n">
        <x:v>817</x:v>
      </x:c>
      <x:c r="B834" s="40" t="n">
        <x:v>1.5215212005107688</x:v>
      </x:c>
      <x:c r="C834" s="40" t="n">
        <x:v>-1.3047935922797338</x:v>
      </x:c>
      <x:c r="D834" s="40" t="n">
        <x:v>-2.1090117167281237</x:v>
      </x:c>
      <x:c r="E834" t="n">
        <x:f>--((B834^2/$B$4^2+C834^2/$B$5^2+D834^2/$B$6^2)&lt;=1)</x:f>
        <x:v>0</x:v>
      </x:c>
      <x:c r="F834" s="42" t="n">
        <x:f>$B$8*SUM($E$18:E834)/A834</x:f>
        <x:v>99.40758873929009</x:v>
      </x:c>
      <x:c r="G834" s="42" t="n">
        <x:f>$B$11</x:f>
        <x:v>100.53096491487338</x:v>
      </x:c>
      <x:c r="I834" t="n">
        <x:f>A834</x:f>
        <x:v>817</x:v>
      </x:c>
      <x:c r="J834" t="n">
        <x:f>F834</x:f>
        <x:v>99.40758873929009</x:v>
      </x:c>
      <x:c r="K834" t="n">
        <x:f>G834</x:f>
        <x:v>100.53096491487338</x:v>
      </x:c>
    </x:row>
    <x:row r="835">
      <x:c r="A835" t="n">
        <x:v>818</x:v>
      </x:c>
      <x:c r="B835" s="40" t="n">
        <x:v>0.14480165244550092</x:v>
      </x:c>
      <x:c r="C835" s="40" t="n">
        <x:v>0.5803581025915729</x:v>
      </x:c>
      <x:c r="D835" s="40" t="n">
        <x:v>0.004854864853247598</x:v>
      </x:c>
      <x:c r="E835" t="n">
        <x:f>--((B835^2/$B$4^2+C835^2/$B$5^2+D835^2/$B$6^2)&lt;=1)</x:f>
        <x:v>1</x:v>
      </x:c>
      <x:c r="F835" s="42" t="n">
        <x:f>$B$8*SUM($E$18:E835)/A835</x:f>
        <x:v>99.52078239608802</x:v>
      </x:c>
      <x:c r="G835" s="42" t="n">
        <x:f>$B$11</x:f>
        <x:v>100.53096491487338</x:v>
      </x:c>
      <x:c r="I835" t="n">
        <x:f>A835</x:f>
        <x:v>818</x:v>
      </x:c>
      <x:c r="J835" t="n">
        <x:f>F835</x:f>
        <x:v>99.52078239608802</x:v>
      </x:c>
      <x:c r="K835" t="n">
        <x:f>G835</x:f>
        <x:v>100.53096491487338</x:v>
      </x:c>
    </x:row>
    <x:row r="836">
      <x:c r="A836" t="n">
        <x:v>819</x:v>
      </x:c>
      <x:c r="B836" s="40" t="n">
        <x:v>0.4871681194430262</x:v>
      </x:c>
      <x:c r="C836" s="40" t="n">
        <x:v>-0.3923749459142081</x:v>
      </x:c>
      <x:c r="D836" s="40" t="n">
        <x:v>0.32457481510929576</x:v>
      </x:c>
      <x:c r="E836" t="n">
        <x:f>--((B836^2/$B$4^2+C836^2/$B$5^2+D836^2/$B$6^2)&lt;=1)</x:f>
        <x:v>1</x:v>
      </x:c>
      <x:c r="F836" s="42" t="n">
        <x:f>$B$8*SUM($E$18:E836)/A836</x:f>
        <x:v>99.63369963369964</x:v>
      </x:c>
      <x:c r="G836" s="42" t="n">
        <x:f>$B$11</x:f>
        <x:v>100.53096491487338</x:v>
      </x:c>
      <x:c r="I836" t="n">
        <x:f>A836</x:f>
        <x:v>819</x:v>
      </x:c>
      <x:c r="J836" t="n">
        <x:f>F836</x:f>
        <x:v>99.63369963369964</x:v>
      </x:c>
      <x:c r="K836" t="n">
        <x:f>G836</x:f>
        <x:v>100.53096491487338</x:v>
      </x:c>
    </x:row>
    <x:row r="837">
      <x:c r="A837" t="n">
        <x:v>820</x:v>
      </x:c>
      <x:c r="B837" s="40" t="n">
        <x:v>-0.9072512339964947</x:v>
      </x:c>
      <x:c r="C837" s="40" t="n">
        <x:v>2.539875373861528</x:v>
      </x:c>
      <x:c r="D837" s="40" t="n">
        <x:v>0.41907831449642785</x:v>
      </x:c>
      <x:c r="E837" t="n">
        <x:f>--((B837^2/$B$4^2+C837^2/$B$5^2+D837^2/$B$6^2)&lt;=1)</x:f>
        <x:v>1</x:v>
      </x:c>
      <x:c r="F837" s="42" t="n">
        <x:f>$B$8*SUM($E$18:E837)/A837</x:f>
        <x:v>99.74634146341464</x:v>
      </x:c>
      <x:c r="G837" s="42" t="n">
        <x:f>$B$11</x:f>
        <x:v>100.53096491487338</x:v>
      </x:c>
      <x:c r="I837" t="n">
        <x:f>A837</x:f>
        <x:v>820</x:v>
      </x:c>
      <x:c r="J837" t="n">
        <x:f>F837</x:f>
        <x:v>99.74634146341464</x:v>
      </x:c>
      <x:c r="K837" t="n">
        <x:f>G837</x:f>
        <x:v>100.53096491487338</x:v>
      </x:c>
    </x:row>
    <x:row r="838">
      <x:c r="A838" t="n">
        <x:v>821</x:v>
      </x:c>
      <x:c r="B838" s="40" t="n">
        <x:v>-1.7979212145119794</x:v>
      </x:c>
      <x:c r="C838" s="40" t="n">
        <x:v>-1.2731459102317926</x:v>
      </x:c>
      <x:c r="D838" s="40" t="n">
        <x:v>1.7164167861606572</x:v>
      </x:c>
      <x:c r="E838" t="n">
        <x:f>--((B838^2/$B$4^2+C838^2/$B$5^2+D838^2/$B$6^2)&lt;=1)</x:f>
        <x:v>0</x:v>
      </x:c>
      <x:c r="F838" s="42" t="n">
        <x:f>$B$8*SUM($E$18:E838)/A838</x:f>
        <x:v>99.62484774665043</x:v>
      </x:c>
      <x:c r="G838" s="42" t="n">
        <x:f>$B$11</x:f>
        <x:v>100.53096491487338</x:v>
      </x:c>
      <x:c r="I838" t="n">
        <x:f>A838</x:f>
        <x:v>821</x:v>
      </x:c>
      <x:c r="J838" t="n">
        <x:f>F838</x:f>
        <x:v>99.62484774665043</x:v>
      </x:c>
      <x:c r="K838" t="n">
        <x:f>G838</x:f>
        <x:v>100.53096491487338</x:v>
      </x:c>
    </x:row>
    <x:row r="839">
      <x:c r="A839" t="n">
        <x:v>822</x:v>
      </x:c>
      <x:c r="B839" s="40" t="n">
        <x:v>0.3782704355634574</x:v>
      </x:c>
      <x:c r="C839" s="40" t="n">
        <x:v>1.0748722106333606</x:v>
      </x:c>
      <x:c r="D839" s="40" t="n">
        <x:v>-1.8028148590597768</x:v>
      </x:c>
      <x:c r="E839" t="n">
        <x:f>--((B839^2/$B$4^2+C839^2/$B$5^2+D839^2/$B$6^2)&lt;=1)</x:f>
        <x:v>1</x:v>
      </x:c>
      <x:c r="F839" s="42" t="n">
        <x:f>$B$8*SUM($E$18:E839)/A839</x:f>
        <x:v>99.73722627737226</x:v>
      </x:c>
      <x:c r="G839" s="42" t="n">
        <x:f>$B$11</x:f>
        <x:v>100.53096491487338</x:v>
      </x:c>
      <x:c r="I839" t="n">
        <x:f>A839</x:f>
        <x:v>822</x:v>
      </x:c>
      <x:c r="J839" t="n">
        <x:f>F839</x:f>
        <x:v>99.73722627737226</x:v>
      </x:c>
      <x:c r="K839" t="n">
        <x:f>G839</x:f>
        <x:v>100.53096491487338</x:v>
      </x:c>
    </x:row>
    <x:row r="840">
      <x:c r="A840" t="n">
        <x:v>823</x:v>
      </x:c>
      <x:c r="B840" s="40" t="n">
        <x:v>-0.820979227188948</x:v>
      </x:c>
      <x:c r="C840" s="40" t="n">
        <x:v>-2.675674130288405</x:v>
      </x:c>
      <x:c r="D840" s="40" t="n">
        <x:v>1.3192294323318174</x:v>
      </x:c>
      <x:c r="E840" t="n">
        <x:f>--((B840^2/$B$4^2+C840^2/$B$5^2+D840^2/$B$6^2)&lt;=1)</x:f>
        <x:v>0</x:v>
      </x:c>
      <x:c r="F840" s="42" t="n">
        <x:f>$B$8*SUM($E$18:E840)/A840</x:f>
        <x:v>99.61603888213851</x:v>
      </x:c>
      <x:c r="G840" s="42" t="n">
        <x:f>$B$11</x:f>
        <x:v>100.53096491487338</x:v>
      </x:c>
      <x:c r="I840" t="n">
        <x:f>A840</x:f>
        <x:v>823</x:v>
      </x:c>
      <x:c r="J840" t="n">
        <x:f>F840</x:f>
        <x:v>99.61603888213851</x:v>
      </x:c>
      <x:c r="K840" t="n">
        <x:f>G840</x:f>
        <x:v>100.53096491487338</x:v>
      </x:c>
    </x:row>
    <x:row r="841">
      <x:c r="A841" t="n">
        <x:v>824</x:v>
      </x:c>
      <x:c r="B841" s="40" t="n">
        <x:v>0.6544841866414077</x:v>
      </x:c>
      <x:c r="C841" s="40" t="n">
        <x:v>2.735163205133552</x:v>
      </x:c>
      <x:c r="D841" s="40" t="n">
        <x:v>1.6322581849537023</x:v>
      </x:c>
      <x:c r="E841" t="n">
        <x:f>--((B841^2/$B$4^2+C841^2/$B$5^2+D841^2/$B$6^2)&lt;=1)</x:f>
        <x:v>0</x:v>
      </x:c>
      <x:c r="F841" s="42" t="n">
        <x:f>$B$8*SUM($E$18:E841)/A841</x:f>
        <x:v>99.49514563106796</x:v>
      </x:c>
      <x:c r="G841" s="42" t="n">
        <x:f>$B$11</x:f>
        <x:v>100.53096491487338</x:v>
      </x:c>
      <x:c r="I841" t="n">
        <x:f>A841</x:f>
        <x:v>824</x:v>
      </x:c>
      <x:c r="J841" t="n">
        <x:f>F841</x:f>
        <x:v>99.49514563106796</x:v>
      </x:c>
      <x:c r="K841" t="n">
        <x:f>G841</x:f>
        <x:v>100.53096491487338</x:v>
      </x:c>
    </x:row>
    <x:row r="842">
      <x:c r="A842" t="n">
        <x:v>825</x:v>
      </x:c>
      <x:c r="B842" s="40" t="n">
        <x:v>1.344980707370405</x:v>
      </x:c>
      <x:c r="C842" s="40" t="n">
        <x:v>2.884544807450113</x:v>
      </x:c>
      <x:c r="D842" s="40" t="n">
        <x:v>-0.7097539790333895</x:v>
      </x:c>
      <x:c r="E842" t="n">
        <x:f>--((B842^2/$B$4^2+C842^2/$B$5^2+D842^2/$B$6^2)&lt;=1)</x:f>
        <x:v>0</x:v>
      </x:c>
      <x:c r="F842" s="42" t="n">
        <x:f>$B$8*SUM($E$18:E842)/A842</x:f>
        <x:v>99.37454545454545</x:v>
      </x:c>
      <x:c r="G842" s="42" t="n">
        <x:f>$B$11</x:f>
        <x:v>100.53096491487338</x:v>
      </x:c>
      <x:c r="I842" t="n">
        <x:f>A842</x:f>
        <x:v>825</x:v>
      </x:c>
      <x:c r="J842" t="n">
        <x:f>F842</x:f>
        <x:v>99.37454545454545</x:v>
      </x:c>
      <x:c r="K842" t="n">
        <x:f>G842</x:f>
        <x:v>100.53096491487338</x:v>
      </x:c>
    </x:row>
    <x:row r="843">
      <x:c r="A843" t="n">
        <x:v>826</x:v>
      </x:c>
      <x:c r="B843" s="40" t="n">
        <x:v>-1.9273578243425438</x:v>
      </x:c>
      <x:c r="C843" s="40" t="n">
        <x:v>1.4344477740984747</x:v>
      </x:c>
      <x:c r="D843" s="40" t="n">
        <x:v>-0.7826472068294237</x:v>
      </x:c>
      <x:c r="E843" t="n">
        <x:f>--((B843^2/$B$4^2+C843^2/$B$5^2+D843^2/$B$6^2)&lt;=1)</x:f>
        <x:v>0</x:v>
      </x:c>
      <x:c r="F843" s="42" t="n">
        <x:f>$B$8*SUM($E$18:E843)/A843</x:f>
        <x:v>99.2542372881356</x:v>
      </x:c>
      <x:c r="G843" s="42" t="n">
        <x:f>$B$11</x:f>
        <x:v>100.53096491487338</x:v>
      </x:c>
      <x:c r="I843" t="n">
        <x:f>A843</x:f>
        <x:v>826</x:v>
      </x:c>
      <x:c r="J843" t="n">
        <x:f>F843</x:f>
        <x:v>99.2542372881356</x:v>
      </x:c>
      <x:c r="K843" t="n">
        <x:f>G843</x:f>
        <x:v>100.53096491487338</x:v>
      </x:c>
    </x:row>
    <x:row r="844">
      <x:c r="A844" t="n">
        <x:v>827</x:v>
      </x:c>
      <x:c r="B844" s="40" t="n">
        <x:v>0.38285509874290957</x:v>
      </x:c>
      <x:c r="C844" s="40" t="n">
        <x:v>-0.20872517061856133</x:v>
      </x:c>
      <x:c r="D844" s="40" t="n">
        <x:v>-2.568601714748402</x:v>
      </x:c>
      <x:c r="E844" t="n">
        <x:f>--((B844^2/$B$4^2+C844^2/$B$5^2+D844^2/$B$6^2)&lt;=1)</x:f>
        <x:v>1</x:v>
      </x:c>
      <x:c r="F844" s="42" t="n">
        <x:f>$B$8*SUM($E$18:E844)/A844</x:f>
        <x:v>99.36638452237001</x:v>
      </x:c>
      <x:c r="G844" s="42" t="n">
        <x:f>$B$11</x:f>
        <x:v>100.53096491487338</x:v>
      </x:c>
      <x:c r="I844" t="n">
        <x:f>A844</x:f>
        <x:v>827</x:v>
      </x:c>
      <x:c r="J844" t="n">
        <x:f>F844</x:f>
        <x:v>99.36638452237001</x:v>
      </x:c>
      <x:c r="K844" t="n">
        <x:f>G844</x:f>
        <x:v>100.53096491487338</x:v>
      </x:c>
    </x:row>
    <x:row r="845">
      <x:c r="A845" t="n">
        <x:v>828</x:v>
      </x:c>
      <x:c r="B845" s="40" t="n">
        <x:v>-1.074877841252591</x:v>
      </x:c>
      <x:c r="C845" s="40" t="n">
        <x:v>-1.680039364036432</x:v>
      </x:c>
      <x:c r="D845" s="40" t="n">
        <x:v>-0.6881009899570101</x:v>
      </x:c>
      <x:c r="E845" t="n">
        <x:f>--((B845^2/$B$4^2+C845^2/$B$5^2+D845^2/$B$6^2)&lt;=1)</x:f>
        <x:v>1</x:v>
      </x:c>
      <x:c r="F845" s="42" t="n">
        <x:f>$B$8*SUM($E$18:E845)/A845</x:f>
        <x:v>99.47826086956522</x:v>
      </x:c>
      <x:c r="G845" s="42" t="n">
        <x:f>$B$11</x:f>
        <x:v>100.53096491487338</x:v>
      </x:c>
      <x:c r="I845" t="n">
        <x:f>A845</x:f>
        <x:v>828</x:v>
      </x:c>
      <x:c r="J845" t="n">
        <x:f>F845</x:f>
        <x:v>99.47826086956522</x:v>
      </x:c>
      <x:c r="K845" t="n">
        <x:f>G845</x:f>
        <x:v>100.53096491487338</x:v>
      </x:c>
    </x:row>
    <x:row r="846">
      <x:c r="A846" t="n">
        <x:v>829</x:v>
      </x:c>
      <x:c r="B846" s="40" t="n">
        <x:v>1.4955539916152056</x:v>
      </x:c>
      <x:c r="C846" s="40" t="n">
        <x:v>1.8750980414877887</x:v>
      </x:c>
      <x:c r="D846" s="40" t="n">
        <x:v>2.294530333656099</x:v>
      </x:c>
      <x:c r="E846" t="n">
        <x:f>--((B846^2/$B$4^2+C846^2/$B$5^2+D846^2/$B$6^2)&lt;=1)</x:f>
        <x:v>0</x:v>
      </x:c>
      <x:c r="F846" s="42" t="n">
        <x:f>$B$8*SUM($E$18:E846)/A846</x:f>
        <x:v>99.35826296743063</x:v>
      </x:c>
      <x:c r="G846" s="42" t="n">
        <x:f>$B$11</x:f>
        <x:v>100.53096491487338</x:v>
      </x:c>
      <x:c r="I846" t="n">
        <x:f>A846</x:f>
        <x:v>829</x:v>
      </x:c>
      <x:c r="J846" t="n">
        <x:f>F846</x:f>
        <x:v>99.35826296743063</x:v>
      </x:c>
      <x:c r="K846" t="n">
        <x:f>G846</x:f>
        <x:v>100.53096491487338</x:v>
      </x:c>
    </x:row>
    <x:row r="847">
      <x:c r="A847" t="n">
        <x:v>830</x:v>
      </x:c>
      <x:c r="B847" s="40" t="n">
        <x:v>-0.9853419737526861</x:v>
      </x:c>
      <x:c r="C847" s="40" t="n">
        <x:v>1.4181245828821334</x:v>
      </x:c>
      <x:c r="D847" s="40" t="n">
        <x:v>3.2717840443990713</x:v>
      </x:c>
      <x:c r="E847" t="n">
        <x:f>--((B847^2/$B$4^2+C847^2/$B$5^2+D847^2/$B$6^2)&lt;=1)</x:f>
        <x:v>0</x:v>
      </x:c>
      <x:c r="F847" s="42" t="n">
        <x:f>$B$8*SUM($E$18:E847)/A847</x:f>
        <x:v>99.23855421686747</x:v>
      </x:c>
      <x:c r="G847" s="42" t="n">
        <x:f>$B$11</x:f>
        <x:v>100.53096491487338</x:v>
      </x:c>
      <x:c r="I847" t="n">
        <x:f>A847</x:f>
        <x:v>830</x:v>
      </x:c>
      <x:c r="J847" t="n">
        <x:f>F847</x:f>
        <x:v>99.23855421686747</x:v>
      </x:c>
      <x:c r="K847" t="n">
        <x:f>G847</x:f>
        <x:v>100.53096491487338</x:v>
      </x:c>
    </x:row>
    <x:row r="848">
      <x:c r="A848" t="n">
        <x:v>831</x:v>
      </x:c>
      <x:c r="B848" s="40" t="n">
        <x:v>0.44308053294167316</x:v>
      </x:c>
      <x:c r="C848" s="40" t="n">
        <x:v>-1.6682757626343057</x:v>
      </x:c>
      <x:c r="D848" s="40" t="n">
        <x:v>0.7489055305437233</x:v>
      </x:c>
      <x:c r="E848" t="n">
        <x:f>--((B848^2/$B$4^2+C848^2/$B$5^2+D848^2/$B$6^2)&lt;=1)</x:f>
        <x:v>1</x:v>
      </x:c>
      <x:c r="F848" s="42" t="n">
        <x:f>$B$8*SUM($E$18:E848)/A848</x:f>
        <x:v>99.35018050541517</x:v>
      </x:c>
      <x:c r="G848" s="42" t="n">
        <x:f>$B$11</x:f>
        <x:v>100.53096491487338</x:v>
      </x:c>
      <x:c r="I848" t="n">
        <x:f>A848</x:f>
        <x:v>831</x:v>
      </x:c>
      <x:c r="J848" t="n">
        <x:f>F848</x:f>
        <x:v>99.35018050541517</x:v>
      </x:c>
      <x:c r="K848" t="n">
        <x:f>G848</x:f>
        <x:v>100.53096491487338</x:v>
      </x:c>
    </x:row>
    <x:row r="849">
      <x:c r="A849" t="n">
        <x:v>832</x:v>
      </x:c>
      <x:c r="B849" s="40" t="n">
        <x:v>0.21416336035844585</x:v>
      </x:c>
      <x:c r="C849" s="40" t="n">
        <x:v>-0.29270823505640564</x:v>
      </x:c>
      <x:c r="D849" s="40" t="n">
        <x:v>-1.6050372531656096</x:v>
      </x:c>
      <x:c r="E849" t="n">
        <x:f>--((B849^2/$B$4^2+C849^2/$B$5^2+D849^2/$B$6^2)&lt;=1)</x:f>
        <x:v>1</x:v>
      </x:c>
      <x:c r="F849" s="42" t="n">
        <x:f>$B$8*SUM($E$18:E849)/A849</x:f>
        <x:v>99.46153846153847</x:v>
      </x:c>
      <x:c r="G849" s="42" t="n">
        <x:f>$B$11</x:f>
        <x:v>100.53096491487338</x:v>
      </x:c>
      <x:c r="I849" t="n">
        <x:f>A849</x:f>
        <x:v>832</x:v>
      </x:c>
      <x:c r="J849" t="n">
        <x:f>F849</x:f>
        <x:v>99.46153846153847</x:v>
      </x:c>
      <x:c r="K849" t="n">
        <x:f>G849</x:f>
        <x:v>100.53096491487338</x:v>
      </x:c>
    </x:row>
    <x:row r="850">
      <x:c r="A850" t="n">
        <x:v>833</x:v>
      </x:c>
      <x:c r="B850" s="40" t="n">
        <x:v>-0.41533399976300434</x:v>
      </x:c>
      <x:c r="C850" s="40" t="n">
        <x:v>-0.22320637309928948</x:v>
      </x:c>
      <x:c r="D850" s="40" t="n">
        <x:v>1.4583177492778514</x:v>
      </x:c>
      <x:c r="E850" t="n">
        <x:f>--((B850^2/$B$4^2+C850^2/$B$5^2+D850^2/$B$6^2)&lt;=1)</x:f>
        <x:v>1</x:v>
      </x:c>
      <x:c r="F850" s="42" t="n">
        <x:f>$B$8*SUM($E$18:E850)/A850</x:f>
        <x:v>99.57262905162065</x:v>
      </x:c>
      <x:c r="G850" s="42" t="n">
        <x:f>$B$11</x:f>
        <x:v>100.53096491487338</x:v>
      </x:c>
      <x:c r="I850" t="n">
        <x:f>A850</x:f>
        <x:v>833</x:v>
      </x:c>
      <x:c r="J850" t="n">
        <x:f>F850</x:f>
        <x:v>99.57262905162065</x:v>
      </x:c>
      <x:c r="K850" t="n">
        <x:f>G850</x:f>
        <x:v>100.53096491487338</x:v>
      </x:c>
    </x:row>
    <x:row r="851">
      <x:c r="A851" t="n">
        <x:v>834</x:v>
      </x:c>
      <x:c r="B851" s="40" t="n">
        <x:v>0.7104830543991763</x:v>
      </x:c>
      <x:c r="C851" s="40" t="n">
        <x:v>1.9584632998362546</x:v>
      </x:c>
      <x:c r="D851" s="40" t="n">
        <x:v>1.9211696695680311</x:v>
      </x:c>
      <x:c r="E851" t="n">
        <x:f>--((B851^2/$B$4^2+C851^2/$B$5^2+D851^2/$B$6^2)&lt;=1)</x:f>
        <x:v>1</x:v>
      </x:c>
      <x:c r="F851" s="42" t="n">
        <x:f>$B$8*SUM($E$18:E851)/A851</x:f>
        <x:v>99.68345323741008</x:v>
      </x:c>
      <x:c r="G851" s="42" t="n">
        <x:f>$B$11</x:f>
        <x:v>100.53096491487338</x:v>
      </x:c>
      <x:c r="I851" t="n">
        <x:f>A851</x:f>
        <x:v>834</x:v>
      </x:c>
      <x:c r="J851" t="n">
        <x:f>F851</x:f>
        <x:v>99.68345323741008</x:v>
      </x:c>
      <x:c r="K851" t="n">
        <x:f>G851</x:f>
        <x:v>100.53096491487338</x:v>
      </x:c>
    </x:row>
    <x:row r="852">
      <x:c r="A852" t="n">
        <x:v>835</x:v>
      </x:c>
      <x:c r="B852" s="40" t="n">
        <x:v>0.9030785388617355</x:v>
      </x:c>
      <x:c r="C852" s="40" t="n">
        <x:v>1.103068106004459</x:v>
      </x:c>
      <x:c r="D852" s="40" t="n">
        <x:v>-1.3422977697547012</x:v>
      </x:c>
      <x:c r="E852" t="n">
        <x:f>--((B852^2/$B$4^2+C852^2/$B$5^2+D852^2/$B$6^2)&lt;=1)</x:f>
        <x:v>1</x:v>
      </x:c>
      <x:c r="F852" s="42" t="n">
        <x:f>$B$8*SUM($E$18:E852)/A852</x:f>
        <x:v>99.7940119760479</x:v>
      </x:c>
      <x:c r="G852" s="42" t="n">
        <x:f>$B$11</x:f>
        <x:v>100.53096491487338</x:v>
      </x:c>
      <x:c r="I852" t="n">
        <x:f>A852</x:f>
        <x:v>835</x:v>
      </x:c>
      <x:c r="J852" t="n">
        <x:f>F852</x:f>
        <x:v>99.7940119760479</x:v>
      </x:c>
      <x:c r="K852" t="n">
        <x:f>G852</x:f>
        <x:v>100.53096491487338</x:v>
      </x:c>
    </x:row>
    <x:row r="853">
      <x:c r="A853" t="n">
        <x:v>836</x:v>
      </x:c>
      <x:c r="B853" s="40" t="n">
        <x:v>0.26775118127754727</x:v>
      </x:c>
      <x:c r="C853" s="40" t="n">
        <x:v>0.8590052612403305</x:v>
      </x:c>
      <x:c r="D853" s="40" t="n">
        <x:v>2.612382891916374</x:v>
      </x:c>
      <x:c r="E853" t="n">
        <x:f>--((B853^2/$B$4^2+C853^2/$B$5^2+D853^2/$B$6^2)&lt;=1)</x:f>
        <x:v>1</x:v>
      </x:c>
      <x:c r="F853" s="42" t="n">
        <x:f>$B$8*SUM($E$18:E853)/A853</x:f>
        <x:v>99.90430622009569</x:v>
      </x:c>
      <x:c r="G853" s="42" t="n">
        <x:f>$B$11</x:f>
        <x:v>100.53096491487338</x:v>
      </x:c>
      <x:c r="I853" t="n">
        <x:f>A853</x:f>
        <x:v>836</x:v>
      </x:c>
      <x:c r="J853" t="n">
        <x:f>F853</x:f>
        <x:v>99.90430622009569</x:v>
      </x:c>
      <x:c r="K853" t="n">
        <x:f>G853</x:f>
        <x:v>100.53096491487338</x:v>
      </x:c>
    </x:row>
    <x:row r="854">
      <x:c r="A854" t="n">
        <x:v>837</x:v>
      </x:c>
      <x:c r="B854" s="40" t="n">
        <x:v>1.0336889487390164</x:v>
      </x:c>
      <x:c r="C854" s="40" t="n">
        <x:v>0.8989645353796707</x:v>
      </x:c>
      <x:c r="D854" s="40" t="n">
        <x:v>-3.4104333428932794</x:v>
      </x:c>
      <x:c r="E854" t="n">
        <x:f>--((B854^2/$B$4^2+C854^2/$B$5^2+D854^2/$B$6^2)&lt;=1)</x:f>
        <x:v>0</x:v>
      </x:c>
      <x:c r="F854" s="42" t="n">
        <x:f>$B$8*SUM($E$18:E854)/A854</x:f>
        <x:v>99.78494623655914</x:v>
      </x:c>
      <x:c r="G854" s="42" t="n">
        <x:f>$B$11</x:f>
        <x:v>100.53096491487338</x:v>
      </x:c>
      <x:c r="I854" t="n">
        <x:f>A854</x:f>
        <x:v>837</x:v>
      </x:c>
      <x:c r="J854" t="n">
        <x:f>F854</x:f>
        <x:v>99.78494623655914</x:v>
      </x:c>
      <x:c r="K854" t="n">
        <x:f>G854</x:f>
        <x:v>100.53096491487338</x:v>
      </x:c>
    </x:row>
    <x:row r="855">
      <x:c r="A855" t="n">
        <x:v>838</x:v>
      </x:c>
      <x:c r="B855" s="40" t="n">
        <x:v>1.9336683039717504</x:v>
      </x:c>
      <x:c r="C855" s="40" t="n">
        <x:v>-1.3771795237051265</x:v>
      </x:c>
      <x:c r="D855" s="40" t="n">
        <x:v>-3.913970259199796</x:v>
      </x:c>
      <x:c r="E855" t="n">
        <x:f>--((B855^2/$B$4^2+C855^2/$B$5^2+D855^2/$B$6^2)&lt;=1)</x:f>
        <x:v>0</x:v>
      </x:c>
      <x:c r="F855" s="42" t="n">
        <x:f>$B$8*SUM($E$18:E855)/A855</x:f>
        <x:v>99.66587112171838</x:v>
      </x:c>
      <x:c r="G855" s="42" t="n">
        <x:f>$B$11</x:f>
        <x:v>100.53096491487338</x:v>
      </x:c>
      <x:c r="I855" t="n">
        <x:f>A855</x:f>
        <x:v>838</x:v>
      </x:c>
      <x:c r="J855" t="n">
        <x:f>F855</x:f>
        <x:v>99.66587112171838</x:v>
      </x:c>
      <x:c r="K855" t="n">
        <x:f>G855</x:f>
        <x:v>100.53096491487338</x:v>
      </x:c>
    </x:row>
    <x:row r="856">
      <x:c r="A856" t="n">
        <x:v>839</x:v>
      </x:c>
      <x:c r="B856" s="40" t="n">
        <x:v>-0.3229104483967795</x:v>
      </x:c>
      <x:c r="C856" s="40" t="n">
        <x:v>-0.7697324410227959</x:v>
      </x:c>
      <x:c r="D856" s="40" t="n">
        <x:v>-3.0162338189435793</x:v>
      </x:c>
      <x:c r="E856" t="n">
        <x:f>--((B856^2/$B$4^2+C856^2/$B$5^2+D856^2/$B$6^2)&lt;=1)</x:f>
        <x:v>1</x:v>
      </x:c>
      <x:c r="F856" s="42" t="n">
        <x:f>$B$8*SUM($E$18:E856)/A856</x:f>
        <x:v>99.77592371871275</x:v>
      </x:c>
      <x:c r="G856" s="42" t="n">
        <x:f>$B$11</x:f>
        <x:v>100.53096491487338</x:v>
      </x:c>
      <x:c r="I856" t="n">
        <x:f>A856</x:f>
        <x:v>839</x:v>
      </x:c>
      <x:c r="J856" t="n">
        <x:f>F856</x:f>
        <x:v>99.77592371871275</x:v>
      </x:c>
      <x:c r="K856" t="n">
        <x:f>G856</x:f>
        <x:v>100.53096491487338</x:v>
      </x:c>
    </x:row>
    <x:row r="857">
      <x:c r="A857" t="n">
        <x:v>840</x:v>
      </x:c>
      <x:c r="B857" s="40" t="n">
        <x:v>0.05833220754212354</x:v>
      </x:c>
      <x:c r="C857" s="40" t="n">
        <x:v>-2.726026287379763</x:v>
      </x:c>
      <x:c r="D857" s="40" t="n">
        <x:v>-2.7519332173799222</x:v>
      </x:c>
      <x:c r="E857" t="n">
        <x:f>--((B857^2/$B$4^2+C857^2/$B$5^2+D857^2/$B$6^2)&lt;=1)</x:f>
        <x:v>0</x:v>
      </x:c>
      <x:c r="F857" s="42" t="n">
        <x:f>$B$8*SUM($E$18:E857)/A857</x:f>
        <x:v>99.65714285714286</x:v>
      </x:c>
      <x:c r="G857" s="42" t="n">
        <x:f>$B$11</x:f>
        <x:v>100.53096491487338</x:v>
      </x:c>
      <x:c r="I857" t="n">
        <x:f>A857</x:f>
        <x:v>840</x:v>
      </x:c>
      <x:c r="J857" t="n">
        <x:f>F857</x:f>
        <x:v>99.65714285714286</x:v>
      </x:c>
      <x:c r="K857" t="n">
        <x:f>G857</x:f>
        <x:v>100.53096491487338</x:v>
      </x:c>
    </x:row>
    <x:row r="858">
      <x:c r="A858" t="n">
        <x:v>841</x:v>
      </x:c>
      <x:c r="B858" s="40" t="n">
        <x:v>-1.950120488235147</x:v>
      </x:c>
      <x:c r="C858" s="40" t="n">
        <x:v>1.7216468148727424</x:v>
      </x:c>
      <x:c r="D858" s="40" t="n">
        <x:v>3.0314322635817703</x:v>
      </x:c>
      <x:c r="E858" t="n">
        <x:f>--((B858^2/$B$4^2+C858^2/$B$5^2+D858^2/$B$6^2)&lt;=1)</x:f>
        <x:v>0</x:v>
      </x:c>
      <x:c r="F858" s="42" t="n">
        <x:f>$B$8*SUM($E$18:E858)/A858</x:f>
        <x:v>99.53864447086801</x:v>
      </x:c>
      <x:c r="G858" s="42" t="n">
        <x:f>$B$11</x:f>
        <x:v>100.53096491487338</x:v>
      </x:c>
      <x:c r="I858" t="n">
        <x:f>A858</x:f>
        <x:v>841</x:v>
      </x:c>
      <x:c r="J858" t="n">
        <x:f>F858</x:f>
        <x:v>99.53864447086801</x:v>
      </x:c>
      <x:c r="K858" t="n">
        <x:f>G858</x:f>
        <x:v>100.53096491487338</x:v>
      </x:c>
    </x:row>
    <x:row r="859">
      <x:c r="A859" t="n">
        <x:v>842</x:v>
      </x:c>
      <x:c r="B859" s="40" t="n">
        <x:v>1.1841142252415136</x:v>
      </x:c>
      <x:c r="C859" s="40" t="n">
        <x:v>-0.4020107089811171</x:v>
      </x:c>
      <x:c r="D859" s="40" t="n">
        <x:v>-0.6001463822297533</x:v>
      </x:c>
      <x:c r="E859" t="n">
        <x:f>--((B859^2/$B$4^2+C859^2/$B$5^2+D859^2/$B$6^2)&lt;=1)</x:f>
        <x:v>1</x:v>
      </x:c>
      <x:c r="F859" s="42" t="n">
        <x:f>$B$8*SUM($E$18:E859)/A859</x:f>
        <x:v>99.64845605700712</x:v>
      </x:c>
      <x:c r="G859" s="42" t="n">
        <x:f>$B$11</x:f>
        <x:v>100.53096491487338</x:v>
      </x:c>
      <x:c r="I859" t="n">
        <x:f>A859</x:f>
        <x:v>842</x:v>
      </x:c>
      <x:c r="J859" t="n">
        <x:f>F859</x:f>
        <x:v>99.64845605700712</x:v>
      </x:c>
      <x:c r="K859" t="n">
        <x:f>G859</x:f>
        <x:v>100.53096491487338</x:v>
      </x:c>
    </x:row>
    <x:row r="860">
      <x:c r="A860" t="n">
        <x:v>843</x:v>
      </x:c>
      <x:c r="B860" s="40" t="n">
        <x:v>0.08092026818397535</x:v>
      </x:c>
      <x:c r="C860" s="40" t="n">
        <x:v>-0.3705698574745586</x:v>
      </x:c>
      <x:c r="D860" s="40" t="n">
        <x:v>-1.8005464642369464</x:v>
      </x:c>
      <x:c r="E860" t="n">
        <x:f>--((B860^2/$B$4^2+C860^2/$B$5^2+D860^2/$B$6^2)&lt;=1)</x:f>
        <x:v>1</x:v>
      </x:c>
      <x:c r="F860" s="42" t="n">
        <x:f>$B$8*SUM($E$18:E860)/A860</x:f>
        <x:v>99.75800711743773</x:v>
      </x:c>
      <x:c r="G860" s="42" t="n">
        <x:f>$B$11</x:f>
        <x:v>100.53096491487338</x:v>
      </x:c>
      <x:c r="I860" t="n">
        <x:f>A860</x:f>
        <x:v>843</x:v>
      </x:c>
      <x:c r="J860" t="n">
        <x:f>F860</x:f>
        <x:v>99.75800711743773</x:v>
      </x:c>
      <x:c r="K860" t="n">
        <x:f>G860</x:f>
        <x:v>100.53096491487338</x:v>
      </x:c>
    </x:row>
    <x:row r="861">
      <x:c r="A861" t="n">
        <x:v>844</x:v>
      </x:c>
      <x:c r="B861" s="40" t="n">
        <x:v>-0.3681542785577392</x:v>
      </x:c>
      <x:c r="C861" s="40" t="n">
        <x:v>-1.5278624103982397</x:v>
      </x:c>
      <x:c r="D861" s="40" t="n">
        <x:v>-0.5673990721054452</x:v>
      </x:c>
      <x:c r="E861" t="n">
        <x:f>--((B861^2/$B$4^2+C861^2/$B$5^2+D861^2/$B$6^2)&lt;=1)</x:f>
        <x:v>1</x:v>
      </x:c>
      <x:c r="F861" s="42" t="n">
        <x:f>$B$8*SUM($E$18:E861)/A861</x:f>
        <x:v>99.86729857819905</x:v>
      </x:c>
      <x:c r="G861" s="42" t="n">
        <x:f>$B$11</x:f>
        <x:v>100.53096491487338</x:v>
      </x:c>
      <x:c r="I861" t="n">
        <x:f>A861</x:f>
        <x:v>844</x:v>
      </x:c>
      <x:c r="J861" t="n">
        <x:f>F861</x:f>
        <x:v>99.86729857819905</x:v>
      </x:c>
      <x:c r="K861" t="n">
        <x:f>G861</x:f>
        <x:v>100.53096491487338</x:v>
      </x:c>
    </x:row>
    <x:row r="862">
      <x:c r="A862" t="n">
        <x:v>845</x:v>
      </x:c>
      <x:c r="B862" s="40" t="n">
        <x:v>-1.6237121476424168</x:v>
      </x:c>
      <x:c r="C862" s="40" t="n">
        <x:v>-1.7434363112434266</x:v>
      </x:c>
      <x:c r="D862" s="40" t="n">
        <x:v>-0.8412728583949418</x:v>
      </x:c>
      <x:c r="E862" t="n">
        <x:f>--((B862^2/$B$4^2+C862^2/$B$5^2+D862^2/$B$6^2)&lt;=1)</x:f>
        <x:v>0</x:v>
      </x:c>
      <x:c r="F862" s="42" t="n">
        <x:f>$B$8*SUM($E$18:E862)/A862</x:f>
        <x:v>99.74911242603551</x:v>
      </x:c>
      <x:c r="G862" s="42" t="n">
        <x:f>$B$11</x:f>
        <x:v>100.53096491487338</x:v>
      </x:c>
      <x:c r="I862" t="n">
        <x:f>A862</x:f>
        <x:v>845</x:v>
      </x:c>
      <x:c r="J862" t="n">
        <x:f>F862</x:f>
        <x:v>99.74911242603551</x:v>
      </x:c>
      <x:c r="K862" t="n">
        <x:f>G862</x:f>
        <x:v>100.53096491487338</x:v>
      </x:c>
    </x:row>
    <x:row r="863">
      <x:c r="A863" t="n">
        <x:v>846</x:v>
      </x:c>
      <x:c r="B863" s="40" t="n">
        <x:v>1.558625686701589</x:v>
      </x:c>
      <x:c r="C863" s="40" t="n">
        <x:v>0.5269315774141754</x:v>
      </x:c>
      <x:c r="D863" s="40" t="n">
        <x:v>-1.588306656095864</x:v>
      </x:c>
      <x:c r="E863" t="n">
        <x:f>--((B863^2/$B$4^2+C863^2/$B$5^2+D863^2/$B$6^2)&lt;=1)</x:f>
        <x:v>1</x:v>
      </x:c>
      <x:c r="F863" s="42" t="n">
        <x:f>$B$8*SUM($E$18:E863)/A863</x:f>
        <x:v>99.8581560283688</x:v>
      </x:c>
      <x:c r="G863" s="42" t="n">
        <x:f>$B$11</x:f>
        <x:v>100.53096491487338</x:v>
      </x:c>
      <x:c r="I863" t="n">
        <x:f>A863</x:f>
        <x:v>846</x:v>
      </x:c>
      <x:c r="J863" t="n">
        <x:f>F863</x:f>
        <x:v>99.8581560283688</x:v>
      </x:c>
      <x:c r="K863" t="n">
        <x:f>G863</x:f>
        <x:v>100.53096491487338</x:v>
      </x:c>
    </x:row>
    <x:row r="864">
      <x:c r="A864" t="n">
        <x:v>847</x:v>
      </x:c>
      <x:c r="B864" s="40" t="n">
        <x:v>-0.4199710398377743</x:v>
      </x:c>
      <x:c r="C864" s="40" t="n">
        <x:v>-1.6046819087779454</x:v>
      </x:c>
      <x:c r="D864" s="40" t="n">
        <x:v>-2.8968033407042775</x:v>
      </x:c>
      <x:c r="E864" t="n">
        <x:f>--((B864^2/$B$4^2+C864^2/$B$5^2+D864^2/$B$6^2)&lt;=1)</x:f>
        <x:v>1</x:v>
      </x:c>
      <x:c r="F864" s="42" t="n">
        <x:f>$B$8*SUM($E$18:E864)/A864</x:f>
        <x:v>99.96694214876032</x:v>
      </x:c>
      <x:c r="G864" s="42" t="n">
        <x:f>$B$11</x:f>
        <x:v>100.53096491487338</x:v>
      </x:c>
      <x:c r="I864" t="n">
        <x:f>A864</x:f>
        <x:v>847</x:v>
      </x:c>
      <x:c r="J864" t="n">
        <x:f>F864</x:f>
        <x:v>99.96694214876032</x:v>
      </x:c>
      <x:c r="K864" t="n">
        <x:f>G864</x:f>
        <x:v>100.53096491487338</x:v>
      </x:c>
    </x:row>
    <x:row r="865">
      <x:c r="A865" t="n">
        <x:v>848</x:v>
      </x:c>
      <x:c r="B865" s="40" t="n">
        <x:v>0.7303263928368815</x:v>
      </x:c>
      <x:c r="C865" s="40" t="n">
        <x:v>-2.6147468906072135</x:v>
      </x:c>
      <x:c r="D865" s="40" t="n">
        <x:v>1.247323695791045</x:v>
      </x:c>
      <x:c r="E865" t="n">
        <x:f>--((B865^2/$B$4^2+C865^2/$B$5^2+D865^2/$B$6^2)&lt;=1)</x:f>
        <x:v>1</x:v>
      </x:c>
      <x:c r="F865" s="42" t="n">
        <x:f>$B$8*SUM($E$18:E865)/A865</x:f>
        <x:v>100.0754716981132</x:v>
      </x:c>
      <x:c r="G865" s="42" t="n">
        <x:f>$B$11</x:f>
        <x:v>100.53096491487338</x:v>
      </x:c>
      <x:c r="I865" t="n">
        <x:f>A865</x:f>
        <x:v>848</x:v>
      </x:c>
      <x:c r="J865" t="n">
        <x:f>F865</x:f>
        <x:v>100.0754716981132</x:v>
      </x:c>
      <x:c r="K865" t="n">
        <x:f>G865</x:f>
        <x:v>100.53096491487338</x:v>
      </x:c>
    </x:row>
    <x:row r="866">
      <x:c r="A866" t="n">
        <x:v>849</x:v>
      </x:c>
      <x:c r="B866" s="40" t="n">
        <x:v>-1.402503374527397</x:v>
      </x:c>
      <x:c r="C866" s="40" t="n">
        <x:v>1.60504449588539</x:v>
      </x:c>
      <x:c r="D866" s="40" t="n">
        <x:v>-2.907164777762757</x:v>
      </x:c>
      <x:c r="E866" t="n">
        <x:f>--((B866^2/$B$4^2+C866^2/$B$5^2+D866^2/$B$6^2)&lt;=1)</x:f>
        <x:v>0</x:v>
      </x:c>
      <x:c r="F866" s="42" t="n">
        <x:f>$B$8*SUM($E$18:E866)/A866</x:f>
        <x:v>99.95759717314488</x:v>
      </x:c>
      <x:c r="G866" s="42" t="n">
        <x:f>$B$11</x:f>
        <x:v>100.53096491487338</x:v>
      </x:c>
      <x:c r="I866" t="n">
        <x:f>A866</x:f>
        <x:v>849</x:v>
      </x:c>
      <x:c r="J866" t="n">
        <x:f>F866</x:f>
        <x:v>99.95759717314488</x:v>
      </x:c>
      <x:c r="K866" t="n">
        <x:f>G866</x:f>
        <x:v>100.53096491487338</x:v>
      </x:c>
    </x:row>
    <x:row r="867">
      <x:c r="A867" t="n">
        <x:v>850</x:v>
      </x:c>
      <x:c r="B867" s="40" t="n">
        <x:v>1.84619851816413</x:v>
      </x:c>
      <x:c r="C867" s="40" t="n">
        <x:v>-0.7411833935618044</x:v>
      </x:c>
      <x:c r="D867" s="40" t="n">
        <x:v>2.2033956213813948</x:v>
      </x:c>
      <x:c r="E867" t="n">
        <x:f>--((B867^2/$B$4^2+C867^2/$B$5^2+D867^2/$B$6^2)&lt;=1)</x:f>
        <x:v>0</x:v>
      </x:c>
      <x:c r="F867" s="42" t="n">
        <x:f>$B$8*SUM($E$18:E867)/A867</x:f>
        <x:v>99.84</x:v>
      </x:c>
      <x:c r="G867" s="42" t="n">
        <x:f>$B$11</x:f>
        <x:v>100.53096491487338</x:v>
      </x:c>
      <x:c r="I867" t="n">
        <x:f>A867</x:f>
        <x:v>850</x:v>
      </x:c>
      <x:c r="J867" t="n">
        <x:f>F867</x:f>
        <x:v>99.84</x:v>
      </x:c>
      <x:c r="K867" t="n">
        <x:f>G867</x:f>
        <x:v>100.53096491487338</x:v>
      </x:c>
    </x:row>
    <x:row r="868">
      <x:c r="A868" t="n">
        <x:v>851</x:v>
      </x:c>
      <x:c r="B868" s="40" t="n">
        <x:v>-1.2862329527126763</x:v>
      </x:c>
      <x:c r="C868" s="40" t="n">
        <x:v>-0.7185864966041731</x:v>
      </x:c>
      <x:c r="D868" s="40" t="n">
        <x:v>-2.386495893756371</x:v>
      </x:c>
      <x:c r="E868" t="n">
        <x:f>--((B868^2/$B$4^2+C868^2/$B$5^2+D868^2/$B$6^2)&lt;=1)</x:f>
        <x:v>1</x:v>
      </x:c>
      <x:c r="F868" s="42" t="n">
        <x:f>$B$8*SUM($E$18:E868)/A868</x:f>
        <x:v>99.94829612220917</x:v>
      </x:c>
      <x:c r="G868" s="42" t="n">
        <x:f>$B$11</x:f>
        <x:v>100.53096491487338</x:v>
      </x:c>
      <x:c r="I868" t="n">
        <x:f>A868</x:f>
        <x:v>851</x:v>
      </x:c>
      <x:c r="J868" t="n">
        <x:f>F868</x:f>
        <x:v>99.94829612220917</x:v>
      </x:c>
      <x:c r="K868" t="n">
        <x:f>G868</x:f>
        <x:v>100.53096491487338</x:v>
      </x:c>
    </x:row>
    <x:row r="869">
      <x:c r="A869" t="n">
        <x:v>852</x:v>
      </x:c>
      <x:c r="B869" s="40" t="n">
        <x:v>-1.2018320284020385</x:v>
      </x:c>
      <x:c r="C869" s="40" t="n">
        <x:v>-0.41209031090525183</x:v>
      </x:c>
      <x:c r="D869" s="40" t="n">
        <x:v>1.8509704570664933</x:v>
      </x:c>
      <x:c r="E869" t="n">
        <x:f>--((B869^2/$B$4^2+C869^2/$B$5^2+D869^2/$B$6^2)&lt;=1)</x:f>
        <x:v>1</x:v>
      </x:c>
      <x:c r="F869" s="42" t="n">
        <x:f>$B$8*SUM($E$18:E869)/A869</x:f>
        <x:v>100.05633802816901</x:v>
      </x:c>
      <x:c r="G869" s="42" t="n">
        <x:f>$B$11</x:f>
        <x:v>100.53096491487338</x:v>
      </x:c>
      <x:c r="I869" t="n">
        <x:f>A869</x:f>
        <x:v>852</x:v>
      </x:c>
      <x:c r="J869" t="n">
        <x:f>F869</x:f>
        <x:v>100.05633802816901</x:v>
      </x:c>
      <x:c r="K869" t="n">
        <x:f>G869</x:f>
        <x:v>100.53096491487338</x:v>
      </x:c>
    </x:row>
    <x:row r="870">
      <x:c r="A870" t="n">
        <x:v>853</x:v>
      </x:c>
      <x:c r="B870" s="40" t="n">
        <x:v>1.4359314422308551</x:v>
      </x:c>
      <x:c r="C870" s="40" t="n">
        <x:v>1.8902689404485624</x:v>
      </x:c>
      <x:c r="D870" s="40" t="n">
        <x:v>2.4446888455637357</x:v>
      </x:c>
      <x:c r="E870" t="n">
        <x:f>--((B870^2/$B$4^2+C870^2/$B$5^2+D870^2/$B$6^2)&lt;=1)</x:f>
        <x:v>0</x:v>
      </x:c>
      <x:c r="F870" s="42" t="n">
        <x:f>$B$8*SUM($E$18:E870)/A870</x:f>
        <x:v>99.9390386869871</x:v>
      </x:c>
      <x:c r="G870" s="42" t="n">
        <x:f>$B$11</x:f>
        <x:v>100.53096491487338</x:v>
      </x:c>
      <x:c r="I870" t="n">
        <x:f>A870</x:f>
        <x:v>853</x:v>
      </x:c>
      <x:c r="J870" t="n">
        <x:f>F870</x:f>
        <x:v>99.9390386869871</x:v>
      </x:c>
      <x:c r="K870" t="n">
        <x:f>G870</x:f>
        <x:v>100.53096491487338</x:v>
      </x:c>
    </x:row>
    <x:row r="871">
      <x:c r="A871" t="n">
        <x:v>854</x:v>
      </x:c>
      <x:c r="B871" s="40" t="n">
        <x:v>1.6503309765677248</x:v>
      </x:c>
      <x:c r="C871" s="40" t="n">
        <x:v>-1.0749786243610973</x:v>
      </x:c>
      <x:c r="D871" s="40" t="n">
        <x:v>-2.997391921804394</x:v>
      </x:c>
      <x:c r="E871" t="n">
        <x:f>--((B871^2/$B$4^2+C871^2/$B$5^2+D871^2/$B$6^2)&lt;=1)</x:f>
        <x:v>0</x:v>
      </x:c>
      <x:c r="F871" s="42" t="n">
        <x:f>$B$8*SUM($E$18:E871)/A871</x:f>
        <x:v>99.82201405152225</x:v>
      </x:c>
      <x:c r="G871" s="42" t="n">
        <x:f>$B$11</x:f>
        <x:v>100.53096491487338</x:v>
      </x:c>
      <x:c r="I871" t="n">
        <x:f>A871</x:f>
        <x:v>854</x:v>
      </x:c>
      <x:c r="J871" t="n">
        <x:f>F871</x:f>
        <x:v>99.82201405152225</x:v>
      </x:c>
      <x:c r="K871" t="n">
        <x:f>G871</x:f>
        <x:v>100.53096491487338</x:v>
      </x:c>
    </x:row>
    <x:row r="872">
      <x:c r="A872" t="n">
        <x:v>855</x:v>
      </x:c>
      <x:c r="B872" s="40" t="n">
        <x:v>-1.1514103699067944</x:v>
      </x:c>
      <x:c r="C872" s="40" t="n">
        <x:v>1.5482172675470167</x:v>
      </x:c>
      <x:c r="D872" s="40" t="n">
        <x:v>-3.3060338536959675</x:v>
      </x:c>
      <x:c r="E872" t="n">
        <x:f>--((B872^2/$B$4^2+C872^2/$B$5^2+D872^2/$B$6^2)&lt;=1)</x:f>
        <x:v>0</x:v>
      </x:c>
      <x:c r="F872" s="42" t="n">
        <x:f>$B$8*SUM($E$18:E872)/A872</x:f>
        <x:v>99.70526315789473</x:v>
      </x:c>
      <x:c r="G872" s="42" t="n">
        <x:f>$B$11</x:f>
        <x:v>100.53096491487338</x:v>
      </x:c>
      <x:c r="I872" t="n">
        <x:f>A872</x:f>
        <x:v>855</x:v>
      </x:c>
      <x:c r="J872" t="n">
        <x:f>F872</x:f>
        <x:v>99.70526315789473</x:v>
      </x:c>
      <x:c r="K872" t="n">
        <x:f>G872</x:f>
        <x:v>100.53096491487338</x:v>
      </x:c>
    </x:row>
    <x:row r="873">
      <x:c r="A873" t="n">
        <x:v>856</x:v>
      </x:c>
      <x:c r="B873" s="40" t="n">
        <x:v>-0.12079644730068839</x:v>
      </x:c>
      <x:c r="C873" s="40" t="n">
        <x:v>2.637269044677259</x:v>
      </x:c>
      <x:c r="D873" s="40" t="n">
        <x:v>3.596582165229279</x:v>
      </x:c>
      <x:c r="E873" t="n">
        <x:f>--((B873^2/$B$4^2+C873^2/$B$5^2+D873^2/$B$6^2)&lt;=1)</x:f>
        <x:v>0</x:v>
      </x:c>
      <x:c r="F873" s="42" t="n">
        <x:f>$B$8*SUM($E$18:E873)/A873</x:f>
        <x:v>99.58878504672897</x:v>
      </x:c>
      <x:c r="G873" s="42" t="n">
        <x:f>$B$11</x:f>
        <x:v>100.53096491487338</x:v>
      </x:c>
      <x:c r="I873" t="n">
        <x:f>A873</x:f>
        <x:v>856</x:v>
      </x:c>
      <x:c r="J873" t="n">
        <x:f>F873</x:f>
        <x:v>99.58878504672897</x:v>
      </x:c>
      <x:c r="K873" t="n">
        <x:f>G873</x:f>
        <x:v>100.53096491487338</x:v>
      </x:c>
    </x:row>
    <x:row r="874">
      <x:c r="A874" t="n">
        <x:v>857</x:v>
      </x:c>
      <x:c r="B874" s="40" t="n">
        <x:v>0.9339796182513194</x:v>
      </x:c>
      <x:c r="C874" s="40" t="n">
        <x:v>0.9652091755487966</x:v>
      </x:c>
      <x:c r="D874" s="40" t="n">
        <x:v>-0.2956255459793544</x:v>
      </x:c>
      <x:c r="E874" t="n">
        <x:f>--((B874^2/$B$4^2+C874^2/$B$5^2+D874^2/$B$6^2)&lt;=1)</x:f>
        <x:v>1</x:v>
      </x:c>
      <x:c r="F874" s="42" t="n">
        <x:f>$B$8*SUM($E$18:E874)/A874</x:f>
        <x:v>99.69661610268378</x:v>
      </x:c>
      <x:c r="G874" s="42" t="n">
        <x:f>$B$11</x:f>
        <x:v>100.53096491487338</x:v>
      </x:c>
      <x:c r="I874" t="n">
        <x:f>A874</x:f>
        <x:v>857</x:v>
      </x:c>
      <x:c r="J874" t="n">
        <x:f>F874</x:f>
        <x:v>99.69661610268378</x:v>
      </x:c>
      <x:c r="K874" t="n">
        <x:f>G874</x:f>
        <x:v>100.53096491487338</x:v>
      </x:c>
    </x:row>
    <x:row r="875">
      <x:c r="A875" t="n">
        <x:v>858</x:v>
      </x:c>
      <x:c r="B875" s="40" t="n">
        <x:v>1.5134629352432065</x:v>
      </x:c>
      <x:c r="C875" s="40" t="n">
        <x:v>-0.40991351293785216</x:v>
      </x:c>
      <x:c r="D875" s="40" t="n">
        <x:v>1.041883959783907</x:v>
      </x:c>
      <x:c r="E875" t="n">
        <x:f>--((B875^2/$B$4^2+C875^2/$B$5^2+D875^2/$B$6^2)&lt;=1)</x:f>
        <x:v>1</x:v>
      </x:c>
      <x:c r="F875" s="42" t="n">
        <x:f>$B$8*SUM($E$18:E875)/A875</x:f>
        <x:v>99.8041958041958</x:v>
      </x:c>
      <x:c r="G875" s="42" t="n">
        <x:f>$B$11</x:f>
        <x:v>100.53096491487338</x:v>
      </x:c>
      <x:c r="I875" t="n">
        <x:f>A875</x:f>
        <x:v>858</x:v>
      </x:c>
      <x:c r="J875" t="n">
        <x:f>F875</x:f>
        <x:v>99.8041958041958</x:v>
      </x:c>
      <x:c r="K875" t="n">
        <x:f>G875</x:f>
        <x:v>100.53096491487338</x:v>
      </x:c>
    </x:row>
    <x:row r="876">
      <x:c r="A876" t="n">
        <x:v>859</x:v>
      </x:c>
      <x:c r="B876" s="40" t="n">
        <x:v>-0.48378921985077916</x:v>
      </x:c>
      <x:c r="C876" s="40" t="n">
        <x:v>1.486738338879988</x:v>
      </x:c>
      <x:c r="D876" s="40" t="n">
        <x:v>-3.813916479025858</x:v>
      </x:c>
      <x:c r="E876" t="n">
        <x:f>--((B876^2/$B$4^2+C876^2/$B$5^2+D876^2/$B$6^2)&lt;=1)</x:f>
        <x:v>0</x:v>
      </x:c>
      <x:c r="F876" s="42" t="n">
        <x:f>$B$8*SUM($E$18:E876)/A876</x:f>
        <x:v>99.68800931315484</x:v>
      </x:c>
      <x:c r="G876" s="42" t="n">
        <x:f>$B$11</x:f>
        <x:v>100.53096491487338</x:v>
      </x:c>
      <x:c r="I876" t="n">
        <x:f>A876</x:f>
        <x:v>859</x:v>
      </x:c>
      <x:c r="J876" t="n">
        <x:f>F876</x:f>
        <x:v>99.68800931315484</x:v>
      </x:c>
      <x:c r="K876" t="n">
        <x:f>G876</x:f>
        <x:v>100.53096491487338</x:v>
      </x:c>
    </x:row>
    <x:row r="877">
      <x:c r="A877" t="n">
        <x:v>860</x:v>
      </x:c>
      <x:c r="B877" s="40" t="n">
        <x:v>0.06807794739771689</x:v>
      </x:c>
      <x:c r="C877" s="40" t="n">
        <x:v>-0.25261578149168695</x:v>
      </x:c>
      <x:c r="D877" s="40" t="n">
        <x:v>-1.7703185555492809</x:v>
      </x:c>
      <x:c r="E877" t="n">
        <x:f>--((B877^2/$B$4^2+C877^2/$B$5^2+D877^2/$B$6^2)&lt;=1)</x:f>
        <x:v>1</x:v>
      </x:c>
      <x:c r="F877" s="42" t="n">
        <x:f>$B$8*SUM($E$18:E877)/A877</x:f>
        <x:v>99.7953488372093</x:v>
      </x:c>
      <x:c r="G877" s="42" t="n">
        <x:f>$B$11</x:f>
        <x:v>100.53096491487338</x:v>
      </x:c>
      <x:c r="I877" t="n">
        <x:f>A877</x:f>
        <x:v>860</x:v>
      </x:c>
      <x:c r="J877" t="n">
        <x:f>F877</x:f>
        <x:v>99.7953488372093</x:v>
      </x:c>
      <x:c r="K877" t="n">
        <x:f>G877</x:f>
        <x:v>100.53096491487338</x:v>
      </x:c>
    </x:row>
    <x:row r="878">
      <x:c r="A878" t="n">
        <x:v>861</x:v>
      </x:c>
      <x:c r="B878" s="40" t="n">
        <x:v>0.9668656420789397</x:v>
      </x:c>
      <x:c r="C878" s="40" t="n">
        <x:v>-0.5134363733511549</x:v>
      </x:c>
      <x:c r="D878" s="40" t="n">
        <x:v>0.04318123647508987</x:v>
      </x:c>
      <x:c r="E878" t="n">
        <x:f>--((B878^2/$B$4^2+C878^2/$B$5^2+D878^2/$B$6^2)&lt;=1)</x:f>
        <x:v>1</x:v>
      </x:c>
      <x:c r="F878" s="42" t="n">
        <x:f>$B$8*SUM($E$18:E878)/A878</x:f>
        <x:v>99.90243902439025</x:v>
      </x:c>
      <x:c r="G878" s="42" t="n">
        <x:f>$B$11</x:f>
        <x:v>100.53096491487338</x:v>
      </x:c>
      <x:c r="I878" t="n">
        <x:f>A878</x:f>
        <x:v>861</x:v>
      </x:c>
      <x:c r="J878" t="n">
        <x:f>F878</x:f>
        <x:v>99.90243902439025</x:v>
      </x:c>
      <x:c r="K878" t="n">
        <x:f>G878</x:f>
        <x:v>100.53096491487338</x:v>
      </x:c>
    </x:row>
    <x:row r="879">
      <x:c r="A879" t="n">
        <x:v>862</x:v>
      </x:c>
      <x:c r="B879" s="40" t="n">
        <x:v>0.9245439066111816</x:v>
      </x:c>
      <x:c r="C879" s="40" t="n">
        <x:v>0.15169898143609917</x:v>
      </x:c>
      <x:c r="D879" s="40" t="n">
        <x:v>3.0897465071152315</x:v>
      </x:c>
      <x:c r="E879" t="n">
        <x:f>--((B879^2/$B$4^2+C879^2/$B$5^2+D879^2/$B$6^2)&lt;=1)</x:f>
        <x:v>1</x:v>
      </x:c>
      <x:c r="F879" s="42" t="n">
        <x:f>$B$8*SUM($E$18:E879)/A879</x:f>
        <x:v>100.0092807424594</x:v>
      </x:c>
      <x:c r="G879" s="42" t="n">
        <x:f>$B$11</x:f>
        <x:v>100.53096491487338</x:v>
      </x:c>
      <x:c r="I879" t="n">
        <x:f>A879</x:f>
        <x:v>862</x:v>
      </x:c>
      <x:c r="J879" t="n">
        <x:f>F879</x:f>
        <x:v>100.0092807424594</x:v>
      </x:c>
      <x:c r="K879" t="n">
        <x:f>G879</x:f>
        <x:v>100.53096491487338</x:v>
      </x:c>
    </x:row>
    <x:row r="880">
      <x:c r="A880" t="n">
        <x:v>863</x:v>
      </x:c>
      <x:c r="B880" s="40" t="n">
        <x:v>1.1318405201043396</x:v>
      </x:c>
      <x:c r="C880" s="40" t="n">
        <x:v>-1.0936659911442372</x:v>
      </x:c>
      <x:c r="D880" s="40" t="n">
        <x:v>-1.8284846594849897</x:v>
      </x:c>
      <x:c r="E880" t="n">
        <x:f>--((B880^2/$B$4^2+C880^2/$B$5^2+D880^2/$B$6^2)&lt;=1)</x:f>
        <x:v>1</x:v>
      </x:c>
      <x:c r="F880" s="42" t="n">
        <x:f>$B$8*SUM($E$18:E880)/A880</x:f>
        <x:v>100.11587485515643</x:v>
      </x:c>
      <x:c r="G880" s="42" t="n">
        <x:f>$B$11</x:f>
        <x:v>100.53096491487338</x:v>
      </x:c>
      <x:c r="I880" t="n">
        <x:f>A880</x:f>
        <x:v>863</x:v>
      </x:c>
      <x:c r="J880" t="n">
        <x:f>F880</x:f>
        <x:v>100.11587485515643</x:v>
      </x:c>
      <x:c r="K880" t="n">
        <x:f>G880</x:f>
        <x:v>100.53096491487338</x:v>
      </x:c>
    </x:row>
    <x:row r="881">
      <x:c r="A881" t="n">
        <x:v>864</x:v>
      </x:c>
      <x:c r="B881" s="40" t="n">
        <x:v>0.2797352745661055</x:v>
      </x:c>
      <x:c r="C881" s="40" t="n">
        <x:v>-2.374498702319993</x:v>
      </x:c>
      <x:c r="D881" s="40" t="n">
        <x:v>2.2015305588697567</x:v>
      </x:c>
      <x:c r="E881" t="n">
        <x:f>--((B881^2/$B$4^2+C881^2/$B$5^2+D881^2/$B$6^2)&lt;=1)</x:f>
        <x:v>1</x:v>
      </x:c>
      <x:c r="F881" s="42" t="n">
        <x:f>$B$8*SUM($E$18:E881)/A881</x:f>
        <x:v>100.22222222222223</x:v>
      </x:c>
      <x:c r="G881" s="42" t="n">
        <x:f>$B$11</x:f>
        <x:v>100.53096491487338</x:v>
      </x:c>
      <x:c r="I881" t="n">
        <x:f>A881</x:f>
        <x:v>864</x:v>
      </x:c>
      <x:c r="J881" t="n">
        <x:f>F881</x:f>
        <x:v>100.22222222222223</x:v>
      </x:c>
      <x:c r="K881" t="n">
        <x:f>G881</x:f>
        <x:v>100.53096491487338</x:v>
      </x:c>
    </x:row>
    <x:row r="882">
      <x:c r="A882" t="n">
        <x:v>865</x:v>
      </x:c>
      <x:c r="B882" s="40" t="n">
        <x:v>-1.5815396127808992</x:v>
      </x:c>
      <x:c r="C882" s="40" t="n">
        <x:v>-0.5108879668430086</x:v>
      </x:c>
      <x:c r="D882" s="40" t="n">
        <x:v>1.2977034260696145</x:v>
      </x:c>
      <x:c r="E882" t="n">
        <x:f>--((B882^2/$B$4^2+C882^2/$B$5^2+D882^2/$B$6^2)&lt;=1)</x:f>
        <x:v>1</x:v>
      </x:c>
      <x:c r="F882" s="42" t="n">
        <x:f>$B$8*SUM($E$18:E882)/A882</x:f>
        <x:v>100.32832369942197</x:v>
      </x:c>
      <x:c r="G882" s="42" t="n">
        <x:f>$B$11</x:f>
        <x:v>100.53096491487338</x:v>
      </x:c>
      <x:c r="I882" t="n">
        <x:f>A882</x:f>
        <x:v>865</x:v>
      </x:c>
      <x:c r="J882" t="n">
        <x:f>F882</x:f>
        <x:v>100.32832369942197</x:v>
      </x:c>
      <x:c r="K882" t="n">
        <x:f>G882</x:f>
        <x:v>100.53096491487338</x:v>
      </x:c>
    </x:row>
    <x:row r="883">
      <x:c r="A883" t="n">
        <x:v>866</x:v>
      </x:c>
      <x:c r="B883" s="40" t="n">
        <x:v>1.61589316351216</x:v>
      </x:c>
      <x:c r="C883" s="40" t="n">
        <x:v>-2.2568587132241884</x:v>
      </x:c>
      <x:c r="D883" s="40" t="n">
        <x:v>-3.0778338575540403</x:v>
      </x:c>
      <x:c r="E883" t="n">
        <x:f>--((B883^2/$B$4^2+C883^2/$B$5^2+D883^2/$B$6^2)&lt;=1)</x:f>
        <x:v>0</x:v>
      </x:c>
      <x:c r="F883" s="42" t="n">
        <x:f>$B$8*SUM($E$18:E883)/A883</x:f>
        <x:v>100.21247113163972</x:v>
      </x:c>
      <x:c r="G883" s="42" t="n">
        <x:f>$B$11</x:f>
        <x:v>100.53096491487338</x:v>
      </x:c>
      <x:c r="I883" t="n">
        <x:f>A883</x:f>
        <x:v>866</x:v>
      </x:c>
      <x:c r="J883" t="n">
        <x:f>F883</x:f>
        <x:v>100.21247113163972</x:v>
      </x:c>
      <x:c r="K883" t="n">
        <x:f>G883</x:f>
        <x:v>100.53096491487338</x:v>
      </x:c>
    </x:row>
    <x:row r="884">
      <x:c r="A884" t="n">
        <x:v>867</x:v>
      </x:c>
      <x:c r="B884" s="40" t="n">
        <x:v>1.4622901572841127</x:v>
      </x:c>
      <x:c r="C884" s="40" t="n">
        <x:v>-0.5373511586673199</x:v>
      </x:c>
      <x:c r="D884" s="40" t="n">
        <x:v>-1.6529986176640277</x:v>
      </x:c>
      <x:c r="E884" t="n">
        <x:f>--((B884^2/$B$4^2+C884^2/$B$5^2+D884^2/$B$6^2)&lt;=1)</x:f>
        <x:v>1</x:v>
      </x:c>
      <x:c r="F884" s="42" t="n">
        <x:f>$B$8*SUM($E$18:E884)/A884</x:f>
        <x:v>100.31833910034602</x:v>
      </x:c>
      <x:c r="G884" s="42" t="n">
        <x:f>$B$11</x:f>
        <x:v>100.53096491487338</x:v>
      </x:c>
      <x:c r="I884" t="n">
        <x:f>A884</x:f>
        <x:v>867</x:v>
      </x:c>
      <x:c r="J884" t="n">
        <x:f>F884</x:f>
        <x:v>100.31833910034602</x:v>
      </x:c>
      <x:c r="K884" t="n">
        <x:f>G884</x:f>
        <x:v>100.53096491487338</x:v>
      </x:c>
    </x:row>
    <x:row r="885">
      <x:c r="A885" t="n">
        <x:v>868</x:v>
      </x:c>
      <x:c r="B885" s="40" t="n">
        <x:v>1.1923897432733321</x:v>
      </x:c>
      <x:c r="C885" s="40" t="n">
        <x:v>0.34160232728070206</x:v>
      </x:c>
      <x:c r="D885" s="40" t="n">
        <x:v>-2.097087708491042</x:v>
      </x:c>
      <x:c r="E885" t="n">
        <x:f>--((B885^2/$B$4^2+C885^2/$B$5^2+D885^2/$B$6^2)&lt;=1)</x:f>
        <x:v>1</x:v>
      </x:c>
      <x:c r="F885" s="42" t="n">
        <x:f>$B$8*SUM($E$18:E885)/A885</x:f>
        <x:v>100.42396313364056</x:v>
      </x:c>
      <x:c r="G885" s="42" t="n">
        <x:f>$B$11</x:f>
        <x:v>100.53096491487338</x:v>
      </x:c>
      <x:c r="I885" t="n">
        <x:f>A885</x:f>
        <x:v>868</x:v>
      </x:c>
      <x:c r="J885" t="n">
        <x:f>F885</x:f>
        <x:v>100.42396313364056</x:v>
      </x:c>
      <x:c r="K885" t="n">
        <x:f>G885</x:f>
        <x:v>100.53096491487338</x:v>
      </x:c>
    </x:row>
    <x:row r="886">
      <x:c r="A886" t="n">
        <x:v>869</x:v>
      </x:c>
      <x:c r="B886" s="40" t="n">
        <x:v>-1.600550091357082</x:v>
      </x:c>
      <x:c r="C886" s="40" t="n">
        <x:v>2.584267087233881</x:v>
      </x:c>
      <x:c r="D886" s="40" t="n">
        <x:v>-0.4597792994137162</x:v>
      </x:c>
      <x:c r="E886" t="n">
        <x:f>--((B886^2/$B$4^2+C886^2/$B$5^2+D886^2/$B$6^2)&lt;=1)</x:f>
        <x:v>0</x:v>
      </x:c>
      <x:c r="F886" s="42" t="n">
        <x:f>$B$8*SUM($E$18:E886)/A886</x:f>
        <x:v>100.3084004602992</x:v>
      </x:c>
      <x:c r="G886" s="42" t="n">
        <x:f>$B$11</x:f>
        <x:v>100.53096491487338</x:v>
      </x:c>
      <x:c r="I886" t="n">
        <x:f>A886</x:f>
        <x:v>869</x:v>
      </x:c>
      <x:c r="J886" t="n">
        <x:f>F886</x:f>
        <x:v>100.3084004602992</x:v>
      </x:c>
      <x:c r="K886" t="n">
        <x:f>G886</x:f>
        <x:v>100.53096491487338</x:v>
      </x:c>
    </x:row>
    <x:row r="887">
      <x:c r="A887" t="n">
        <x:v>870</x:v>
      </x:c>
      <x:c r="B887" s="40" t="n">
        <x:v>-1.1824105316742832</x:v>
      </x:c>
      <x:c r="C887" s="40" t="n">
        <x:v>-2.7826660137281785</x:v>
      </x:c>
      <x:c r="D887" s="40" t="n">
        <x:v>1.0826739443806739</x:v>
      </x:c>
      <x:c r="E887" t="n">
        <x:f>--((B887^2/$B$4^2+C887^2/$B$5^2+D887^2/$B$6^2)&lt;=1)</x:f>
        <x:v>0</x:v>
      </x:c>
      <x:c r="F887" s="42" t="n">
        <x:f>$B$8*SUM($E$18:E887)/A887</x:f>
        <x:v>100.19310344827586</x:v>
      </x:c>
      <x:c r="G887" s="42" t="n">
        <x:f>$B$11</x:f>
        <x:v>100.53096491487338</x:v>
      </x:c>
      <x:c r="I887" t="n">
        <x:f>A887</x:f>
        <x:v>870</x:v>
      </x:c>
      <x:c r="J887" t="n">
        <x:f>F887</x:f>
        <x:v>100.19310344827586</x:v>
      </x:c>
      <x:c r="K887" t="n">
        <x:f>G887</x:f>
        <x:v>100.53096491487338</x:v>
      </x:c>
    </x:row>
    <x:row r="888">
      <x:c r="A888" t="n">
        <x:v>871</x:v>
      </x:c>
      <x:c r="B888" s="40" t="n">
        <x:v>0.9744014604306077</x:v>
      </x:c>
      <x:c r="C888" s="40" t="n">
        <x:v>0.728750439011665</x:v>
      </x:c>
      <x:c r="D888" s="40" t="n">
        <x:v>-0.5326419559319469</x:v>
      </x:c>
      <x:c r="E888" t="n">
        <x:f>--((B888^2/$B$4^2+C888^2/$B$5^2+D888^2/$B$6^2)&lt;=1)</x:f>
        <x:v>1</x:v>
      </x:c>
      <x:c r="F888" s="42" t="n">
        <x:f>$B$8*SUM($E$18:E888)/A888</x:f>
        <x:v>100.29850746268657</x:v>
      </x:c>
      <x:c r="G888" s="42" t="n">
        <x:f>$B$11</x:f>
        <x:v>100.53096491487338</x:v>
      </x:c>
      <x:c r="I888" t="n">
        <x:f>A888</x:f>
        <x:v>871</x:v>
      </x:c>
      <x:c r="J888" t="n">
        <x:f>F888</x:f>
        <x:v>100.29850746268657</x:v>
      </x:c>
      <x:c r="K888" t="n">
        <x:f>G888</x:f>
        <x:v>100.53096491487338</x:v>
      </x:c>
    </x:row>
    <x:row r="889">
      <x:c r="A889" t="n">
        <x:v>872</x:v>
      </x:c>
      <x:c r="B889" s="40" t="n">
        <x:v>-1.9074396216722143</x:v>
      </x:c>
      <x:c r="C889" s="40" t="n">
        <x:v>-0.25358888009953606</x:v>
      </x:c>
      <x:c r="D889" s="40" t="n">
        <x:v>-2.043707393985552</x:v>
      </x:c>
      <x:c r="E889" t="n">
        <x:f>--((B889^2/$B$4^2+C889^2/$B$5^2+D889^2/$B$6^2)&lt;=1)</x:f>
        <x:v>0</x:v>
      </x:c>
      <x:c r="F889" s="42" t="n">
        <x:f>$B$8*SUM($E$18:E889)/A889</x:f>
        <x:v>100.18348623853211</x:v>
      </x:c>
      <x:c r="G889" s="42" t="n">
        <x:f>$B$11</x:f>
        <x:v>100.53096491487338</x:v>
      </x:c>
      <x:c r="I889" t="n">
        <x:f>A889</x:f>
        <x:v>872</x:v>
      </x:c>
      <x:c r="J889" t="n">
        <x:f>F889</x:f>
        <x:v>100.18348623853211</x:v>
      </x:c>
      <x:c r="K889" t="n">
        <x:f>G889</x:f>
        <x:v>100.53096491487338</x:v>
      </x:c>
    </x:row>
    <x:row r="890">
      <x:c r="A890" t="n">
        <x:v>873</x:v>
      </x:c>
      <x:c r="B890" s="40" t="n">
        <x:v>1.9168985348291185</x:v>
      </x:c>
      <x:c r="C890" s="40" t="n">
        <x:v>-2.878433230775165</x:v>
      </x:c>
      <x:c r="D890" s="40" t="n">
        <x:v>1.5670301458262035</x:v>
      </x:c>
      <x:c r="E890" t="n">
        <x:f>--((B890^2/$B$4^2+C890^2/$B$5^2+D890^2/$B$6^2)&lt;=1)</x:f>
        <x:v>0</x:v>
      </x:c>
      <x:c r="F890" s="42" t="n">
        <x:f>$B$8*SUM($E$18:E890)/A890</x:f>
        <x:v>100.06872852233677</x:v>
      </x:c>
      <x:c r="G890" s="42" t="n">
        <x:f>$B$11</x:f>
        <x:v>100.53096491487338</x:v>
      </x:c>
      <x:c r="I890" t="n">
        <x:f>A890</x:f>
        <x:v>873</x:v>
      </x:c>
      <x:c r="J890" t="n">
        <x:f>F890</x:f>
        <x:v>100.06872852233677</x:v>
      </x:c>
      <x:c r="K890" t="n">
        <x:f>G890</x:f>
        <x:v>100.53096491487338</x:v>
      </x:c>
    </x:row>
    <x:row r="891">
      <x:c r="A891" t="n">
        <x:v>874</x:v>
      </x:c>
      <x:c r="B891" s="40" t="n">
        <x:v>-0.49142127857727713</x:v>
      </x:c>
      <x:c r="C891" s="40" t="n">
        <x:v>-1.5027109443676778</x:v>
      </x:c>
      <x:c r="D891" s="40" t="n">
        <x:v>0.6757687576919187</x:v>
      </x:c>
      <x:c r="E891" t="n">
        <x:f>--((B891^2/$B$4^2+C891^2/$B$5^2+D891^2/$B$6^2)&lt;=1)</x:f>
        <x:v>1</x:v>
      </x:c>
      <x:c r="F891" s="42" t="n">
        <x:f>$B$8*SUM($E$18:E891)/A891</x:f>
        <x:v>100.17391304347827</x:v>
      </x:c>
      <x:c r="G891" s="42" t="n">
        <x:f>$B$11</x:f>
        <x:v>100.53096491487338</x:v>
      </x:c>
      <x:c r="I891" t="n">
        <x:f>A891</x:f>
        <x:v>874</x:v>
      </x:c>
      <x:c r="J891" t="n">
        <x:f>F891</x:f>
        <x:v>100.17391304347827</x:v>
      </x:c>
      <x:c r="K891" t="n">
        <x:f>G891</x:f>
        <x:v>100.53096491487338</x:v>
      </x:c>
    </x:row>
    <x:row r="892">
      <x:c r="A892" t="n">
        <x:v>875</x:v>
      </x:c>
      <x:c r="B892" s="40" t="n">
        <x:v>0.8772501347632944</x:v>
      </x:c>
      <x:c r="C892" s="40" t="n">
        <x:v>-2.289088485871191</x:v>
      </x:c>
      <x:c r="D892" s="40" t="n">
        <x:v>0.15451125932553555</x:v>
      </x:c>
      <x:c r="E892" t="n">
        <x:f>--((B892^2/$B$4^2+C892^2/$B$5^2+D892^2/$B$6^2)&lt;=1)</x:f>
        <x:v>1</x:v>
      </x:c>
      <x:c r="F892" s="42" t="n">
        <x:f>$B$8*SUM($E$18:E892)/A892</x:f>
        <x:v>100.27885714285715</x:v>
      </x:c>
      <x:c r="G892" s="42" t="n">
        <x:f>$B$11</x:f>
        <x:v>100.53096491487338</x:v>
      </x:c>
      <x:c r="I892" t="n">
        <x:f>A892</x:f>
        <x:v>875</x:v>
      </x:c>
      <x:c r="J892" t="n">
        <x:f>F892</x:f>
        <x:v>100.27885714285715</x:v>
      </x:c>
      <x:c r="K892" t="n">
        <x:f>G892</x:f>
        <x:v>100.53096491487338</x:v>
      </x:c>
    </x:row>
    <x:row r="893">
      <x:c r="A893" t="n">
        <x:v>876</x:v>
      </x:c>
      <x:c r="B893" s="40" t="n">
        <x:v>1.5502843539521733</x:v>
      </x:c>
      <x:c r="C893" s="40" t="n">
        <x:v>-1.6992351256113316</x:v>
      </x:c>
      <x:c r="D893" s="40" t="n">
        <x:v>0.4353567795678268</x:v>
      </x:c>
      <x:c r="E893" t="n">
        <x:f>--((B893^2/$B$4^2+C893^2/$B$5^2+D893^2/$B$6^2)&lt;=1)</x:f>
        <x:v>1</x:v>
      </x:c>
      <x:c r="F893" s="42" t="n">
        <x:f>$B$8*SUM($E$18:E893)/A893</x:f>
        <x:v>100.38356164383562</x:v>
      </x:c>
      <x:c r="G893" s="42" t="n">
        <x:f>$B$11</x:f>
        <x:v>100.53096491487338</x:v>
      </x:c>
      <x:c r="I893" t="n">
        <x:f>A893</x:f>
        <x:v>876</x:v>
      </x:c>
      <x:c r="J893" t="n">
        <x:f>F893</x:f>
        <x:v>100.38356164383562</x:v>
      </x:c>
      <x:c r="K893" t="n">
        <x:f>G893</x:f>
        <x:v>100.53096491487338</x:v>
      </x:c>
    </x:row>
    <x:row r="894">
      <x:c r="A894" t="n">
        <x:v>877</x:v>
      </x:c>
      <x:c r="B894" s="40" t="n">
        <x:v>-0.42148044739967094</x:v>
      </x:c>
      <x:c r="C894" s="40" t="n">
        <x:v>-1.352578539234491</x:v>
      </x:c>
      <x:c r="D894" s="40" t="n">
        <x:v>-2.2247948296494116</x:v>
      </x:c>
      <x:c r="E894" t="n">
        <x:f>--((B894^2/$B$4^2+C894^2/$B$5^2+D894^2/$B$6^2)&lt;=1)</x:f>
        <x:v>1</x:v>
      </x:c>
      <x:c r="F894" s="42" t="n">
        <x:f>$B$8*SUM($E$18:E894)/A894</x:f>
        <x:v>100.48802736602052</x:v>
      </x:c>
      <x:c r="G894" s="42" t="n">
        <x:f>$B$11</x:f>
        <x:v>100.53096491487338</x:v>
      </x:c>
      <x:c r="I894" t="n">
        <x:f>A894</x:f>
        <x:v>877</x:v>
      </x:c>
      <x:c r="J894" t="n">
        <x:f>F894</x:f>
        <x:v>100.48802736602052</x:v>
      </x:c>
      <x:c r="K894" t="n">
        <x:f>G894</x:f>
        <x:v>100.53096491487338</x:v>
      </x:c>
    </x:row>
    <x:row r="895">
      <x:c r="A895" t="n">
        <x:v>878</x:v>
      </x:c>
      <x:c r="B895" s="40" t="n">
        <x:v>-0.7234700456013359</x:v>
      </x:c>
      <x:c r="C895" s="40" t="n">
        <x:v>-0.592161987706822</x:v>
      </x:c>
      <x:c r="D895" s="40" t="n">
        <x:v>1.4434484887396497</x:v>
      </x:c>
      <x:c r="E895" t="n">
        <x:f>--((B895^2/$B$4^2+C895^2/$B$5^2+D895^2/$B$6^2)&lt;=1)</x:f>
        <x:v>1</x:v>
      </x:c>
      <x:c r="F895" s="42" t="n">
        <x:f>$B$8*SUM($E$18:E895)/A895</x:f>
        <x:v>100.59225512528474</x:v>
      </x:c>
      <x:c r="G895" s="42" t="n">
        <x:f>$B$11</x:f>
        <x:v>100.53096491487338</x:v>
      </x:c>
      <x:c r="I895" t="n">
        <x:f>A895</x:f>
        <x:v>878</x:v>
      </x:c>
      <x:c r="J895" t="n">
        <x:f>F895</x:f>
        <x:v>100.59225512528474</x:v>
      </x:c>
      <x:c r="K895" t="n">
        <x:f>G895</x:f>
        <x:v>100.53096491487338</x:v>
      </x:c>
    </x:row>
    <x:row r="896">
      <x:c r="A896" t="n">
        <x:v>879</x:v>
      </x:c>
      <x:c r="B896" s="40" t="n">
        <x:v>0.4349645155929869</x:v>
      </x:c>
      <x:c r="C896" s="40" t="n">
        <x:v>0.1742363609333415</x:v>
      </x:c>
      <x:c r="D896" s="40" t="n">
        <x:v>-0.8999957156898537</x:v>
      </x:c>
      <x:c r="E896" t="n">
        <x:f>--((B896^2/$B$4^2+C896^2/$B$5^2+D896^2/$B$6^2)&lt;=1)</x:f>
        <x:v>1</x:v>
      </x:c>
      <x:c r="F896" s="42" t="n">
        <x:f>$B$8*SUM($E$18:E896)/A896</x:f>
        <x:v>100.6962457337884</x:v>
      </x:c>
      <x:c r="G896" s="42" t="n">
        <x:f>$B$11</x:f>
        <x:v>100.53096491487338</x:v>
      </x:c>
      <x:c r="I896" t="n">
        <x:f>A896</x:f>
        <x:v>879</x:v>
      </x:c>
      <x:c r="J896" t="n">
        <x:f>F896</x:f>
        <x:v>100.6962457337884</x:v>
      </x:c>
      <x:c r="K896" t="n">
        <x:f>G896</x:f>
        <x:v>100.53096491487338</x:v>
      </x:c>
    </x:row>
    <x:row r="897">
      <x:c r="A897" t="n">
        <x:v>880</x:v>
      </x:c>
      <x:c r="B897" s="40" t="n">
        <x:v>0.32395749499220283</x:v>
      </x:c>
      <x:c r="C897" s="40" t="n">
        <x:v>-2.9940600364416836</x:v>
      </x:c>
      <x:c r="D897" s="40" t="n">
        <x:v>-1.092257442159843</x:v>
      </x:c>
      <x:c r="E897" t="n">
        <x:f>--((B897^2/$B$4^2+C897^2/$B$5^2+D897^2/$B$6^2)&lt;=1)</x:f>
        <x:v>0</x:v>
      </x:c>
      <x:c r="F897" s="42" t="n">
        <x:f>$B$8*SUM($E$18:E897)/A897</x:f>
        <x:v>100.58181818181818</x:v>
      </x:c>
      <x:c r="G897" s="42" t="n">
        <x:f>$B$11</x:f>
        <x:v>100.53096491487338</x:v>
      </x:c>
      <x:c r="I897" t="n">
        <x:f>A897</x:f>
        <x:v>880</x:v>
      </x:c>
      <x:c r="J897" t="n">
        <x:f>F897</x:f>
        <x:v>100.58181818181818</x:v>
      </x:c>
      <x:c r="K897" t="n">
        <x:f>G897</x:f>
        <x:v>100.53096491487338</x:v>
      </x:c>
    </x:row>
    <x:row r="898">
      <x:c r="A898" t="n">
        <x:v>881</x:v>
      </x:c>
      <x:c r="B898" s="40" t="n">
        <x:v>-0.3634400895008114</x:v>
      </x:c>
      <x:c r="C898" s="40" t="n">
        <x:v>-2.0287838362275554</x:v>
      </x:c>
      <x:c r="D898" s="40" t="n">
        <x:v>-2.8021263338658358</x:v>
      </x:c>
      <x:c r="E898" t="n">
        <x:f>--((B898^2/$B$4^2+C898^2/$B$5^2+D898^2/$B$6^2)&lt;=1)</x:f>
        <x:v>1</x:v>
      </x:c>
      <x:c r="F898" s="42" t="n">
        <x:f>$B$8*SUM($E$18:E898)/A898</x:f>
        <x:v>100.6855845629966</x:v>
      </x:c>
      <x:c r="G898" s="42" t="n">
        <x:f>$B$11</x:f>
        <x:v>100.53096491487338</x:v>
      </x:c>
      <x:c r="I898" t="n">
        <x:f>A898</x:f>
        <x:v>881</x:v>
      </x:c>
      <x:c r="J898" t="n">
        <x:f>F898</x:f>
        <x:v>100.6855845629966</x:v>
      </x:c>
      <x:c r="K898" t="n">
        <x:f>G898</x:f>
        <x:v>100.53096491487338</x:v>
      </x:c>
    </x:row>
    <x:row r="899">
      <x:c r="A899" t="n">
        <x:v>882</x:v>
      </x:c>
      <x:c r="B899" s="40" t="n">
        <x:v>0.4070990234708338</x:v>
      </x:c>
      <x:c r="C899" s="40" t="n">
        <x:v>-2.4386016863471958</x:v>
      </x:c>
      <x:c r="D899" s="40" t="n">
        <x:v>0.7746986764035713</x:v>
      </x:c>
      <x:c r="E899" t="n">
        <x:f>--((B899^2/$B$4^2+C899^2/$B$5^2+D899^2/$B$6^2)&lt;=1)</x:f>
        <x:v>1</x:v>
      </x:c>
      <x:c r="F899" s="42" t="n">
        <x:f>$B$8*SUM($E$18:E899)/A899</x:f>
        <x:v>100.78911564625851</x:v>
      </x:c>
      <x:c r="G899" s="42" t="n">
        <x:f>$B$11</x:f>
        <x:v>100.53096491487338</x:v>
      </x:c>
      <x:c r="I899" t="n">
        <x:f>A899</x:f>
        <x:v>882</x:v>
      </x:c>
      <x:c r="J899" t="n">
        <x:f>F899</x:f>
        <x:v>100.78911564625851</x:v>
      </x:c>
      <x:c r="K899" t="n">
        <x:f>G899</x:f>
        <x:v>100.53096491487338</x:v>
      </x:c>
    </x:row>
    <x:row r="900">
      <x:c r="A900" t="n">
        <x:v>883</x:v>
      </x:c>
      <x:c r="B900" s="40" t="n">
        <x:v>1.741525478265979</x:v>
      </x:c>
      <x:c r="C900" s="40" t="n">
        <x:v>0.29804039557646256</x:v>
      </x:c>
      <x:c r="D900" s="40" t="n">
        <x:v>0.8213152843720524</x:v>
      </x:c>
      <x:c r="E900" t="n">
        <x:f>--((B900^2/$B$4^2+C900^2/$B$5^2+D900^2/$B$6^2)&lt;=1)</x:f>
        <x:v>1</x:v>
      </x:c>
      <x:c r="F900" s="42" t="n">
        <x:f>$B$8*SUM($E$18:E900)/A900</x:f>
        <x:v>100.89241223103058</x:v>
      </x:c>
      <x:c r="G900" s="42" t="n">
        <x:f>$B$11</x:f>
        <x:v>100.53096491487338</x:v>
      </x:c>
      <x:c r="I900" t="n">
        <x:f>A900</x:f>
        <x:v>883</x:v>
      </x:c>
      <x:c r="J900" t="n">
        <x:f>F900</x:f>
        <x:v>100.89241223103058</x:v>
      </x:c>
      <x:c r="K900" t="n">
        <x:f>G900</x:f>
        <x:v>100.53096491487338</x:v>
      </x:c>
    </x:row>
    <x:row r="901">
      <x:c r="A901" t="n">
        <x:v>884</x:v>
      </x:c>
      <x:c r="B901" s="40" t="n">
        <x:v>-0.1294389734936141</x:v>
      </x:c>
      <x:c r="C901" s="40" t="n">
        <x:v>-1.0255507775923811</x:v>
      </x:c>
      <x:c r="D901" s="40" t="n">
        <x:v>-1.2775948506677732</x:v>
      </x:c>
      <x:c r="E901" t="n">
        <x:f>--((B901^2/$B$4^2+C901^2/$B$5^2+D901^2/$B$6^2)&lt;=1)</x:f>
        <x:v>1</x:v>
      </x:c>
      <x:c r="F901" s="42" t="n">
        <x:f>$B$8*SUM($E$18:E901)/A901</x:f>
        <x:v>100.99547511312217</x:v>
      </x:c>
      <x:c r="G901" s="42" t="n">
        <x:f>$B$11</x:f>
        <x:v>100.53096491487338</x:v>
      </x:c>
      <x:c r="I901" t="n">
        <x:f>A901</x:f>
        <x:v>884</x:v>
      </x:c>
      <x:c r="J901" t="n">
        <x:f>F901</x:f>
        <x:v>100.99547511312217</x:v>
      </x:c>
      <x:c r="K901" t="n">
        <x:f>G901</x:f>
        <x:v>100.53096491487338</x:v>
      </x:c>
    </x:row>
    <x:row r="902">
      <x:c r="A902" t="n">
        <x:v>885</x:v>
      </x:c>
      <x:c r="B902" s="40" t="n">
        <x:v>-1.2130312769974747</x:v>
      </x:c>
      <x:c r="C902" s="40" t="n">
        <x:v>0.2903864162083085</x:v>
      </x:c>
      <x:c r="D902" s="40" t="n">
        <x:v>2.8788004549242725</x:v>
      </x:c>
      <x:c r="E902" t="n">
        <x:f>--((B902^2/$B$4^2+C902^2/$B$5^2+D902^2/$B$6^2)&lt;=1)</x:f>
        <x:v>1</x:v>
      </x:c>
      <x:c r="F902" s="42" t="n">
        <x:f>$B$8*SUM($E$18:E902)/A902</x:f>
        <x:v>101.09830508474576</x:v>
      </x:c>
      <x:c r="G902" s="42" t="n">
        <x:f>$B$11</x:f>
        <x:v>100.53096491487338</x:v>
      </x:c>
      <x:c r="I902" t="n">
        <x:f>A902</x:f>
        <x:v>885</x:v>
      </x:c>
      <x:c r="J902" t="n">
        <x:f>F902</x:f>
        <x:v>101.09830508474576</x:v>
      </x:c>
      <x:c r="K902" t="n">
        <x:f>G902</x:f>
        <x:v>100.53096491487338</x:v>
      </x:c>
    </x:row>
    <x:row r="903">
      <x:c r="A903" t="n">
        <x:v>886</x:v>
      </x:c>
      <x:c r="B903" s="40" t="n">
        <x:v>-0.49117606846798445</x:v>
      </x:c>
      <x:c r="C903" s="40" t="n">
        <x:v>-1.669060186951933</x:v>
      </x:c>
      <x:c r="D903" s="40" t="n">
        <x:v>2.7636631897234265</x:v>
      </x:c>
      <x:c r="E903" t="n">
        <x:f>--((B903^2/$B$4^2+C903^2/$B$5^2+D903^2/$B$6^2)&lt;=1)</x:f>
        <x:v>1</x:v>
      </x:c>
      <x:c r="F903" s="42" t="n">
        <x:f>$B$8*SUM($E$18:E903)/A903</x:f>
        <x:v>101.20090293453724</x:v>
      </x:c>
      <x:c r="G903" s="42" t="n">
        <x:f>$B$11</x:f>
        <x:v>100.53096491487338</x:v>
      </x:c>
      <x:c r="I903" t="n">
        <x:f>A903</x:f>
        <x:v>886</x:v>
      </x:c>
      <x:c r="J903" t="n">
        <x:f>F903</x:f>
        <x:v>101.20090293453724</x:v>
      </x:c>
      <x:c r="K903" t="n">
        <x:f>G903</x:f>
        <x:v>100.53096491487338</x:v>
      </x:c>
    </x:row>
    <x:row r="904">
      <x:c r="A904" t="n">
        <x:v>887</x:v>
      </x:c>
      <x:c r="B904" s="40" t="n">
        <x:v>-0.4235720696275256</x:v>
      </x:c>
      <x:c r="C904" s="40" t="n">
        <x:v>-2.854623875474491</x:v>
      </x:c>
      <x:c r="D904" s="40" t="n">
        <x:v>-3.1275655481405495</x:v>
      </x:c>
      <x:c r="E904" t="n">
        <x:f>--((B904^2/$B$4^2+C904^2/$B$5^2+D904^2/$B$6^2)&lt;=1)</x:f>
        <x:v>0</x:v>
      </x:c>
      <x:c r="F904" s="42" t="n">
        <x:f>$B$8*SUM($E$18:E904)/A904</x:f>
        <x:v>101.08680947012401</x:v>
      </x:c>
      <x:c r="G904" s="42" t="n">
        <x:f>$B$11</x:f>
        <x:v>100.53096491487338</x:v>
      </x:c>
      <x:c r="I904" t="n">
        <x:f>A904</x:f>
        <x:v>887</x:v>
      </x:c>
      <x:c r="J904" t="n">
        <x:f>F904</x:f>
        <x:v>101.08680947012401</x:v>
      </x:c>
      <x:c r="K904" t="n">
        <x:f>G904</x:f>
        <x:v>100.53096491487338</x:v>
      </x:c>
    </x:row>
    <x:row r="905">
      <x:c r="A905" t="n">
        <x:v>888</x:v>
      </x:c>
      <x:c r="B905" s="40" t="n">
        <x:v>-1.4755652278951206</x:v>
      </x:c>
      <x:c r="C905" s="40" t="n">
        <x:v>2.648201407621481</x:v>
      </x:c>
      <x:c r="D905" s="40" t="n">
        <x:v>1.5603071024793458</x:v>
      </x:c>
      <x:c r="E905" t="n">
        <x:f>--((B905^2/$B$4^2+C905^2/$B$5^2+D905^2/$B$6^2)&lt;=1)</x:f>
        <x:v>0</x:v>
      </x:c>
      <x:c r="F905" s="42" t="n">
        <x:f>$B$8*SUM($E$18:E905)/A905</x:f>
        <x:v>100.97297297297297</x:v>
      </x:c>
      <x:c r="G905" s="42" t="n">
        <x:f>$B$11</x:f>
        <x:v>100.53096491487338</x:v>
      </x:c>
      <x:c r="I905" t="n">
        <x:f>A905</x:f>
        <x:v>888</x:v>
      </x:c>
      <x:c r="J905" t="n">
        <x:f>F905</x:f>
        <x:v>100.97297297297297</x:v>
      </x:c>
      <x:c r="K905" t="n">
        <x:f>G905</x:f>
        <x:v>100.53096491487338</x:v>
      </x:c>
    </x:row>
    <x:row r="906">
      <x:c r="A906" t="n">
        <x:v>889</x:v>
      </x:c>
      <x:c r="B906" s="40" t="n">
        <x:v>-1.3485139977817804</x:v>
      </x:c>
      <x:c r="C906" s="40" t="n">
        <x:v>-2.350151272866036</x:v>
      </x:c>
      <x:c r="D906" s="40" t="n">
        <x:v>-0.8493219505198217</x:v>
      </x:c>
      <x:c r="E906" t="n">
        <x:f>--((B906^2/$B$4^2+C906^2/$B$5^2+D906^2/$B$6^2)&lt;=1)</x:f>
        <x:v>0</x:v>
      </x:c>
      <x:c r="F906" s="42" t="n">
        <x:f>$B$8*SUM($E$18:E906)/A906</x:f>
        <x:v>100.85939257592801</x:v>
      </x:c>
      <x:c r="G906" s="42" t="n">
        <x:f>$B$11</x:f>
        <x:v>100.53096491487338</x:v>
      </x:c>
      <x:c r="I906" t="n">
        <x:f>A906</x:f>
        <x:v>889</x:v>
      </x:c>
      <x:c r="J906" t="n">
        <x:f>F906</x:f>
        <x:v>100.85939257592801</x:v>
      </x:c>
      <x:c r="K906" t="n">
        <x:f>G906</x:f>
        <x:v>100.53096491487338</x:v>
      </x:c>
    </x:row>
    <x:row r="907">
      <x:c r="A907" t="n">
        <x:v>890</x:v>
      </x:c>
      <x:c r="B907" s="40" t="n">
        <x:v>0.738248293574709</x:v>
      </x:c>
      <x:c r="C907" s="40" t="n">
        <x:v>-2.2388475122296994</x:v>
      </x:c>
      <x:c r="D907" s="40" t="n">
        <x:v>3.9977188085031425</x:v>
      </x:c>
      <x:c r="E907" t="n">
        <x:f>--((B907^2/$B$4^2+C907^2/$B$5^2+D907^2/$B$6^2)&lt;=1)</x:f>
        <x:v>0</x:v>
      </x:c>
      <x:c r="F907" s="42" t="n">
        <x:f>$B$8*SUM($E$18:E907)/A907</x:f>
        <x:v>100.74606741573034</x:v>
      </x:c>
      <x:c r="G907" s="42" t="n">
        <x:f>$B$11</x:f>
        <x:v>100.53096491487338</x:v>
      </x:c>
      <x:c r="I907" t="n">
        <x:f>A907</x:f>
        <x:v>890</x:v>
      </x:c>
      <x:c r="J907" t="n">
        <x:f>F907</x:f>
        <x:v>100.74606741573034</x:v>
      </x:c>
      <x:c r="K907" t="n">
        <x:f>G907</x:f>
        <x:v>100.53096491487338</x:v>
      </x:c>
    </x:row>
    <x:row r="908">
      <x:c r="A908" t="n">
        <x:v>891</x:v>
      </x:c>
      <x:c r="B908" s="40" t="n">
        <x:v>-0.6420889831643892</x:v>
      </x:c>
      <x:c r="C908" s="40" t="n">
        <x:v>-2.120719040939157</x:v>
      </x:c>
      <x:c r="D908" s="40" t="n">
        <x:v>-2.199810962522781</x:v>
      </x:c>
      <x:c r="E908" t="n">
        <x:f>--((B908^2/$B$4^2+C908^2/$B$5^2+D908^2/$B$6^2)&lt;=1)</x:f>
        <x:v>1</x:v>
      </x:c>
      <x:c r="F908" s="42" t="n">
        <x:f>$B$8*SUM($E$18:E908)/A908</x:f>
        <x:v>100.84848484848484</x:v>
      </x:c>
      <x:c r="G908" s="42" t="n">
        <x:f>$B$11</x:f>
        <x:v>100.53096491487338</x:v>
      </x:c>
      <x:c r="I908" t="n">
        <x:f>A908</x:f>
        <x:v>891</x:v>
      </x:c>
      <x:c r="J908" t="n">
        <x:f>F908</x:f>
        <x:v>100.84848484848484</x:v>
      </x:c>
      <x:c r="K908" t="n">
        <x:f>G908</x:f>
        <x:v>100.53096491487338</x:v>
      </x:c>
    </x:row>
    <x:row r="909">
      <x:c r="A909" t="n">
        <x:v>892</x:v>
      </x:c>
      <x:c r="B909" s="40" t="n">
        <x:v>1.8195935674232304</x:v>
      </x:c>
      <x:c r="C909" s="40" t="n">
        <x:v>2.8876591439596364</x:v>
      </x:c>
      <x:c r="D909" s="40" t="n">
        <x:v>-1.7558063566840847</x:v>
      </x:c>
      <x:c r="E909" t="n">
        <x:f>--((B909^2/$B$4^2+C909^2/$B$5^2+D909^2/$B$6^2)&lt;=1)</x:f>
        <x:v>0</x:v>
      </x:c>
      <x:c r="F909" s="42" t="n">
        <x:f>$B$8*SUM($E$18:E909)/A909</x:f>
        <x:v>100.73542600896862</x:v>
      </x:c>
      <x:c r="G909" s="42" t="n">
        <x:f>$B$11</x:f>
        <x:v>100.53096491487338</x:v>
      </x:c>
      <x:c r="I909" t="n">
        <x:f>A909</x:f>
        <x:v>892</x:v>
      </x:c>
      <x:c r="J909" t="n">
        <x:f>F909</x:f>
        <x:v>100.73542600896862</x:v>
      </x:c>
      <x:c r="K909" t="n">
        <x:f>G909</x:f>
        <x:v>100.53096491487338</x:v>
      </x:c>
    </x:row>
    <x:row r="910">
      <x:c r="A910" t="n">
        <x:v>893</x:v>
      </x:c>
      <x:c r="B910" s="40" t="n">
        <x:v>-1.0256130185655703</x:v>
      </x:c>
      <x:c r="C910" s="40" t="n">
        <x:v>0.7059614410199764</x:v>
      </x:c>
      <x:c r="D910" s="40" t="n">
        <x:v>-0.4631496435541802</x:v>
      </x:c>
      <x:c r="E910" t="n">
        <x:f>--((B910^2/$B$4^2+C910^2/$B$5^2+D910^2/$B$6^2)&lt;=1)</x:f>
        <x:v>1</x:v>
      </x:c>
      <x:c r="F910" s="42" t="n">
        <x:f>$B$8*SUM($E$18:E910)/A910</x:f>
        <x:v>100.83762597984322</x:v>
      </x:c>
      <x:c r="G910" s="42" t="n">
        <x:f>$B$11</x:f>
        <x:v>100.53096491487338</x:v>
      </x:c>
      <x:c r="I910" t="n">
        <x:f>A910</x:f>
        <x:v>893</x:v>
      </x:c>
      <x:c r="J910" t="n">
        <x:f>F910</x:f>
        <x:v>100.83762597984322</x:v>
      </x:c>
      <x:c r="K910" t="n">
        <x:f>G910</x:f>
        <x:v>100.53096491487338</x:v>
      </x:c>
    </x:row>
    <x:row r="911">
      <x:c r="A911" t="n">
        <x:v>894</x:v>
      </x:c>
      <x:c r="B911" s="40" t="n">
        <x:v>-1.6043019795807107</x:v>
      </x:c>
      <x:c r="C911" s="40" t="n">
        <x:v>0.6617397102231033</x:v>
      </x:c>
      <x:c r="D911" s="40" t="n">
        <x:v>-1.8502788105546948</x:v>
      </x:c>
      <x:c r="E911" t="n">
        <x:f>--((B911^2/$B$4^2+C911^2/$B$5^2+D911^2/$B$6^2)&lt;=1)</x:f>
        <x:v>1</x:v>
      </x:c>
      <x:c r="F911" s="42" t="n">
        <x:f>$B$8*SUM($E$18:E911)/A911</x:f>
        <x:v>100.93959731543625</x:v>
      </x:c>
      <x:c r="G911" s="42" t="n">
        <x:f>$B$11</x:f>
        <x:v>100.53096491487338</x:v>
      </x:c>
      <x:c r="I911" t="n">
        <x:f>A911</x:f>
        <x:v>894</x:v>
      </x:c>
      <x:c r="J911" t="n">
        <x:f>F911</x:f>
        <x:v>100.93959731543625</x:v>
      </x:c>
      <x:c r="K911" t="n">
        <x:f>G911</x:f>
        <x:v>100.53096491487338</x:v>
      </x:c>
    </x:row>
    <x:row r="912">
      <x:c r="A912" t="n">
        <x:v>895</x:v>
      </x:c>
      <x:c r="B912" s="40" t="n">
        <x:v>1.0140182520010317</x:v>
      </x:c>
      <x:c r="C912" s="40" t="n">
        <x:v>2.920189209111178</x:v>
      </x:c>
      <x:c r="D912" s="40" t="n">
        <x:v>1.5359469310921137</x:v>
      </x:c>
      <x:c r="E912" t="n">
        <x:f>--((B912^2/$B$4^2+C912^2/$B$5^2+D912^2/$B$6^2)&lt;=1)</x:f>
        <x:v>0</x:v>
      </x:c>
      <x:c r="F912" s="42" t="n">
        <x:f>$B$8*SUM($E$18:E912)/A912</x:f>
        <x:v>100.8268156424581</x:v>
      </x:c>
      <x:c r="G912" s="42" t="n">
        <x:f>$B$11</x:f>
        <x:v>100.53096491487338</x:v>
      </x:c>
      <x:c r="I912" t="n">
        <x:f>A912</x:f>
        <x:v>895</x:v>
      </x:c>
      <x:c r="J912" t="n">
        <x:f>F912</x:f>
        <x:v>100.8268156424581</x:v>
      </x:c>
      <x:c r="K912" t="n">
        <x:f>G912</x:f>
        <x:v>100.53096491487338</x:v>
      </x:c>
    </x:row>
    <x:row r="913">
      <x:c r="A913" t="n">
        <x:v>896</x:v>
      </x:c>
      <x:c r="B913" s="40" t="n">
        <x:v>1.5241442076714802</x:v>
      </x:c>
      <x:c r="C913" s="40" t="n">
        <x:v>-2.469367384352071</x:v>
      </x:c>
      <x:c r="D913" s="40" t="n">
        <x:v>-0.1527351025481556</x:v>
      </x:c>
      <x:c r="E913" t="n">
        <x:f>--((B913^2/$B$4^2+C913^2/$B$5^2+D913^2/$B$6^2)&lt;=1)</x:f>
        <x:v>0</x:v>
      </x:c>
      <x:c r="F913" s="42" t="n">
        <x:f>$B$8*SUM($E$18:E913)/A913</x:f>
        <x:v>100.71428571428571</x:v>
      </x:c>
      <x:c r="G913" s="42" t="n">
        <x:f>$B$11</x:f>
        <x:v>100.53096491487338</x:v>
      </x:c>
      <x:c r="I913" t="n">
        <x:f>A913</x:f>
        <x:v>896</x:v>
      </x:c>
      <x:c r="J913" t="n">
        <x:f>F913</x:f>
        <x:v>100.71428571428571</x:v>
      </x:c>
      <x:c r="K913" t="n">
        <x:f>G913</x:f>
        <x:v>100.53096491487338</x:v>
      </x:c>
    </x:row>
    <x:row r="914">
      <x:c r="A914" t="n">
        <x:v>897</x:v>
      </x:c>
      <x:c r="B914" s="40" t="n">
        <x:v>-0.8875465725140486</x:v>
      </x:c>
      <x:c r="C914" s="40" t="n">
        <x:v>2.847005355253735</x:v>
      </x:c>
      <x:c r="D914" s="40" t="n">
        <x:v>-2.2329693212036785</x:v>
      </x:c>
      <x:c r="E914" t="n">
        <x:f>--((B914^2/$B$4^2+C914^2/$B$5^2+D914^2/$B$6^2)&lt;=1)</x:f>
        <x:v>0</x:v>
      </x:c>
      <x:c r="F914" s="42" t="n">
        <x:f>$B$8*SUM($E$18:E914)/A914</x:f>
        <x:v>100.60200668896321</x:v>
      </x:c>
      <x:c r="G914" s="42" t="n">
        <x:f>$B$11</x:f>
        <x:v>100.53096491487338</x:v>
      </x:c>
      <x:c r="I914" t="n">
        <x:f>A914</x:f>
        <x:v>897</x:v>
      </x:c>
      <x:c r="J914" t="n">
        <x:f>F914</x:f>
        <x:v>100.60200668896321</x:v>
      </x:c>
      <x:c r="K914" t="n">
        <x:f>G914</x:f>
        <x:v>100.53096491487338</x:v>
      </x:c>
    </x:row>
    <x:row r="915">
      <x:c r="A915" t="n">
        <x:v>898</x:v>
      </x:c>
      <x:c r="B915" s="40" t="n">
        <x:v>-1.1916475934180881</x:v>
      </x:c>
      <x:c r="C915" s="40" t="n">
        <x:v>-1.7759211206757546</x:v>
      </x:c>
      <x:c r="D915" s="40" t="n">
        <x:v>0.050992555892500846</x:v>
      </x:c>
      <x:c r="E915" t="n">
        <x:f>--((B915^2/$B$4^2+C915^2/$B$5^2+D915^2/$B$6^2)&lt;=1)</x:f>
        <x:v>1</x:v>
      </x:c>
      <x:c r="F915" s="42" t="n">
        <x:f>$B$8*SUM($E$18:E915)/A915</x:f>
        <x:v>100.70378619153675</x:v>
      </x:c>
      <x:c r="G915" s="42" t="n">
        <x:f>$B$11</x:f>
        <x:v>100.53096491487338</x:v>
      </x:c>
      <x:c r="I915" t="n">
        <x:f>A915</x:f>
        <x:v>898</x:v>
      </x:c>
      <x:c r="J915" t="n">
        <x:f>F915</x:f>
        <x:v>100.70378619153675</x:v>
      </x:c>
      <x:c r="K915" t="n">
        <x:f>G915</x:f>
        <x:v>100.53096491487338</x:v>
      </x:c>
    </x:row>
    <x:row r="916">
      <x:c r="A916" t="n">
        <x:v>899</x:v>
      </x:c>
      <x:c r="B916" s="40" t="n">
        <x:v>-1.2569354605156513</x:v>
      </x:c>
      <x:c r="C916" s="40" t="n">
        <x:v>0.7384290213722124</x:v>
      </x:c>
      <x:c r="D916" s="40" t="n">
        <x:v>3.1103021309203074</x:v>
      </x:c>
      <x:c r="E916" t="n">
        <x:f>--((B916^2/$B$4^2+C916^2/$B$5^2+D916^2/$B$6^2)&lt;=1)</x:f>
        <x:v>0</x:v>
      </x:c>
      <x:c r="F916" s="42" t="n">
        <x:f>$B$8*SUM($E$18:E916)/A916</x:f>
        <x:v>100.59176863181312</x:v>
      </x:c>
      <x:c r="G916" s="42" t="n">
        <x:f>$B$11</x:f>
        <x:v>100.53096491487338</x:v>
      </x:c>
      <x:c r="I916" t="n">
        <x:f>A916</x:f>
        <x:v>899</x:v>
      </x:c>
      <x:c r="J916" t="n">
        <x:f>F916</x:f>
        <x:v>100.59176863181312</x:v>
      </x:c>
      <x:c r="K916" t="n">
        <x:f>G916</x:f>
        <x:v>100.53096491487338</x:v>
      </x:c>
    </x:row>
    <x:row r="917">
      <x:c r="A917" t="n">
        <x:v>900</x:v>
      </x:c>
      <x:c r="B917" s="40" t="n">
        <x:v>0.08804920546604933</x:v>
      </x:c>
      <x:c r="C917" s="40" t="n">
        <x:v>-0.47949860818324996</x:v>
      </x:c>
      <x:c r="D917" s="40" t="n">
        <x:v>2.3391651748004225</x:v>
      </x:c>
      <x:c r="E917" t="n">
        <x:f>--((B917^2/$B$4^2+C917^2/$B$5^2+D917^2/$B$6^2)&lt;=1)</x:f>
        <x:v>1</x:v>
      </x:c>
      <x:c r="F917" s="42" t="n">
        <x:f>$B$8*SUM($E$18:E917)/A917</x:f>
        <x:v>100.69333333333333</x:v>
      </x:c>
      <x:c r="G917" s="42" t="n">
        <x:f>$B$11</x:f>
        <x:v>100.53096491487338</x:v>
      </x:c>
      <x:c r="I917" t="n">
        <x:f>A917</x:f>
        <x:v>900</x:v>
      </x:c>
      <x:c r="J917" t="n">
        <x:f>F917</x:f>
        <x:v>100.69333333333333</x:v>
      </x:c>
      <x:c r="K917" t="n">
        <x:f>G917</x:f>
        <x:v>100.53096491487338</x:v>
      </x:c>
    </x:row>
    <x:row r="918">
      <x:c r="A918" t="n">
        <x:v>901</x:v>
      </x:c>
      <x:c r="B918" s="40" t="n">
        <x:v>-0.12633343501291616</x:v>
      </x:c>
      <x:c r="C918" s="40" t="n">
        <x:v>-0.6962891191369307</x:v>
      </x:c>
      <x:c r="D918" s="40" t="n">
        <x:v>-0.009368604585431761</x:v>
      </x:c>
      <x:c r="E918" t="n">
        <x:f>--((B918^2/$B$4^2+C918^2/$B$5^2+D918^2/$B$6^2)&lt;=1)</x:f>
        <x:v>1</x:v>
      </x:c>
      <x:c r="F918" s="42" t="n">
        <x:f>$B$8*SUM($E$18:E918)/A918</x:f>
        <x:v>100.79467258601554</x:v>
      </x:c>
      <x:c r="G918" s="42" t="n">
        <x:f>$B$11</x:f>
        <x:v>100.53096491487338</x:v>
      </x:c>
      <x:c r="I918" t="n">
        <x:f>A918</x:f>
        <x:v>901</x:v>
      </x:c>
      <x:c r="J918" t="n">
        <x:f>F918</x:f>
        <x:v>100.79467258601554</x:v>
      </x:c>
      <x:c r="K918" t="n">
        <x:f>G918</x:f>
        <x:v>100.53096491487338</x:v>
      </x:c>
    </x:row>
    <x:row r="919">
      <x:c r="A919" t="n">
        <x:v>902</x:v>
      </x:c>
      <x:c r="B919" s="40" t="n">
        <x:v>-0.9622406405818631</x:v>
      </x:c>
      <x:c r="C919" s="40" t="n">
        <x:v>2.5874599708767754</x:v>
      </x:c>
      <x:c r="D919" s="40" t="n">
        <x:v>-1.6920591748644185</x:v>
      </x:c>
      <x:c r="E919" t="n">
        <x:f>--((B919^2/$B$4^2+C919^2/$B$5^2+D919^2/$B$6^2)&lt;=1)</x:f>
        <x:v>0</x:v>
      </x:c>
      <x:c r="F919" s="42" t="n">
        <x:f>$B$8*SUM($E$18:E919)/A919</x:f>
        <x:v>100.6829268292683</x:v>
      </x:c>
      <x:c r="G919" s="42" t="n">
        <x:f>$B$11</x:f>
        <x:v>100.53096491487338</x:v>
      </x:c>
      <x:c r="I919" t="n">
        <x:f>A919</x:f>
        <x:v>902</x:v>
      </x:c>
      <x:c r="J919" t="n">
        <x:f>F919</x:f>
        <x:v>100.6829268292683</x:v>
      </x:c>
      <x:c r="K919" t="n">
        <x:f>G919</x:f>
        <x:v>100.53096491487338</x:v>
      </x:c>
    </x:row>
    <x:row r="920">
      <x:c r="A920" t="n">
        <x:v>903</x:v>
      </x:c>
      <x:c r="B920" s="40" t="n">
        <x:v>-1.8193075320422945</x:v>
      </x:c>
      <x:c r="C920" s="40" t="n">
        <x:v>-2.104633629358461</x:v>
      </x:c>
      <x:c r="D920" s="40" t="n">
        <x:v>-2.5609082823797777</x:v>
      </x:c>
      <x:c r="E920" t="n">
        <x:f>--((B920^2/$B$4^2+C920^2/$B$5^2+D920^2/$B$6^2)&lt;=1)</x:f>
        <x:v>0</x:v>
      </x:c>
      <x:c r="F920" s="42" t="n">
        <x:f>$B$8*SUM($E$18:E920)/A920</x:f>
        <x:v>100.57142857142857</x:v>
      </x:c>
      <x:c r="G920" s="42" t="n">
        <x:f>$B$11</x:f>
        <x:v>100.53096491487338</x:v>
      </x:c>
      <x:c r="I920" t="n">
        <x:f>A920</x:f>
        <x:v>903</x:v>
      </x:c>
      <x:c r="J920" t="n">
        <x:f>F920</x:f>
        <x:v>100.57142857142857</x:v>
      </x:c>
      <x:c r="K920" t="n">
        <x:f>G920</x:f>
        <x:v>100.53096491487338</x:v>
      </x:c>
    </x:row>
    <x:row r="921">
      <x:c r="A921" t="n">
        <x:v>904</x:v>
      </x:c>
      <x:c r="B921" s="40" t="n">
        <x:v>-0.07403463869487714</x:v>
      </x:c>
      <x:c r="C921" s="40" t="n">
        <x:v>2.982414066457461</x:v>
      </x:c>
      <x:c r="D921" s="40" t="n">
        <x:v>3.0270630174951636</x:v>
      </x:c>
      <x:c r="E921" t="n">
        <x:f>--((B921^2/$B$4^2+C921^2/$B$5^2+D921^2/$B$6^2)&lt;=1)</x:f>
        <x:v>0</x:v>
      </x:c>
      <x:c r="F921" s="42" t="n">
        <x:f>$B$8*SUM($E$18:E921)/A921</x:f>
        <x:v>100.46017699115045</x:v>
      </x:c>
      <x:c r="G921" s="42" t="n">
        <x:f>$B$11</x:f>
        <x:v>100.53096491487338</x:v>
      </x:c>
      <x:c r="I921" t="n">
        <x:f>A921</x:f>
        <x:v>904</x:v>
      </x:c>
      <x:c r="J921" t="n">
        <x:f>F921</x:f>
        <x:v>100.46017699115045</x:v>
      </x:c>
      <x:c r="K921" t="n">
        <x:f>G921</x:f>
        <x:v>100.53096491487338</x:v>
      </x:c>
    </x:row>
    <x:row r="922">
      <x:c r="A922" t="n">
        <x:v>905</x:v>
      </x:c>
      <x:c r="B922" s="40" t="n">
        <x:v>1.8373293905424335</x:v>
      </x:c>
      <x:c r="C922" s="40" t="n">
        <x:v>-0.7252496334507086</x:v>
      </x:c>
      <x:c r="D922" s="40" t="n">
        <x:v>1.6813355239895706</x:v>
      </x:c>
      <x:c r="E922" t="n">
        <x:f>--((B922^2/$B$4^2+C922^2/$B$5^2+D922^2/$B$6^2)&lt;=1)</x:f>
        <x:v>0</x:v>
      </x:c>
      <x:c r="F922" s="42" t="n">
        <x:f>$B$8*SUM($E$18:E922)/A922</x:f>
        <x:v>100.34917127071823</x:v>
      </x:c>
      <x:c r="G922" s="42" t="n">
        <x:f>$B$11</x:f>
        <x:v>100.53096491487338</x:v>
      </x:c>
      <x:c r="I922" t="n">
        <x:f>A922</x:f>
        <x:v>905</x:v>
      </x:c>
      <x:c r="J922" t="n">
        <x:f>F922</x:f>
        <x:v>100.34917127071823</x:v>
      </x:c>
      <x:c r="K922" t="n">
        <x:f>G922</x:f>
        <x:v>100.53096491487338</x:v>
      </x:c>
    </x:row>
    <x:row r="923">
      <x:c r="A923" t="n">
        <x:v>906</x:v>
      </x:c>
      <x:c r="B923" s="40" t="n">
        <x:v>0.6100768030106529</x:v>
      </x:c>
      <x:c r="C923" s="40" t="n">
        <x:v>0.8926494233313265</x:v>
      </x:c>
      <x:c r="D923" s="40" t="n">
        <x:v>0.5773064251796676</x:v>
      </x:c>
      <x:c r="E923" t="n">
        <x:f>--((B923^2/$B$4^2+C923^2/$B$5^2+D923^2/$B$6^2)&lt;=1)</x:f>
        <x:v>1</x:v>
      </x:c>
      <x:c r="F923" s="42" t="n">
        <x:f>$B$8*SUM($E$18:E923)/A923</x:f>
        <x:v>100.45033112582782</x:v>
      </x:c>
      <x:c r="G923" s="42" t="n">
        <x:f>$B$11</x:f>
        <x:v>100.53096491487338</x:v>
      </x:c>
      <x:c r="I923" t="n">
        <x:f>A923</x:f>
        <x:v>906</x:v>
      </x:c>
      <x:c r="J923" t="n">
        <x:f>F923</x:f>
        <x:v>100.45033112582782</x:v>
      </x:c>
      <x:c r="K923" t="n">
        <x:f>G923</x:f>
        <x:v>100.53096491487338</x:v>
      </x:c>
    </x:row>
    <x:row r="924">
      <x:c r="A924" t="n">
        <x:v>907</x:v>
      </x:c>
      <x:c r="B924" s="40" t="n">
        <x:v>-0.017973773485526312</x:v>
      </x:c>
      <x:c r="C924" s="40" t="n">
        <x:v>2.8074403889001607</x:v>
      </x:c>
      <x:c r="D924" s="40" t="n">
        <x:v>3.035477167629347</x:v>
      </x:c>
      <x:c r="E924" t="n">
        <x:f>--((B924^2/$B$4^2+C924^2/$B$5^2+D924^2/$B$6^2)&lt;=1)</x:f>
        <x:v>0</x:v>
      </x:c>
      <x:c r="F924" s="42" t="n">
        <x:f>$B$8*SUM($E$18:E924)/A924</x:f>
        <x:v>100.33958103638368</x:v>
      </x:c>
      <x:c r="G924" s="42" t="n">
        <x:f>$B$11</x:f>
        <x:v>100.53096491487338</x:v>
      </x:c>
      <x:c r="I924" t="n">
        <x:f>A924</x:f>
        <x:v>907</x:v>
      </x:c>
      <x:c r="J924" t="n">
        <x:f>F924</x:f>
        <x:v>100.33958103638368</x:v>
      </x:c>
      <x:c r="K924" t="n">
        <x:f>G924</x:f>
        <x:v>100.53096491487338</x:v>
      </x:c>
    </x:row>
    <x:row r="925">
      <x:c r="A925" t="n">
        <x:v>908</x:v>
      </x:c>
      <x:c r="B925" s="40" t="n">
        <x:v>-1.5572317038815355</x:v>
      </x:c>
      <x:c r="C925" s="40" t="n">
        <x:v>-2.6543936977261513</x:v>
      </x:c>
      <x:c r="D925" s="40" t="n">
        <x:v>-3.026477701007284</x:v>
      </x:c>
      <x:c r="E925" t="n">
        <x:f>--((B925^2/$B$4^2+C925^2/$B$5^2+D925^2/$B$6^2)&lt;=1)</x:f>
        <x:v>0</x:v>
      </x:c>
      <x:c r="F925" s="42" t="n">
        <x:f>$B$8*SUM($E$18:E925)/A925</x:f>
        <x:v>100.22907488986785</x:v>
      </x:c>
      <x:c r="G925" s="42" t="n">
        <x:f>$B$11</x:f>
        <x:v>100.53096491487338</x:v>
      </x:c>
      <x:c r="I925" t="n">
        <x:f>A925</x:f>
        <x:v>908</x:v>
      </x:c>
      <x:c r="J925" t="n">
        <x:f>F925</x:f>
        <x:v>100.22907488986785</x:v>
      </x:c>
      <x:c r="K925" t="n">
        <x:f>G925</x:f>
        <x:v>100.53096491487338</x:v>
      </x:c>
    </x:row>
    <x:row r="926">
      <x:c r="A926" t="n">
        <x:v>909</x:v>
      </x:c>
      <x:c r="B926" s="40" t="n">
        <x:v>-0.9902548378016509</x:v>
      </x:c>
      <x:c r="C926" s="40" t="n">
        <x:v>2.5371861775511437</x:v>
      </x:c>
      <x:c r="D926" s="40" t="n">
        <x:v>1.459914288016546</x:v>
      </x:c>
      <x:c r="E926" t="n">
        <x:f>--((B926^2/$B$4^2+C926^2/$B$5^2+D926^2/$B$6^2)&lt;=1)</x:f>
        <x:v>0</x:v>
      </x:c>
      <x:c r="F926" s="42" t="n">
        <x:f>$B$8*SUM($E$18:E926)/A926</x:f>
        <x:v>100.11881188118812</x:v>
      </x:c>
      <x:c r="G926" s="42" t="n">
        <x:f>$B$11</x:f>
        <x:v>100.53096491487338</x:v>
      </x:c>
      <x:c r="I926" t="n">
        <x:f>A926</x:f>
        <x:v>909</x:v>
      </x:c>
      <x:c r="J926" t="n">
        <x:f>F926</x:f>
        <x:v>100.11881188118812</x:v>
      </x:c>
      <x:c r="K926" t="n">
        <x:f>G926</x:f>
        <x:v>100.53096491487338</x:v>
      </x:c>
    </x:row>
    <x:row r="927">
      <x:c r="A927" t="n">
        <x:v>910</x:v>
      </x:c>
      <x:c r="B927" s="40" t="n">
        <x:v>-0.8209042017018291</x:v>
      </x:c>
      <x:c r="C927" s="40" t="n">
        <x:v>0.40686831212605945</x:v>
      </x:c>
      <x:c r="D927" s="40" t="n">
        <x:v>-2.2663015006941443</x:v>
      </x:c>
      <x:c r="E927" t="n">
        <x:f>--((B927^2/$B$4^2+C927^2/$B$5^2+D927^2/$B$6^2)&lt;=1)</x:f>
        <x:v>1</x:v>
      </x:c>
      <x:c r="F927" s="42" t="n">
        <x:f>$B$8*SUM($E$18:E927)/A927</x:f>
        <x:v>100.21978021978022</x:v>
      </x:c>
      <x:c r="G927" s="42" t="n">
        <x:f>$B$11</x:f>
        <x:v>100.53096491487338</x:v>
      </x:c>
      <x:c r="I927" t="n">
        <x:f>A927</x:f>
        <x:v>910</x:v>
      </x:c>
      <x:c r="J927" t="n">
        <x:f>F927</x:f>
        <x:v>100.21978021978022</x:v>
      </x:c>
      <x:c r="K927" t="n">
        <x:f>G927</x:f>
        <x:v>100.53096491487338</x:v>
      </x:c>
    </x:row>
    <x:row r="928">
      <x:c r="A928" t="n">
        <x:v>911</x:v>
      </x:c>
      <x:c r="B928" s="40" t="n">
        <x:v>1.0592142104289373</x:v>
      </x:c>
      <x:c r="C928" s="40" t="n">
        <x:v>1.226381273864714</x:v>
      </x:c>
      <x:c r="D928" s="40" t="n">
        <x:v>-3.035380471872104</x:v>
      </x:c>
      <x:c r="E928" t="n">
        <x:f>--((B928^2/$B$4^2+C928^2/$B$5^2+D928^2/$B$6^2)&lt;=1)</x:f>
        <x:v>0</x:v>
      </x:c>
      <x:c r="F928" s="42" t="n">
        <x:f>$B$8*SUM($E$18:E928)/A928</x:f>
        <x:v>100.10976948408343</x:v>
      </x:c>
      <x:c r="G928" s="42" t="n">
        <x:f>$B$11</x:f>
        <x:v>100.53096491487338</x:v>
      </x:c>
      <x:c r="I928" t="n">
        <x:f>A928</x:f>
        <x:v>911</x:v>
      </x:c>
      <x:c r="J928" t="n">
        <x:f>F928</x:f>
        <x:v>100.10976948408343</x:v>
      </x:c>
      <x:c r="K928" t="n">
        <x:f>G928</x:f>
        <x:v>100.53096491487338</x:v>
      </x:c>
    </x:row>
    <x:row r="929">
      <x:c r="A929" t="n">
        <x:v>912</x:v>
      </x:c>
      <x:c r="B929" s="40" t="n">
        <x:v>1.5068431890584773</x:v>
      </x:c>
      <x:c r="C929" s="40" t="n">
        <x:v>-2.10489489668191</x:v>
      </x:c>
      <x:c r="D929" s="40" t="n">
        <x:v>-0.2751319199445348</x:v>
      </x:c>
      <x:c r="E929" t="n">
        <x:f>--((B929^2/$B$4^2+C929^2/$B$5^2+D929^2/$B$6^2)&lt;=1)</x:f>
        <x:v>0</x:v>
      </x:c>
      <x:c r="F929" s="42" t="n">
        <x:f>$B$8*SUM($E$18:E929)/A929</x:f>
        <x:v>100</x:v>
      </x:c>
      <x:c r="G929" s="42" t="n">
        <x:f>$B$11</x:f>
        <x:v>100.53096491487338</x:v>
      </x:c>
      <x:c r="I929" t="n">
        <x:f>A929</x:f>
        <x:v>912</x:v>
      </x:c>
      <x:c r="J929" t="n">
        <x:f>F929</x:f>
        <x:v>100</x:v>
      </x:c>
      <x:c r="K929" t="n">
        <x:f>G929</x:f>
        <x:v>100.53096491487338</x:v>
      </x:c>
    </x:row>
    <x:row r="930">
      <x:c r="A930" t="n">
        <x:v>913</x:v>
      </x:c>
      <x:c r="B930" s="40" t="n">
        <x:v>1.6065674142657538</x:v>
      </x:c>
      <x:c r="C930" s="40" t="n">
        <x:v>0.20032458498619343</x:v>
      </x:c>
      <x:c r="D930" s="40" t="n">
        <x:v>-0.9008565618851705</x:v>
      </x:c>
      <x:c r="E930" t="n">
        <x:f>--((B930^2/$B$4^2+C930^2/$B$5^2+D930^2/$B$6^2)&lt;=1)</x:f>
        <x:v>1</x:v>
      </x:c>
      <x:c r="F930" s="42" t="n">
        <x:f>$B$8*SUM($E$18:E930)/A930</x:f>
        <x:v>100.10076670317635</x:v>
      </x:c>
      <x:c r="G930" s="42" t="n">
        <x:f>$B$11</x:f>
        <x:v>100.53096491487338</x:v>
      </x:c>
      <x:c r="I930" t="n">
        <x:f>A930</x:f>
        <x:v>913</x:v>
      </x:c>
      <x:c r="J930" t="n">
        <x:f>F930</x:f>
        <x:v>100.10076670317635</x:v>
      </x:c>
      <x:c r="K930" t="n">
        <x:f>G930</x:f>
        <x:v>100.53096491487338</x:v>
      </x:c>
    </x:row>
    <x:row r="931">
      <x:c r="A931" t="n">
        <x:v>914</x:v>
      </x:c>
      <x:c r="B931" s="40" t="n">
        <x:v>1.9382744330030164</x:v>
      </x:c>
      <x:c r="C931" s="40" t="n">
        <x:v>1.041082288351462</x:v>
      </x:c>
      <x:c r="D931" s="40" t="n">
        <x:v>3.5293888746014836</x:v>
      </x:c>
      <x:c r="E931" t="n">
        <x:f>--((B931^2/$B$4^2+C931^2/$B$5^2+D931^2/$B$6^2)&lt;=1)</x:f>
        <x:v>0</x:v>
      </x:c>
      <x:c r="F931" s="42" t="n">
        <x:f>$B$8*SUM($E$18:E931)/A931</x:f>
        <x:v>99.99124726477024</x:v>
      </x:c>
      <x:c r="G931" s="42" t="n">
        <x:f>$B$11</x:f>
        <x:v>100.53096491487338</x:v>
      </x:c>
      <x:c r="I931" t="n">
        <x:f>A931</x:f>
        <x:v>914</x:v>
      </x:c>
      <x:c r="J931" t="n">
        <x:f>F931</x:f>
        <x:v>99.99124726477024</x:v>
      </x:c>
      <x:c r="K931" t="n">
        <x:f>G931</x:f>
        <x:v>100.53096491487338</x:v>
      </x:c>
    </x:row>
    <x:row r="932">
      <x:c r="A932" t="n">
        <x:v>915</x:v>
      </x:c>
      <x:c r="B932" s="40" t="n">
        <x:v>1.9294667324181298</x:v>
      </x:c>
      <x:c r="C932" s="40" t="n">
        <x:v>-0.26251615567390907</x:v>
      </x:c>
      <x:c r="D932" s="40" t="n">
        <x:v>-1.4081636259854688</x:v>
      </x:c>
      <x:c r="E932" t="n">
        <x:f>--((B932^2/$B$4^2+C932^2/$B$5^2+D932^2/$B$6^2)&lt;=1)</x:f>
        <x:v>0</x:v>
      </x:c>
      <x:c r="F932" s="42" t="n">
        <x:f>$B$8*SUM($E$18:E932)/A932</x:f>
        <x:v>99.88196721311475</x:v>
      </x:c>
      <x:c r="G932" s="42" t="n">
        <x:f>$B$11</x:f>
        <x:v>100.53096491487338</x:v>
      </x:c>
      <x:c r="I932" t="n">
        <x:f>A932</x:f>
        <x:v>915</x:v>
      </x:c>
      <x:c r="J932" t="n">
        <x:f>F932</x:f>
        <x:v>99.88196721311475</x:v>
      </x:c>
      <x:c r="K932" t="n">
        <x:f>G932</x:f>
        <x:v>100.53096491487338</x:v>
      </x:c>
    </x:row>
    <x:row r="933">
      <x:c r="A933" t="n">
        <x:v>916</x:v>
      </x:c>
      <x:c r="B933" s="40" t="n">
        <x:v>1.8119965310719257</x:v>
      </x:c>
      <x:c r="C933" s="40" t="n">
        <x:v>-2.0700889313636597</x:v>
      </x:c>
      <x:c r="D933" s="40" t="n">
        <x:v>2.5192180724160194</x:v>
      </x:c>
      <x:c r="E933" t="n">
        <x:f>--((B933^2/$B$4^2+C933^2/$B$5^2+D933^2/$B$6^2)&lt;=1)</x:f>
        <x:v>0</x:v>
      </x:c>
      <x:c r="F933" s="42" t="n">
        <x:f>$B$8*SUM($E$18:E933)/A933</x:f>
        <x:v>99.77292576419214</x:v>
      </x:c>
      <x:c r="G933" s="42" t="n">
        <x:f>$B$11</x:f>
        <x:v>100.53096491487338</x:v>
      </x:c>
      <x:c r="I933" t="n">
        <x:f>A933</x:f>
        <x:v>916</x:v>
      </x:c>
      <x:c r="J933" t="n">
        <x:f>F933</x:f>
        <x:v>99.77292576419214</x:v>
      </x:c>
      <x:c r="K933" t="n">
        <x:f>G933</x:f>
        <x:v>100.53096491487338</x:v>
      </x:c>
    </x:row>
    <x:row r="934">
      <x:c r="A934" t="n">
        <x:v>917</x:v>
      </x:c>
      <x:c r="B934" s="40" t="n">
        <x:v>-1.7127114379884625</x:v>
      </x:c>
      <x:c r="C934" s="40" t="n">
        <x:v>-1.5352855494865403</x:v>
      </x:c>
      <x:c r="D934" s="40" t="n">
        <x:v>1.9906160037467577</x:v>
      </x:c>
      <x:c r="E934" t="n">
        <x:f>--((B934^2/$B$4^2+C934^2/$B$5^2+D934^2/$B$6^2)&lt;=1)</x:f>
        <x:v>0</x:v>
      </x:c>
      <x:c r="F934" s="42" t="n">
        <x:f>$B$8*SUM($E$18:E934)/A934</x:f>
        <x:v>99.66412213740458</x:v>
      </x:c>
      <x:c r="G934" s="42" t="n">
        <x:f>$B$11</x:f>
        <x:v>100.53096491487338</x:v>
      </x:c>
      <x:c r="I934" t="n">
        <x:f>A934</x:f>
        <x:v>917</x:v>
      </x:c>
      <x:c r="J934" t="n">
        <x:f>F934</x:f>
        <x:v>99.66412213740458</x:v>
      </x:c>
      <x:c r="K934" t="n">
        <x:f>G934</x:f>
        <x:v>100.53096491487338</x:v>
      </x:c>
    </x:row>
    <x:row r="935">
      <x:c r="A935" t="n">
        <x:v>918</x:v>
      </x:c>
      <x:c r="B935" s="40" t="n">
        <x:v>-1.4488258562887792</x:v>
      </x:c>
      <x:c r="C935" s="40" t="n">
        <x:v>2.126356745960991</x:v>
      </x:c>
      <x:c r="D935" s="40" t="n">
        <x:v>1.34339096046829</x:v>
      </x:c>
      <x:c r="E935" t="n">
        <x:f>--((B935^2/$B$4^2+C935^2/$B$5^2+D935^2/$B$6^2)&lt;=1)</x:f>
        <x:v>0</x:v>
      </x:c>
      <x:c r="F935" s="42" t="n">
        <x:f>$B$8*SUM($E$18:E935)/A935</x:f>
        <x:v>99.55555555555556</x:v>
      </x:c>
      <x:c r="G935" s="42" t="n">
        <x:f>$B$11</x:f>
        <x:v>100.53096491487338</x:v>
      </x:c>
      <x:c r="I935" t="n">
        <x:f>A935</x:f>
        <x:v>918</x:v>
      </x:c>
      <x:c r="J935" t="n">
        <x:f>F935</x:f>
        <x:v>99.55555555555556</x:v>
      </x:c>
      <x:c r="K935" t="n">
        <x:f>G935</x:f>
        <x:v>100.53096491487338</x:v>
      </x:c>
    </x:row>
    <x:row r="936">
      <x:c r="A936" t="n">
        <x:v>919</x:v>
      </x:c>
      <x:c r="B936" s="40" t="n">
        <x:v>-0.7821338940958684</x:v>
      </x:c>
      <x:c r="C936" s="40" t="n">
        <x:v>-2.7931740430034235</x:v>
      </x:c>
      <x:c r="D936" s="40" t="n">
        <x:v>3.3632037836804765</x:v>
      </x:c>
      <x:c r="E936" t="n">
        <x:f>--((B936^2/$B$4^2+C936^2/$B$5^2+D936^2/$B$6^2)&lt;=1)</x:f>
        <x:v>0</x:v>
      </x:c>
      <x:c r="F936" s="42" t="n">
        <x:f>$B$8*SUM($E$18:E936)/A936</x:f>
        <x:v>99.44722524483134</x:v>
      </x:c>
      <x:c r="G936" s="42" t="n">
        <x:f>$B$11</x:f>
        <x:v>100.53096491487338</x:v>
      </x:c>
      <x:c r="I936" t="n">
        <x:f>A936</x:f>
        <x:v>919</x:v>
      </x:c>
      <x:c r="J936" t="n">
        <x:f>F936</x:f>
        <x:v>99.44722524483134</x:v>
      </x:c>
      <x:c r="K936" t="n">
        <x:f>G936</x:f>
        <x:v>100.53096491487338</x:v>
      </x:c>
    </x:row>
    <x:row r="937">
      <x:c r="A937" t="n">
        <x:v>920</x:v>
      </x:c>
      <x:c r="B937" s="40" t="n">
        <x:v>0.21159301625784588</x:v>
      </x:c>
      <x:c r="C937" s="40" t="n">
        <x:v>1.2531724706448744</x:v>
      </x:c>
      <x:c r="D937" s="40" t="n">
        <x:v>-0.7366032449492632</x:v>
      </x:c>
      <x:c r="E937" t="n">
        <x:f>--((B937^2/$B$4^2+C937^2/$B$5^2+D937^2/$B$6^2)&lt;=1)</x:f>
        <x:v>1</x:v>
      </x:c>
      <x:c r="F937" s="42" t="n">
        <x:f>$B$8*SUM($E$18:E937)/A937</x:f>
        <x:v>99.54782608695652</x:v>
      </x:c>
      <x:c r="G937" s="42" t="n">
        <x:f>$B$11</x:f>
        <x:v>100.53096491487338</x:v>
      </x:c>
      <x:c r="I937" t="n">
        <x:f>A937</x:f>
        <x:v>920</x:v>
      </x:c>
      <x:c r="J937" t="n">
        <x:f>F937</x:f>
        <x:v>99.54782608695652</x:v>
      </x:c>
      <x:c r="K937" t="n">
        <x:f>G937</x:f>
        <x:v>100.53096491487338</x:v>
      </x:c>
    </x:row>
    <x:row r="938">
      <x:c r="A938" t="n">
        <x:v>921</x:v>
      </x:c>
      <x:c r="B938" s="40" t="n">
        <x:v>-1.6120884451780828</x:v>
      </x:c>
      <x:c r="C938" s="40" t="n">
        <x:v>2.996340219087161</x:v>
      </x:c>
      <x:c r="D938" s="40" t="n">
        <x:v>-0.8826305121370748</x:v>
      </x:c>
      <x:c r="E938" t="n">
        <x:f>--((B938^2/$B$4^2+C938^2/$B$5^2+D938^2/$B$6^2)&lt;=1)</x:f>
        <x:v>0</x:v>
      </x:c>
      <x:c r="F938" s="42" t="n">
        <x:f>$B$8*SUM($E$18:E938)/A938</x:f>
        <x:v>99.43973941368078</x:v>
      </x:c>
      <x:c r="G938" s="42" t="n">
        <x:f>$B$11</x:f>
        <x:v>100.53096491487338</x:v>
      </x:c>
      <x:c r="I938" t="n">
        <x:f>A938</x:f>
        <x:v>921</x:v>
      </x:c>
      <x:c r="J938" t="n">
        <x:f>F938</x:f>
        <x:v>99.43973941368078</x:v>
      </x:c>
      <x:c r="K938" t="n">
        <x:f>G938</x:f>
        <x:v>100.53096491487338</x:v>
      </x:c>
    </x:row>
    <x:row r="939">
      <x:c r="A939" t="n">
        <x:v>922</x:v>
      </x:c>
      <x:c r="B939" s="40" t="n">
        <x:v>1.38318783120857</x:v>
      </x:c>
      <x:c r="C939" s="40" t="n">
        <x:v>-2.9551020233594003</x:v>
      </x:c>
      <x:c r="D939" s="40" t="n">
        <x:v>-2.712420611347925</x:v>
      </x:c>
      <x:c r="E939" t="n">
        <x:f>--((B939^2/$B$4^2+C939^2/$B$5^2+D939^2/$B$6^2)&lt;=1)</x:f>
        <x:v>0</x:v>
      </x:c>
      <x:c r="F939" s="42" t="n">
        <x:f>$B$8*SUM($E$18:E939)/A939</x:f>
        <x:v>99.33188720173536</x:v>
      </x:c>
      <x:c r="G939" s="42" t="n">
        <x:f>$B$11</x:f>
        <x:v>100.53096491487338</x:v>
      </x:c>
      <x:c r="I939" t="n">
        <x:f>A939</x:f>
        <x:v>922</x:v>
      </x:c>
      <x:c r="J939" t="n">
        <x:f>F939</x:f>
        <x:v>99.33188720173536</x:v>
      </x:c>
      <x:c r="K939" t="n">
        <x:f>G939</x:f>
        <x:v>100.53096491487338</x:v>
      </x:c>
    </x:row>
    <x:row r="940">
      <x:c r="A940" t="n">
        <x:v>923</x:v>
      </x:c>
      <x:c r="B940" s="40" t="n">
        <x:v>0.46702471630923625</x:v>
      </x:c>
      <x:c r="C940" s="40" t="n">
        <x:v>-2.0337259030803603</x:v>
      </x:c>
      <x:c r="D940" s="40" t="n">
        <x:v>-1.7939033960394468</x:v>
      </x:c>
      <x:c r="E940" t="n">
        <x:f>--((B940^2/$B$4^2+C940^2/$B$5^2+D940^2/$B$6^2)&lt;=1)</x:f>
        <x:v>1</x:v>
      </x:c>
      <x:c r="F940" s="42" t="n">
        <x:f>$B$8*SUM($E$18:E940)/A940</x:f>
        <x:v>99.43228602383532</x:v>
      </x:c>
      <x:c r="G940" s="42" t="n">
        <x:f>$B$11</x:f>
        <x:v>100.53096491487338</x:v>
      </x:c>
      <x:c r="I940" t="n">
        <x:f>A940</x:f>
        <x:v>923</x:v>
      </x:c>
      <x:c r="J940" t="n">
        <x:f>F940</x:f>
        <x:v>99.43228602383532</x:v>
      </x:c>
      <x:c r="K940" t="n">
        <x:f>G940</x:f>
        <x:v>100.53096491487338</x:v>
      </x:c>
    </x:row>
    <x:row r="941">
      <x:c r="A941" t="n">
        <x:v>924</x:v>
      </x:c>
      <x:c r="B941" s="40" t="n">
        <x:v>0.1694576092088198</x:v>
      </x:c>
      <x:c r="C941" s="40" t="n">
        <x:v>1.044865805358807</x:v>
      </x:c>
      <x:c r="D941" s="40" t="n">
        <x:v>3.038211648486966</x:v>
      </x:c>
      <x:c r="E941" t="n">
        <x:f>--((B941^2/$B$4^2+C941^2/$B$5^2+D941^2/$B$6^2)&lt;=1)</x:f>
        <x:v>1</x:v>
      </x:c>
      <x:c r="F941" s="42" t="n">
        <x:f>$B$8*SUM($E$18:E941)/A941</x:f>
        <x:v>99.53246753246754</x:v>
      </x:c>
      <x:c r="G941" s="42" t="n">
        <x:f>$B$11</x:f>
        <x:v>100.53096491487338</x:v>
      </x:c>
      <x:c r="I941" t="n">
        <x:f>A941</x:f>
        <x:v>924</x:v>
      </x:c>
      <x:c r="J941" t="n">
        <x:f>F941</x:f>
        <x:v>99.53246753246754</x:v>
      </x:c>
      <x:c r="K941" t="n">
        <x:f>G941</x:f>
        <x:v>100.53096491487338</x:v>
      </x:c>
    </x:row>
    <x:row r="942">
      <x:c r="A942" t="n">
        <x:v>925</x:v>
      </x:c>
      <x:c r="B942" s="40" t="n">
        <x:v>-1.3387547065308354</x:v>
      </x:c>
      <x:c r="C942" s="40" t="n">
        <x:v>-2.6400549924879106</x:v>
      </x:c>
      <x:c r="D942" s="40" t="n">
        <x:v>-0.20494293670905606</x:v>
      </x:c>
      <x:c r="E942" t="n">
        <x:f>--((B942^2/$B$4^2+C942^2/$B$5^2+D942^2/$B$6^2)&lt;=1)</x:f>
        <x:v>0</x:v>
      </x:c>
      <x:c r="F942" s="42" t="n">
        <x:f>$B$8*SUM($E$18:E942)/A942</x:f>
        <x:v>99.42486486486486</x:v>
      </x:c>
      <x:c r="G942" s="42" t="n">
        <x:f>$B$11</x:f>
        <x:v>100.53096491487338</x:v>
      </x:c>
      <x:c r="I942" t="n">
        <x:f>A942</x:f>
        <x:v>925</x:v>
      </x:c>
      <x:c r="J942" t="n">
        <x:f>F942</x:f>
        <x:v>99.42486486486486</x:v>
      </x:c>
      <x:c r="K942" t="n">
        <x:f>G942</x:f>
        <x:v>100.53096491487338</x:v>
      </x:c>
    </x:row>
    <x:row r="943">
      <x:c r="A943" t="n">
        <x:v>926</x:v>
      </x:c>
      <x:c r="B943" s="40" t="n">
        <x:v>-0.9869781023992106</x:v>
      </x:c>
      <x:c r="C943" s="40" t="n">
        <x:v>0.5387399031351534</x:v>
      </x:c>
      <x:c r="D943" s="40" t="n">
        <x:v>-1.2691734224743163</x:v>
      </x:c>
      <x:c r="E943" t="n">
        <x:f>--((B943^2/$B$4^2+C943^2/$B$5^2+D943^2/$B$6^2)&lt;=1)</x:f>
        <x:v>1</x:v>
      </x:c>
      <x:c r="F943" s="42" t="n">
        <x:f>$B$8*SUM($E$18:E943)/A943</x:f>
        <x:v>99.52483801295897</x:v>
      </x:c>
      <x:c r="G943" s="42" t="n">
        <x:f>$B$11</x:f>
        <x:v>100.53096491487338</x:v>
      </x:c>
      <x:c r="I943" t="n">
        <x:f>A943</x:f>
        <x:v>926</x:v>
      </x:c>
      <x:c r="J943" t="n">
        <x:f>F943</x:f>
        <x:v>99.52483801295897</x:v>
      </x:c>
      <x:c r="K943" t="n">
        <x:f>G943</x:f>
        <x:v>100.53096491487338</x:v>
      </x:c>
    </x:row>
    <x:row r="944">
      <x:c r="A944" t="n">
        <x:v>927</x:v>
      </x:c>
      <x:c r="B944" s="40" t="n">
        <x:v>-1.3587519000709678</x:v>
      </x:c>
      <x:c r="C944" s="40" t="n">
        <x:v>1.1040006213663371</x:v>
      </x:c>
      <x:c r="D944" s="40" t="n">
        <x:v>-2.271103559342631</x:v>
      </x:c>
      <x:c r="E944" t="n">
        <x:f>--((B944^2/$B$4^2+C944^2/$B$5^2+D944^2/$B$6^2)&lt;=1)</x:f>
        <x:v>1</x:v>
      </x:c>
      <x:c r="F944" s="42" t="n">
        <x:f>$B$8*SUM($E$18:E944)/A944</x:f>
        <x:v>99.62459546925567</x:v>
      </x:c>
      <x:c r="G944" s="42" t="n">
        <x:f>$B$11</x:f>
        <x:v>100.53096491487338</x:v>
      </x:c>
      <x:c r="I944" t="n">
        <x:f>A944</x:f>
        <x:v>927</x:v>
      </x:c>
      <x:c r="J944" t="n">
        <x:f>F944</x:f>
        <x:v>99.62459546925567</x:v>
      </x:c>
      <x:c r="K944" t="n">
        <x:f>G944</x:f>
        <x:v>100.53096491487338</x:v>
      </x:c>
    </x:row>
    <x:row r="945">
      <x:c r="A945" t="n">
        <x:v>928</x:v>
      </x:c>
      <x:c r="B945" s="40" t="n">
        <x:v>1.4077326311791944</x:v>
      </x:c>
      <x:c r="C945" s="40" t="n">
        <x:v>0.5288780886844213</x:v>
      </x:c>
      <x:c r="D945" s="40" t="n">
        <x:v>-0.12031799805108001</x:v>
      </x:c>
      <x:c r="E945" t="n">
        <x:f>--((B945^2/$B$4^2+C945^2/$B$5^2+D945^2/$B$6^2)&lt;=1)</x:f>
        <x:v>1</x:v>
      </x:c>
      <x:c r="F945" s="42" t="n">
        <x:f>$B$8*SUM($E$18:E945)/A945</x:f>
        <x:v>99.72413793103448</x:v>
      </x:c>
      <x:c r="G945" s="42" t="n">
        <x:f>$B$11</x:f>
        <x:v>100.53096491487338</x:v>
      </x:c>
      <x:c r="I945" t="n">
        <x:f>A945</x:f>
        <x:v>928</x:v>
      </x:c>
      <x:c r="J945" t="n">
        <x:f>F945</x:f>
        <x:v>99.72413793103448</x:v>
      </x:c>
      <x:c r="K945" t="n">
        <x:f>G945</x:f>
        <x:v>100.53096491487338</x:v>
      </x:c>
    </x:row>
    <x:row r="946">
      <x:c r="A946" t="n">
        <x:v>929</x:v>
      </x:c>
      <x:c r="B946" s="40" t="n">
        <x:v>0.33691144024487274</x:v>
      </x:c>
      <x:c r="C946" s="40" t="n">
        <x:v>-0.808891781873597</x:v>
      </x:c>
      <x:c r="D946" s="40" t="n">
        <x:v>1.7333229637162306</x:v>
      </x:c>
      <x:c r="E946" t="n">
        <x:f>--((B946^2/$B$4^2+C946^2/$B$5^2+D946^2/$B$6^2)&lt;=1)</x:f>
        <x:v>1</x:v>
      </x:c>
      <x:c r="F946" s="42" t="n">
        <x:f>$B$8*SUM($E$18:E946)/A946</x:f>
        <x:v>99.82346609257266</x:v>
      </x:c>
      <x:c r="G946" s="42" t="n">
        <x:f>$B$11</x:f>
        <x:v>100.53096491487338</x:v>
      </x:c>
      <x:c r="I946" t="n">
        <x:f>A946</x:f>
        <x:v>929</x:v>
      </x:c>
      <x:c r="J946" t="n">
        <x:f>F946</x:f>
        <x:v>99.82346609257266</x:v>
      </x:c>
      <x:c r="K946" t="n">
        <x:f>G946</x:f>
        <x:v>100.53096491487338</x:v>
      </x:c>
    </x:row>
    <x:row r="947">
      <x:c r="A947" t="n">
        <x:v>930</x:v>
      </x:c>
      <x:c r="B947" s="40" t="n">
        <x:v>0.9405177100785336</x:v>
      </x:c>
      <x:c r="C947" s="40" t="n">
        <x:v>1.1836937759198332</x:v>
      </x:c>
      <x:c r="D947" s="40" t="n">
        <x:v>-1.7064637963433968</x:v>
      </x:c>
      <x:c r="E947" t="n">
        <x:f>--((B947^2/$B$4^2+C947^2/$B$5^2+D947^2/$B$6^2)&lt;=1)</x:f>
        <x:v>1</x:v>
      </x:c>
      <x:c r="F947" s="42" t="n">
        <x:f>$B$8*SUM($E$18:E947)/A947</x:f>
        <x:v>99.92258064516129</x:v>
      </x:c>
      <x:c r="G947" s="42" t="n">
        <x:f>$B$11</x:f>
        <x:v>100.53096491487338</x:v>
      </x:c>
      <x:c r="I947" t="n">
        <x:f>A947</x:f>
        <x:v>930</x:v>
      </x:c>
      <x:c r="J947" t="n">
        <x:f>F947</x:f>
        <x:v>99.92258064516129</x:v>
      </x:c>
      <x:c r="K947" t="n">
        <x:f>G947</x:f>
        <x:v>100.53096491487338</x:v>
      </x:c>
    </x:row>
    <x:row r="948">
      <x:c r="A948" t="n">
        <x:v>931</x:v>
      </x:c>
      <x:c r="B948" s="40" t="n">
        <x:v>-0.8158685483598971</x:v>
      </x:c>
      <x:c r="C948" s="40" t="n">
        <x:v>0.5657665680829229</x:v>
      </x:c>
      <x:c r="D948" s="40" t="n">
        <x:v>2.0617321665012334</x:v>
      </x:c>
      <x:c r="E948" t="n">
        <x:f>--((B948^2/$B$4^2+C948^2/$B$5^2+D948^2/$B$6^2)&lt;=1)</x:f>
        <x:v>1</x:v>
      </x:c>
      <x:c r="F948" s="42" t="n">
        <x:f>$B$8*SUM($E$18:E948)/A948</x:f>
        <x:v>100.02148227712138</x:v>
      </x:c>
      <x:c r="G948" s="42" t="n">
        <x:f>$B$11</x:f>
        <x:v>100.53096491487338</x:v>
      </x:c>
      <x:c r="I948" t="n">
        <x:f>A948</x:f>
        <x:v>931</x:v>
      </x:c>
      <x:c r="J948" t="n">
        <x:f>F948</x:f>
        <x:v>100.02148227712138</x:v>
      </x:c>
      <x:c r="K948" t="n">
        <x:f>G948</x:f>
        <x:v>100.53096491487338</x:v>
      </x:c>
    </x:row>
    <x:row r="949">
      <x:c r="A949" t="n">
        <x:v>932</x:v>
      </x:c>
      <x:c r="B949" s="40" t="n">
        <x:v>-0.5149894516468914</x:v>
      </x:c>
      <x:c r="C949" s="40" t="n">
        <x:v>-1.7541769674364815</x:v>
      </x:c>
      <x:c r="D949" s="40" t="n">
        <x:v>1.0383021977993474</x:v>
      </x:c>
      <x:c r="E949" t="n">
        <x:f>--((B949^2/$B$4^2+C949^2/$B$5^2+D949^2/$B$6^2)&lt;=1)</x:f>
        <x:v>1</x:v>
      </x:c>
      <x:c r="F949" s="42" t="n">
        <x:f>$B$8*SUM($E$18:E949)/A949</x:f>
        <x:v>100.12017167381974</x:v>
      </x:c>
      <x:c r="G949" s="42" t="n">
        <x:f>$B$11</x:f>
        <x:v>100.53096491487338</x:v>
      </x:c>
      <x:c r="I949" t="n">
        <x:f>A949</x:f>
        <x:v>932</x:v>
      </x:c>
      <x:c r="J949" t="n">
        <x:f>F949</x:f>
        <x:v>100.12017167381974</x:v>
      </x:c>
      <x:c r="K949" t="n">
        <x:f>G949</x:f>
        <x:v>100.53096491487338</x:v>
      </x:c>
    </x:row>
    <x:row r="950">
      <x:c r="A950" t="n">
        <x:v>933</x:v>
      </x:c>
      <x:c r="B950" s="40" t="n">
        <x:v>-0.38058014229386483</x:v>
      </x:c>
      <x:c r="C950" s="40" t="n">
        <x:v>0.3788132615106585</x:v>
      </x:c>
      <x:c r="D950" s="40" t="n">
        <x:v>2.300500500317634</x:v>
      </x:c>
      <x:c r="E950" t="n">
        <x:f>--((B950^2/$B$4^2+C950^2/$B$5^2+D950^2/$B$6^2)&lt;=1)</x:f>
        <x:v>1</x:v>
      </x:c>
      <x:c r="F950" s="42" t="n">
        <x:f>$B$8*SUM($E$18:E950)/A950</x:f>
        <x:v>100.21864951768488</x:v>
      </x:c>
      <x:c r="G950" s="42" t="n">
        <x:f>$B$11</x:f>
        <x:v>100.53096491487338</x:v>
      </x:c>
      <x:c r="I950" t="n">
        <x:f>A950</x:f>
        <x:v>933</x:v>
      </x:c>
      <x:c r="J950" t="n">
        <x:f>F950</x:f>
        <x:v>100.21864951768488</x:v>
      </x:c>
      <x:c r="K950" t="n">
        <x:f>G950</x:f>
        <x:v>100.53096491487338</x:v>
      </x:c>
    </x:row>
    <x:row r="951">
      <x:c r="A951" t="n">
        <x:v>934</x:v>
      </x:c>
      <x:c r="B951" s="40" t="n">
        <x:v>1.0400598869761395</x:v>
      </x:c>
      <x:c r="C951" s="40" t="n">
        <x:v>2.2914433028335655</x:v>
      </x:c>
      <x:c r="D951" s="40" t="n">
        <x:v>-1.9927229690007016</x:v>
      </x:c>
      <x:c r="E951" t="n">
        <x:f>--((B951^2/$B$4^2+C951^2/$B$5^2+D951^2/$B$6^2)&lt;=1)</x:f>
        <x:v>0</x:v>
      </x:c>
      <x:c r="F951" s="42" t="n">
        <x:f>$B$8*SUM($E$18:E951)/A951</x:f>
        <x:v>100.11134903640257</x:v>
      </x:c>
      <x:c r="G951" s="42" t="n">
        <x:f>$B$11</x:f>
        <x:v>100.53096491487338</x:v>
      </x:c>
      <x:c r="I951" t="n">
        <x:f>A951</x:f>
        <x:v>934</x:v>
      </x:c>
      <x:c r="J951" t="n">
        <x:f>F951</x:f>
        <x:v>100.11134903640257</x:v>
      </x:c>
      <x:c r="K951" t="n">
        <x:f>G951</x:f>
        <x:v>100.53096491487338</x:v>
      </x:c>
    </x:row>
    <x:row r="952">
      <x:c r="A952" t="n">
        <x:v>935</x:v>
      </x:c>
      <x:c r="B952" s="40" t="n">
        <x:v>1.0894119506982722</x:v>
      </x:c>
      <x:c r="C952" s="40" t="n">
        <x:v>1.0009997141426998</x:v>
      </x:c>
      <x:c r="D952" s="40" t="n">
        <x:v>1.0482251578643629</x:v>
      </x:c>
      <x:c r="E952" t="n">
        <x:f>--((B952^2/$B$4^2+C952^2/$B$5^2+D952^2/$B$6^2)&lt;=1)</x:f>
        <x:v>1</x:v>
      </x:c>
      <x:c r="F952" s="42" t="n">
        <x:f>$B$8*SUM($E$18:E952)/A952</x:f>
        <x:v>100.20962566844919</x:v>
      </x:c>
      <x:c r="G952" s="42" t="n">
        <x:f>$B$11</x:f>
        <x:v>100.53096491487338</x:v>
      </x:c>
      <x:c r="I952" t="n">
        <x:f>A952</x:f>
        <x:v>935</x:v>
      </x:c>
      <x:c r="J952" t="n">
        <x:f>F952</x:f>
        <x:v>100.20962566844919</x:v>
      </x:c>
      <x:c r="K952" t="n">
        <x:f>G952</x:f>
        <x:v>100.53096491487338</x:v>
      </x:c>
    </x:row>
    <x:row r="953">
      <x:c r="A953" t="n">
        <x:v>936</x:v>
      </x:c>
      <x:c r="B953" s="40" t="n">
        <x:v>-1.1727458899438732</x:v>
      </x:c>
      <x:c r="C953" s="40" t="n">
        <x:v>-0.16925095563691706</x:v>
      </x:c>
      <x:c r="D953" s="40" t="n">
        <x:v>-2.7701177640892647</x:v>
      </x:c>
      <x:c r="E953" t="n">
        <x:f>--((B953^2/$B$4^2+C953^2/$B$5^2+D953^2/$B$6^2)&lt;=1)</x:f>
        <x:v>1</x:v>
      </x:c>
      <x:c r="F953" s="42" t="n">
        <x:f>$B$8*SUM($E$18:E953)/A953</x:f>
        <x:v>100.3076923076923</x:v>
      </x:c>
      <x:c r="G953" s="42" t="n">
        <x:f>$B$11</x:f>
        <x:v>100.53096491487338</x:v>
      </x:c>
      <x:c r="I953" t="n">
        <x:f>A953</x:f>
        <x:v>936</x:v>
      </x:c>
      <x:c r="J953" t="n">
        <x:f>F953</x:f>
        <x:v>100.3076923076923</x:v>
      </x:c>
      <x:c r="K953" t="n">
        <x:f>G953</x:f>
        <x:v>100.53096491487338</x:v>
      </x:c>
    </x:row>
    <x:row r="954">
      <x:c r="A954" t="n">
        <x:v>937</x:v>
      </x:c>
      <x:c r="B954" s="40" t="n">
        <x:v>1.766155426952396</x:v>
      </x:c>
      <x:c r="C954" s="40" t="n">
        <x:v>-1.070495382783293</x:v>
      </x:c>
      <x:c r="D954" s="40" t="n">
        <x:v>-1.089624142682906</x:v>
      </x:c>
      <x:c r="E954" t="n">
        <x:f>--((B954^2/$B$4^2+C954^2/$B$5^2+D954^2/$B$6^2)&lt;=1)</x:f>
        <x:v>1</x:v>
      </x:c>
      <x:c r="F954" s="42" t="n">
        <x:f>$B$8*SUM($E$18:E954)/A954</x:f>
        <x:v>100.40554962646745</x:v>
      </x:c>
      <x:c r="G954" s="42" t="n">
        <x:f>$B$11</x:f>
        <x:v>100.53096491487338</x:v>
      </x:c>
      <x:c r="I954" t="n">
        <x:f>A954</x:f>
        <x:v>937</x:v>
      </x:c>
      <x:c r="J954" t="n">
        <x:f>F954</x:f>
        <x:v>100.40554962646745</x:v>
      </x:c>
      <x:c r="K954" t="n">
        <x:f>G954</x:f>
        <x:v>100.53096491487338</x:v>
      </x:c>
    </x:row>
    <x:row r="955">
      <x:c r="A955" t="n">
        <x:v>938</x:v>
      </x:c>
      <x:c r="B955" s="40" t="n">
        <x:v>-1.5173786502252544</x:v>
      </x:c>
      <x:c r="C955" s="40" t="n">
        <x:v>-2.484682743374563</x:v>
      </x:c>
      <x:c r="D955" s="40" t="n">
        <x:v>1.7948807587424103</x:v>
      </x:c>
      <x:c r="E955" t="n">
        <x:f>--((B955^2/$B$4^2+C955^2/$B$5^2+D955^2/$B$6^2)&lt;=1)</x:f>
        <x:v>0</x:v>
      </x:c>
      <x:c r="F955" s="42" t="n">
        <x:f>$B$8*SUM($E$18:E955)/A955</x:f>
        <x:v>100.29850746268657</x:v>
      </x:c>
      <x:c r="G955" s="42" t="n">
        <x:f>$B$11</x:f>
        <x:v>100.53096491487338</x:v>
      </x:c>
      <x:c r="I955" t="n">
        <x:f>A955</x:f>
        <x:v>938</x:v>
      </x:c>
      <x:c r="J955" t="n">
        <x:f>F955</x:f>
        <x:v>100.29850746268657</x:v>
      </x:c>
      <x:c r="K955" t="n">
        <x:f>G955</x:f>
        <x:v>100.53096491487338</x:v>
      </x:c>
    </x:row>
    <x:row r="956">
      <x:c r="A956" t="n">
        <x:v>939</x:v>
      </x:c>
      <x:c r="B956" s="40" t="n">
        <x:v>1.5844883296945214</x:v>
      </x:c>
      <x:c r="C956" s="40" t="n">
        <x:v>-1.5322372034458278</x:v>
      </x:c>
      <x:c r="D956" s="40" t="n">
        <x:v>1.053347084639487</x:v>
      </x:c>
      <x:c r="E956" t="n">
        <x:f>--((B956^2/$B$4^2+C956^2/$B$5^2+D956^2/$B$6^2)&lt;=1)</x:f>
        <x:v>1</x:v>
      </x:c>
      <x:c r="F956" s="42" t="n">
        <x:f>$B$8*SUM($E$18:E956)/A956</x:f>
        <x:v>100.39616613418531</x:v>
      </x:c>
      <x:c r="G956" s="42" t="n">
        <x:f>$B$11</x:f>
        <x:v>100.53096491487338</x:v>
      </x:c>
      <x:c r="I956" t="n">
        <x:f>A956</x:f>
        <x:v>939</x:v>
      </x:c>
      <x:c r="J956" t="n">
        <x:f>F956</x:f>
        <x:v>100.39616613418531</x:v>
      </x:c>
      <x:c r="K956" t="n">
        <x:f>G956</x:f>
        <x:v>100.53096491487338</x:v>
      </x:c>
    </x:row>
    <x:row r="957">
      <x:c r="A957" t="n">
        <x:v>940</x:v>
      </x:c>
      <x:c r="B957" s="40" t="n">
        <x:v>-1.5984174174007628</x:v>
      </x:c>
      <x:c r="C957" s="40" t="n">
        <x:v>-2.9328794814787384</x:v>
      </x:c>
      <x:c r="D957" s="40" t="n">
        <x:v>-2.4971141972998243</x:v>
      </x:c>
      <x:c r="E957" t="n">
        <x:f>--((B957^2/$B$4^2+C957^2/$B$5^2+D957^2/$B$6^2)&lt;=1)</x:f>
        <x:v>0</x:v>
      </x:c>
      <x:c r="F957" s="42" t="n">
        <x:f>$B$8*SUM($E$18:E957)/A957</x:f>
        <x:v>100.28936170212766</x:v>
      </x:c>
      <x:c r="G957" s="42" t="n">
        <x:f>$B$11</x:f>
        <x:v>100.53096491487338</x:v>
      </x:c>
      <x:c r="I957" t="n">
        <x:f>A957</x:f>
        <x:v>940</x:v>
      </x:c>
      <x:c r="J957" t="n">
        <x:f>F957</x:f>
        <x:v>100.28936170212766</x:v>
      </x:c>
      <x:c r="K957" t="n">
        <x:f>G957</x:f>
        <x:v>100.53096491487338</x:v>
      </x:c>
    </x:row>
    <x:row r="958">
      <x:c r="A958" t="n">
        <x:v>941</x:v>
      </x:c>
      <x:c r="B958" s="40" t="n">
        <x:v>-0.9418407553947556</x:v>
      </x:c>
      <x:c r="C958" s="40" t="n">
        <x:v>2.9197555051497863</x:v>
      </x:c>
      <x:c r="D958" s="40" t="n">
        <x:v>2.866741376740233</x:v>
      </x:c>
      <x:c r="E958" t="n">
        <x:f>--((B958^2/$B$4^2+C958^2/$B$5^2+D958^2/$B$6^2)&lt;=1)</x:f>
        <x:v>0</x:v>
      </x:c>
      <x:c r="F958" s="42" t="n">
        <x:f>$B$8*SUM($E$18:E958)/A958</x:f>
        <x:v>100.18278427205101</x:v>
      </x:c>
      <x:c r="G958" s="42" t="n">
        <x:f>$B$11</x:f>
        <x:v>100.53096491487338</x:v>
      </x:c>
      <x:c r="I958" t="n">
        <x:f>A958</x:f>
        <x:v>941</x:v>
      </x:c>
      <x:c r="J958" t="n">
        <x:f>F958</x:f>
        <x:v>100.18278427205101</x:v>
      </x:c>
      <x:c r="K958" t="n">
        <x:f>G958</x:f>
        <x:v>100.53096491487338</x:v>
      </x:c>
    </x:row>
    <x:row r="959">
      <x:c r="A959" t="n">
        <x:v>942</x:v>
      </x:c>
      <x:c r="B959" s="40" t="n">
        <x:v>1.385914144271828</x:v>
      </x:c>
      <x:c r="C959" s="40" t="n">
        <x:v>-1.6651064872275603</x:v>
      </x:c>
      <x:c r="D959" s="40" t="n">
        <x:v>-3.573192141238545</x:v>
      </x:c>
      <x:c r="E959" t="n">
        <x:f>--((B959^2/$B$4^2+C959^2/$B$5^2+D959^2/$B$6^2)&lt;=1)</x:f>
        <x:v>0</x:v>
      </x:c>
      <x:c r="F959" s="42" t="n">
        <x:f>$B$8*SUM($E$18:E959)/A959</x:f>
        <x:v>100.07643312101911</x:v>
      </x:c>
      <x:c r="G959" s="42" t="n">
        <x:f>$B$11</x:f>
        <x:v>100.53096491487338</x:v>
      </x:c>
      <x:c r="I959" t="n">
        <x:f>A959</x:f>
        <x:v>942</x:v>
      </x:c>
      <x:c r="J959" t="n">
        <x:f>F959</x:f>
        <x:v>100.07643312101911</x:v>
      </x:c>
      <x:c r="K959" t="n">
        <x:f>G959</x:f>
        <x:v>100.53096491487338</x:v>
      </x:c>
    </x:row>
    <x:row r="960">
      <x:c r="A960" t="n">
        <x:v>943</x:v>
      </x:c>
      <x:c r="B960" s="40" t="n">
        <x:v>-1.2820317106156502</x:v>
      </x:c>
      <x:c r="C960" s="40" t="n">
        <x:v>1.889255656112236</x:v>
      </x:c>
      <x:c r="D960" s="40" t="n">
        <x:v>0.7617255081331962</x:v>
      </x:c>
      <x:c r="E960" t="n">
        <x:f>--((B960^2/$B$4^2+C960^2/$B$5^2+D960^2/$B$6^2)&lt;=1)</x:f>
        <x:v>1</x:v>
      </x:c>
      <x:c r="F960" s="42" t="n">
        <x:f>$B$8*SUM($E$18:E960)/A960</x:f>
        <x:v>100.17391304347827</x:v>
      </x:c>
      <x:c r="G960" s="42" t="n">
        <x:f>$B$11</x:f>
        <x:v>100.53096491487338</x:v>
      </x:c>
      <x:c r="I960" t="n">
        <x:f>A960</x:f>
        <x:v>943</x:v>
      </x:c>
      <x:c r="J960" t="n">
        <x:f>F960</x:f>
        <x:v>100.17391304347827</x:v>
      </x:c>
      <x:c r="K960" t="n">
        <x:f>G960</x:f>
        <x:v>100.53096491487338</x:v>
      </x:c>
    </x:row>
    <x:row r="961">
      <x:c r="A961" t="n">
        <x:v>944</x:v>
      </x:c>
      <x:c r="B961" s="40" t="n">
        <x:v>-0.3457282747601207</x:v>
      </x:c>
      <x:c r="C961" s="40" t="n">
        <x:v>-1.9881307091701284</x:v>
      </x:c>
      <x:c r="D961" s="40" t="n">
        <x:v>3.87056400185285</x:v>
      </x:c>
      <x:c r="E961" t="n">
        <x:f>--((B961^2/$B$4^2+C961^2/$B$5^2+D961^2/$B$6^2)&lt;=1)</x:f>
        <x:v>0</x:v>
      </x:c>
      <x:c r="F961" s="42" t="n">
        <x:f>$B$8*SUM($E$18:E961)/A961</x:f>
        <x:v>100.0677966101695</x:v>
      </x:c>
      <x:c r="G961" s="42" t="n">
        <x:f>$B$11</x:f>
        <x:v>100.53096491487338</x:v>
      </x:c>
      <x:c r="I961" t="n">
        <x:f>A961</x:f>
        <x:v>944</x:v>
      </x:c>
      <x:c r="J961" t="n">
        <x:f>F961</x:f>
        <x:v>100.0677966101695</x:v>
      </x:c>
      <x:c r="K961" t="n">
        <x:f>G961</x:f>
        <x:v>100.53096491487338</x:v>
      </x:c>
    </x:row>
    <x:row r="962">
      <x:c r="A962" t="n">
        <x:v>945</x:v>
      </x:c>
      <x:c r="B962" s="40" t="n">
        <x:v>-0.20056280022349515</x:v>
      </x:c>
      <x:c r="C962" s="40" t="n">
        <x:v>-1.2983931023665565</x:v>
      </x:c>
      <x:c r="D962" s="40" t="n">
        <x:v>0.2520378547419888</x:v>
      </x:c>
      <x:c r="E962" t="n">
        <x:f>--((B962^2/$B$4^2+C962^2/$B$5^2+D962^2/$B$6^2)&lt;=1)</x:f>
        <x:v>1</x:v>
      </x:c>
      <x:c r="F962" s="42" t="n">
        <x:f>$B$8*SUM($E$18:E962)/A962</x:f>
        <x:v>100.16507936507936</x:v>
      </x:c>
      <x:c r="G962" s="42" t="n">
        <x:f>$B$11</x:f>
        <x:v>100.53096491487338</x:v>
      </x:c>
      <x:c r="I962" t="n">
        <x:f>A962</x:f>
        <x:v>945</x:v>
      </x:c>
      <x:c r="J962" t="n">
        <x:f>F962</x:f>
        <x:v>100.16507936507936</x:v>
      </x:c>
      <x:c r="K962" t="n">
        <x:f>G962</x:f>
        <x:v>100.53096491487338</x:v>
      </x:c>
    </x:row>
    <x:row r="963">
      <x:c r="A963" t="n">
        <x:v>946</x:v>
      </x:c>
      <x:c r="B963" s="40" t="n">
        <x:v>-1.0189641079071614</x:v>
      </x:c>
      <x:c r="C963" s="40" t="n">
        <x:v>-0.4903360846297993</x:v>
      </x:c>
      <x:c r="D963" s="40" t="n">
        <x:v>2.4053745596753657</x:v>
      </x:c>
      <x:c r="E963" t="n">
        <x:f>--((B963^2/$B$4^2+C963^2/$B$5^2+D963^2/$B$6^2)&lt;=1)</x:f>
        <x:v>1</x:v>
      </x:c>
      <x:c r="F963" s="42" t="n">
        <x:f>$B$8*SUM($E$18:E963)/A963</x:f>
        <x:v>100.26215644820296</x:v>
      </x:c>
      <x:c r="G963" s="42" t="n">
        <x:f>$B$11</x:f>
        <x:v>100.53096491487338</x:v>
      </x:c>
      <x:c r="I963" t="n">
        <x:f>A963</x:f>
        <x:v>946</x:v>
      </x:c>
      <x:c r="J963" t="n">
        <x:f>F963</x:f>
        <x:v>100.26215644820296</x:v>
      </x:c>
      <x:c r="K963" t="n">
        <x:f>G963</x:f>
        <x:v>100.53096491487338</x:v>
      </x:c>
    </x:row>
    <x:row r="964">
      <x:c r="A964" t="n">
        <x:v>947</x:v>
      </x:c>
      <x:c r="B964" s="40" t="n">
        <x:v>0.8409808053439463</x:v>
      </x:c>
      <x:c r="C964" s="40" t="n">
        <x:v>-1.0535660151503694</x:v>
      </x:c>
      <x:c r="D964" s="40" t="n">
        <x:v>0.761447785512817</x:v>
      </x:c>
      <x:c r="E964" t="n">
        <x:f>--((B964^2/$B$4^2+C964^2/$B$5^2+D964^2/$B$6^2)&lt;=1)</x:f>
        <x:v>1</x:v>
      </x:c>
      <x:c r="F964" s="42" t="n">
        <x:f>$B$8*SUM($E$18:E964)/A964</x:f>
        <x:v>100.35902851108764</x:v>
      </x:c>
      <x:c r="G964" s="42" t="n">
        <x:f>$B$11</x:f>
        <x:v>100.53096491487338</x:v>
      </x:c>
      <x:c r="I964" t="n">
        <x:f>A964</x:f>
        <x:v>947</x:v>
      </x:c>
      <x:c r="J964" t="n">
        <x:f>F964</x:f>
        <x:v>100.35902851108764</x:v>
      </x:c>
      <x:c r="K964" t="n">
        <x:f>G964</x:f>
        <x:v>100.53096491487338</x:v>
      </x:c>
    </x:row>
    <x:row r="965">
      <x:c r="A965" t="n">
        <x:v>948</x:v>
      </x:c>
      <x:c r="B965" s="40" t="n">
        <x:v>1.4053385976088153</x:v>
      </x:c>
      <x:c r="C965" s="40" t="n">
        <x:v>1.790104876559166</x:v>
      </x:c>
      <x:c r="D965" s="40" t="n">
        <x:v>2.2647065193839406</x:v>
      </x:c>
      <x:c r="E965" t="n">
        <x:f>--((B965^2/$B$4^2+C965^2/$B$5^2+D965^2/$B$6^2)&lt;=1)</x:f>
        <x:v>0</x:v>
      </x:c>
      <x:c r="F965" s="42" t="n">
        <x:f>$B$8*SUM($E$18:E965)/A965</x:f>
        <x:v>100.25316455696202</x:v>
      </x:c>
      <x:c r="G965" s="42" t="n">
        <x:f>$B$11</x:f>
        <x:v>100.53096491487338</x:v>
      </x:c>
      <x:c r="I965" t="n">
        <x:f>A965</x:f>
        <x:v>948</x:v>
      </x:c>
      <x:c r="J965" t="n">
        <x:f>F965</x:f>
        <x:v>100.25316455696202</x:v>
      </x:c>
      <x:c r="K965" t="n">
        <x:f>G965</x:f>
        <x:v>100.53096491487338</x:v>
      </x:c>
    </x:row>
    <x:row r="966">
      <x:c r="A966" t="n">
        <x:v>949</x:v>
      </x:c>
      <x:c r="B966" s="40" t="n">
        <x:v>1.4983005594222871</x:v>
      </x:c>
      <x:c r="C966" s="40" t="n">
        <x:v>2.746160448092539</x:v>
      </x:c>
      <x:c r="D966" s="40" t="n">
        <x:v>1.2447530828422977</x:v>
      </x:c>
      <x:c r="E966" t="n">
        <x:f>--((B966^2/$B$4^2+C966^2/$B$5^2+D966^2/$B$6^2)&lt;=1)</x:f>
        <x:v>0</x:v>
      </x:c>
      <x:c r="F966" s="42" t="n">
        <x:f>$B$8*SUM($E$18:E966)/A966</x:f>
        <x:v>100.14752370916754</x:v>
      </x:c>
      <x:c r="G966" s="42" t="n">
        <x:f>$B$11</x:f>
        <x:v>100.53096491487338</x:v>
      </x:c>
      <x:c r="I966" t="n">
        <x:f>A966</x:f>
        <x:v>949</x:v>
      </x:c>
      <x:c r="J966" t="n">
        <x:f>F966</x:f>
        <x:v>100.14752370916754</x:v>
      </x:c>
      <x:c r="K966" t="n">
        <x:f>G966</x:f>
        <x:v>100.53096491487338</x:v>
      </x:c>
    </x:row>
    <x:row r="967">
      <x:c r="A967" t="n">
        <x:v>950</x:v>
      </x:c>
      <x:c r="B967" s="40" t="n">
        <x:v>-0.6427114170537562</x:v>
      </x:c>
      <x:c r="C967" s="40" t="n">
        <x:v>2.251766901905091</x:v>
      </x:c>
      <x:c r="D967" s="40" t="n">
        <x:v>1.5290561163002296</x:v>
      </x:c>
      <x:c r="E967" t="n">
        <x:f>--((B967^2/$B$4^2+C967^2/$B$5^2+D967^2/$B$6^2)&lt;=1)</x:f>
        <x:v>1</x:v>
      </x:c>
      <x:c r="F967" s="42" t="n">
        <x:f>$B$8*SUM($E$18:E967)/A967</x:f>
        <x:v>100.24421052631578</x:v>
      </x:c>
      <x:c r="G967" s="42" t="n">
        <x:f>$B$11</x:f>
        <x:v>100.53096491487338</x:v>
      </x:c>
      <x:c r="I967" t="n">
        <x:f>A967</x:f>
        <x:v>950</x:v>
      </x:c>
      <x:c r="J967" t="n">
        <x:f>F967</x:f>
        <x:v>100.24421052631578</x:v>
      </x:c>
      <x:c r="K967" t="n">
        <x:f>G967</x:f>
        <x:v>100.53096491487338</x:v>
      </x:c>
    </x:row>
    <x:row r="968">
      <x:c r="A968" t="n">
        <x:v>951</x:v>
      </x:c>
      <x:c r="B968" s="40" t="n">
        <x:v>0.12340157715125777</x:v>
      </x:c>
      <x:c r="C968" s="40" t="n">
        <x:v>-2.0785327983134607</x:v>
      </x:c>
      <x:c r="D968" s="40" t="n">
        <x:v>-2.1775107913089276</x:v>
      </x:c>
      <x:c r="E968" t="n">
        <x:f>--((B968^2/$B$4^2+C968^2/$B$5^2+D968^2/$B$6^2)&lt;=1)</x:f>
        <x:v>1</x:v>
      </x:c>
      <x:c r="F968" s="42" t="n">
        <x:f>$B$8*SUM($E$18:E968)/A968</x:f>
        <x:v>100.34069400630915</x:v>
      </x:c>
      <x:c r="G968" s="42" t="n">
        <x:f>$B$11</x:f>
        <x:v>100.53096491487338</x:v>
      </x:c>
      <x:c r="I968" t="n">
        <x:f>A968</x:f>
        <x:v>951</x:v>
      </x:c>
      <x:c r="J968" t="n">
        <x:f>F968</x:f>
        <x:v>100.34069400630915</x:v>
      </x:c>
      <x:c r="K968" t="n">
        <x:f>G968</x:f>
        <x:v>100.53096491487338</x:v>
      </x:c>
    </x:row>
    <x:row r="969">
      <x:c r="A969" t="n">
        <x:v>952</x:v>
      </x:c>
      <x:c r="B969" s="40" t="n">
        <x:v>-1.006374384537394</x:v>
      </x:c>
      <x:c r="C969" s="40" t="n">
        <x:v>1.6601320580957415</x:v>
      </x:c>
      <x:c r="D969" s="40" t="n">
        <x:v>1.9345673085833415</x:v>
      </x:c>
      <x:c r="E969" t="n">
        <x:f>--((B969^2/$B$4^2+C969^2/$B$5^2+D969^2/$B$6^2)&lt;=1)</x:f>
        <x:v>1</x:v>
      </x:c>
      <x:c r="F969" s="42" t="n">
        <x:f>$B$8*SUM($E$18:E969)/A969</x:f>
        <x:v>100.43697478991596</x:v>
      </x:c>
      <x:c r="G969" s="42" t="n">
        <x:f>$B$11</x:f>
        <x:v>100.53096491487338</x:v>
      </x:c>
      <x:c r="I969" t="n">
        <x:f>A969</x:f>
        <x:v>952</x:v>
      </x:c>
      <x:c r="J969" t="n">
        <x:f>F969</x:f>
        <x:v>100.43697478991596</x:v>
      </x:c>
      <x:c r="K969" t="n">
        <x:f>G969</x:f>
        <x:v>100.53096491487338</x:v>
      </x:c>
    </x:row>
    <x:row r="970">
      <x:c r="A970" t="n">
        <x:v>953</x:v>
      </x:c>
      <x:c r="B970" s="40" t="n">
        <x:v>-1.0208139937994183</x:v>
      </x:c>
      <x:c r="C970" s="40" t="n">
        <x:v>-2.1123185201717316</x:v>
      </x:c>
      <x:c r="D970" s="40" t="n">
        <x:v>-2.096720906685354</x:v>
      </x:c>
      <x:c r="E970" t="n">
        <x:f>--((B970^2/$B$4^2+C970^2/$B$5^2+D970^2/$B$6^2)&lt;=1)</x:f>
        <x:v>0</x:v>
      </x:c>
      <x:c r="F970" s="42" t="n">
        <x:f>$B$8*SUM($E$18:E970)/A970</x:f>
        <x:v>100.33158447009444</x:v>
      </x:c>
      <x:c r="G970" s="42" t="n">
        <x:f>$B$11</x:f>
        <x:v>100.53096491487338</x:v>
      </x:c>
      <x:c r="I970" t="n">
        <x:f>A970</x:f>
        <x:v>953</x:v>
      </x:c>
      <x:c r="J970" t="n">
        <x:f>F970</x:f>
        <x:v>100.33158447009444</x:v>
      </x:c>
      <x:c r="K970" t="n">
        <x:f>G970</x:f>
        <x:v>100.53096491487338</x:v>
      </x:c>
    </x:row>
    <x:row r="971">
      <x:c r="A971" t="n">
        <x:v>954</x:v>
      </x:c>
      <x:c r="B971" s="40" t="n">
        <x:v>-1.3549837485923035</x:v>
      </x:c>
      <x:c r="C971" s="40" t="n">
        <x:v>2.4802866393726077</x:v>
      </x:c>
      <x:c r="D971" s="40" t="n">
        <x:v>3.845122201140705</x:v>
      </x:c>
      <x:c r="E971" t="n">
        <x:f>--((B971^2/$B$4^2+C971^2/$B$5^2+D971^2/$B$6^2)&lt;=1)</x:f>
        <x:v>0</x:v>
      </x:c>
      <x:c r="F971" s="42" t="n">
        <x:f>$B$8*SUM($E$18:E971)/A971</x:f>
        <x:v>100.22641509433963</x:v>
      </x:c>
      <x:c r="G971" s="42" t="n">
        <x:f>$B$11</x:f>
        <x:v>100.53096491487338</x:v>
      </x:c>
      <x:c r="I971" t="n">
        <x:f>A971</x:f>
        <x:v>954</x:v>
      </x:c>
      <x:c r="J971" t="n">
        <x:f>F971</x:f>
        <x:v>100.22641509433963</x:v>
      </x:c>
      <x:c r="K971" t="n">
        <x:f>G971</x:f>
        <x:v>100.53096491487338</x:v>
      </x:c>
    </x:row>
    <x:row r="972">
      <x:c r="A972" t="n">
        <x:v>955</x:v>
      </x:c>
      <x:c r="B972" s="40" t="n">
        <x:v>1.7600760432300588</x:v>
      </x:c>
      <x:c r="C972" s="40" t="n">
        <x:v>0.10727145401147054</x:v>
      </x:c>
      <x:c r="D972" s="40" t="n">
        <x:v>-2.1777024723103624</x:v>
      </x:c>
      <x:c r="E972" t="n">
        <x:f>--((B972^2/$B$4^2+C972^2/$B$5^2+D972^2/$B$6^2)&lt;=1)</x:f>
        <x:v>0</x:v>
      </x:c>
      <x:c r="F972" s="42" t="n">
        <x:f>$B$8*SUM($E$18:E972)/A972</x:f>
        <x:v>100.12146596858639</x:v>
      </x:c>
      <x:c r="G972" s="42" t="n">
        <x:f>$B$11</x:f>
        <x:v>100.53096491487338</x:v>
      </x:c>
      <x:c r="I972" t="n">
        <x:f>A972</x:f>
        <x:v>955</x:v>
      </x:c>
      <x:c r="J972" t="n">
        <x:f>F972</x:f>
        <x:v>100.12146596858639</x:v>
      </x:c>
      <x:c r="K972" t="n">
        <x:f>G972</x:f>
        <x:v>100.53096491487338</x:v>
      </x:c>
    </x:row>
    <x:row r="973">
      <x:c r="A973" t="n">
        <x:v>956</x:v>
      </x:c>
      <x:c r="B973" s="40" t="n">
        <x:v>1.5519553144223197</x:v>
      </x:c>
      <x:c r="C973" s="40" t="n">
        <x:v>-0.9817134716597593</x:v>
      </x:c>
      <x:c r="D973" s="40" t="n">
        <x:v>-2.1065279712187497</x:v>
      </x:c>
      <x:c r="E973" t="n">
        <x:f>--((B973^2/$B$4^2+C973^2/$B$5^2+D973^2/$B$6^2)&lt;=1)</x:f>
        <x:v>1</x:v>
      </x:c>
      <x:c r="F973" s="42" t="n">
        <x:f>$B$8*SUM($E$18:E973)/A973</x:f>
        <x:v>100.21757322175732</x:v>
      </x:c>
      <x:c r="G973" s="42" t="n">
        <x:f>$B$11</x:f>
        <x:v>100.53096491487338</x:v>
      </x:c>
      <x:c r="I973" t="n">
        <x:f>A973</x:f>
        <x:v>956</x:v>
      </x:c>
      <x:c r="J973" t="n">
        <x:f>F973</x:f>
        <x:v>100.21757322175732</x:v>
      </x:c>
      <x:c r="K973" t="n">
        <x:f>G973</x:f>
        <x:v>100.53096491487338</x:v>
      </x:c>
    </x:row>
    <x:row r="974">
      <x:c r="A974" t="n">
        <x:v>957</x:v>
      </x:c>
      <x:c r="B974" s="40" t="n">
        <x:v>1.109434853310769</x:v>
      </x:c>
      <x:c r="C974" s="40" t="n">
        <x:v>-2.0578470159948434</x:v>
      </x:c>
      <x:c r="D974" s="40" t="n">
        <x:v>2.869384963870913</x:v>
      </x:c>
      <x:c r="E974" t="n">
        <x:f>--((B974^2/$B$4^2+C974^2/$B$5^2+D974^2/$B$6^2)&lt;=1)</x:f>
        <x:v>0</x:v>
      </x:c>
      <x:c r="F974" s="42" t="n">
        <x:f>$B$8*SUM($E$18:E974)/A974</x:f>
        <x:v>100.1128526645768</x:v>
      </x:c>
      <x:c r="G974" s="42" t="n">
        <x:f>$B$11</x:f>
        <x:v>100.53096491487338</x:v>
      </x:c>
      <x:c r="I974" t="n">
        <x:f>A974</x:f>
        <x:v>957</x:v>
      </x:c>
      <x:c r="J974" t="n">
        <x:f>F974</x:f>
        <x:v>100.1128526645768</x:v>
      </x:c>
      <x:c r="K974" t="n">
        <x:f>G974</x:f>
        <x:v>100.53096491487338</x:v>
      </x:c>
    </x:row>
    <x:row r="975">
      <x:c r="A975" t="n">
        <x:v>958</x:v>
      </x:c>
      <x:c r="B975" s="40" t="n">
        <x:v>0.07064608515091608</x:v>
      </x:c>
      <x:c r="C975" s="40" t="n">
        <x:v>-2.929145470925972</x:v>
      </x:c>
      <x:c r="D975" s="40" t="n">
        <x:v>-2.056113104297447</x:v>
      </x:c>
      <x:c r="E975" t="n">
        <x:f>--((B975^2/$B$4^2+C975^2/$B$5^2+D975^2/$B$6^2)&lt;=1)</x:f>
        <x:v>0</x:v>
      </x:c>
      <x:c r="F975" s="42" t="n">
        <x:f>$B$8*SUM($E$18:E975)/A975</x:f>
        <x:v>100.00835073068893</x:v>
      </x:c>
      <x:c r="G975" s="42" t="n">
        <x:f>$B$11</x:f>
        <x:v>100.53096491487338</x:v>
      </x:c>
      <x:c r="I975" t="n">
        <x:f>A975</x:f>
        <x:v>958</x:v>
      </x:c>
      <x:c r="J975" t="n">
        <x:f>F975</x:f>
        <x:v>100.00835073068893</x:v>
      </x:c>
      <x:c r="K975" t="n">
        <x:f>G975</x:f>
        <x:v>100.53096491487338</x:v>
      </x:c>
    </x:row>
    <x:row r="976">
      <x:c r="A976" t="n">
        <x:v>959</x:v>
      </x:c>
      <x:c r="B976" s="40" t="n">
        <x:v>-0.037568337952512465</x:v>
      </x:c>
      <x:c r="C976" s="40" t="n">
        <x:v>-1.5123180500346916</x:v>
      </x:c>
      <x:c r="D976" s="40" t="n">
        <x:v>-1.1127776520697363</x:v>
      </x:c>
      <x:c r="E976" t="n">
        <x:f>--((B976^2/$B$4^2+C976^2/$B$5^2+D976^2/$B$6^2)&lt;=1)</x:f>
        <x:v>1</x:v>
      </x:c>
      <x:c r="F976" s="42" t="n">
        <x:f>$B$8*SUM($E$18:E976)/A976</x:f>
        <x:v>100.10427528675704</x:v>
      </x:c>
      <x:c r="G976" s="42" t="n">
        <x:f>$B$11</x:f>
        <x:v>100.53096491487338</x:v>
      </x:c>
      <x:c r="I976" t="n">
        <x:f>A976</x:f>
        <x:v>959</x:v>
      </x:c>
      <x:c r="J976" t="n">
        <x:f>F976</x:f>
        <x:v>100.10427528675704</x:v>
      </x:c>
      <x:c r="K976" t="n">
        <x:f>G976</x:f>
        <x:v>100.53096491487338</x:v>
      </x:c>
    </x:row>
    <x:row r="977">
      <x:c r="A977" t="n">
        <x:v>960</x:v>
      </x:c>
      <x:c r="B977" s="40" t="n">
        <x:v>0.11898266472999186</x:v>
      </x:c>
      <x:c r="C977" s="40" t="n">
        <x:v>2.4841203796878712</x:v>
      </x:c>
      <x:c r="D977" s="40" t="n">
        <x:v>1.7171212894322156</x:v>
      </x:c>
      <x:c r="E977" t="n">
        <x:f>--((B977^2/$B$4^2+C977^2/$B$5^2+D977^2/$B$6^2)&lt;=1)</x:f>
        <x:v>1</x:v>
      </x:c>
      <x:c r="F977" s="42" t="n">
        <x:f>$B$8*SUM($E$18:E977)/A977</x:f>
        <x:v>100.2</x:v>
      </x:c>
      <x:c r="G977" s="42" t="n">
        <x:f>$B$11</x:f>
        <x:v>100.53096491487338</x:v>
      </x:c>
      <x:c r="I977" t="n">
        <x:f>A977</x:f>
        <x:v>960</x:v>
      </x:c>
      <x:c r="J977" t="n">
        <x:f>F977</x:f>
        <x:v>100.2</x:v>
      </x:c>
      <x:c r="K977" t="n">
        <x:f>G977</x:f>
        <x:v>100.53096491487338</x:v>
      </x:c>
    </x:row>
    <x:row r="978">
      <x:c r="A978" t="n">
        <x:v>961</x:v>
      </x:c>
      <x:c r="B978" s="40" t="n">
        <x:v>0.1462720543083571</x:v>
      </x:c>
      <x:c r="C978" s="40" t="n">
        <x:v>1.7835731536333652</x:v>
      </x:c>
      <x:c r="D978" s="40" t="n">
        <x:v>-2.730011358441894</x:v>
      </x:c>
      <x:c r="E978" t="n">
        <x:f>--((B978^2/$B$4^2+C978^2/$B$5^2+D978^2/$B$6^2)&lt;=1)</x:f>
        <x:v>1</x:v>
      </x:c>
      <x:c r="F978" s="42" t="n">
        <x:f>$B$8*SUM($E$18:E978)/A978</x:f>
        <x:v>100.29552549427679</x:v>
      </x:c>
      <x:c r="G978" s="42" t="n">
        <x:f>$B$11</x:f>
        <x:v>100.53096491487338</x:v>
      </x:c>
      <x:c r="I978" t="n">
        <x:f>A978</x:f>
        <x:v>961</x:v>
      </x:c>
      <x:c r="J978" t="n">
        <x:f>F978</x:f>
        <x:v>100.29552549427679</x:v>
      </x:c>
      <x:c r="K978" t="n">
        <x:f>G978</x:f>
        <x:v>100.53096491487338</x:v>
      </x:c>
    </x:row>
    <x:row r="979">
      <x:c r="A979" t="n">
        <x:v>962</x:v>
      </x:c>
      <x:c r="B979" s="40" t="n">
        <x:v>-0.26174766120923865</x:v>
      </x:c>
      <x:c r="C979" s="40" t="n">
        <x:v>2.818762246504317</x:v>
      </x:c>
      <x:c r="D979" s="40" t="n">
        <x:v>-2.727425961379982</x:v>
      </x:c>
      <x:c r="E979" t="n">
        <x:f>--((B979^2/$B$4^2+C979^2/$B$5^2+D979^2/$B$6^2)&lt;=1)</x:f>
        <x:v>0</x:v>
      </x:c>
      <x:c r="F979" s="42" t="n">
        <x:f>$B$8*SUM($E$18:E979)/A979</x:f>
        <x:v>100.1912681912682</x:v>
      </x:c>
      <x:c r="G979" s="42" t="n">
        <x:f>$B$11</x:f>
        <x:v>100.53096491487338</x:v>
      </x:c>
      <x:c r="I979" t="n">
        <x:f>A979</x:f>
        <x:v>962</x:v>
      </x:c>
      <x:c r="J979" t="n">
        <x:f>F979</x:f>
        <x:v>100.1912681912682</x:v>
      </x:c>
      <x:c r="K979" t="n">
        <x:f>G979</x:f>
        <x:v>100.53096491487338</x:v>
      </x:c>
    </x:row>
    <x:row r="980">
      <x:c r="A980" t="n">
        <x:v>963</x:v>
      </x:c>
      <x:c r="B980" s="40" t="n">
        <x:v>-1.4729806684317301</x:v>
      </x:c>
      <x:c r="C980" s="40" t="n">
        <x:v>-2.3954308732717617</x:v>
      </x:c>
      <x:c r="D980" s="40" t="n">
        <x:v>-0.10913261386704853</x:v>
      </x:c>
      <x:c r="E980" t="n">
        <x:f>--((B980^2/$B$4^2+C980^2/$B$5^2+D980^2/$B$6^2)&lt;=1)</x:f>
        <x:v>0</x:v>
      </x:c>
      <x:c r="F980" s="42" t="n">
        <x:f>$B$8*SUM($E$18:E980)/A980</x:f>
        <x:v>100.08722741433021</x:v>
      </x:c>
      <x:c r="G980" s="42" t="n">
        <x:f>$B$11</x:f>
        <x:v>100.53096491487338</x:v>
      </x:c>
      <x:c r="I980" t="n">
        <x:f>A980</x:f>
        <x:v>963</x:v>
      </x:c>
      <x:c r="J980" t="n">
        <x:f>F980</x:f>
        <x:v>100.08722741433021</x:v>
      </x:c>
      <x:c r="K980" t="n">
        <x:f>G980</x:f>
        <x:v>100.53096491487338</x:v>
      </x:c>
    </x:row>
    <x:row r="981">
      <x:c r="A981" t="n">
        <x:v>964</x:v>
      </x:c>
      <x:c r="B981" s="40" t="n">
        <x:v>-1.497344588525856</x:v>
      </x:c>
      <x:c r="C981" s="40" t="n">
        <x:v>0.5530724610340165</x:v>
      </x:c>
      <x:c r="D981" s="40" t="n">
        <x:v>-2.050425966138185</x:v>
      </x:c>
      <x:c r="E981" t="n">
        <x:f>--((B981^2/$B$4^2+C981^2/$B$5^2+D981^2/$B$6^2)&lt;=1)</x:f>
        <x:v>1</x:v>
      </x:c>
      <x:c r="F981" s="42" t="n">
        <x:f>$B$8*SUM($E$18:E981)/A981</x:f>
        <x:v>100.18257261410788</x:v>
      </x:c>
      <x:c r="G981" s="42" t="n">
        <x:f>$B$11</x:f>
        <x:v>100.53096491487338</x:v>
      </x:c>
      <x:c r="I981" t="n">
        <x:f>A981</x:f>
        <x:v>964</x:v>
      </x:c>
      <x:c r="J981" t="n">
        <x:f>F981</x:f>
        <x:v>100.18257261410788</x:v>
      </x:c>
      <x:c r="K981" t="n">
        <x:f>G981</x:f>
        <x:v>100.53096491487338</x:v>
      </x:c>
    </x:row>
    <x:row r="982">
      <x:c r="A982" t="n">
        <x:v>965</x:v>
      </x:c>
      <x:c r="B982" s="40" t="n">
        <x:v>1.8089988633827332</x:v>
      </x:c>
      <x:c r="C982" s="40" t="n">
        <x:v>-1.4570971558153403</x:v>
      </x:c>
      <x:c r="D982" s="40" t="n">
        <x:v>-2.1147363554477314</x:v>
      </x:c>
      <x:c r="E982" t="n">
        <x:f>--((B982^2/$B$4^2+C982^2/$B$5^2+D982^2/$B$6^2)&lt;=1)</x:f>
        <x:v>0</x:v>
      </x:c>
      <x:c r="F982" s="42" t="n">
        <x:f>$B$8*SUM($E$18:E982)/A982</x:f>
        <x:v>100.07875647668394</x:v>
      </x:c>
      <x:c r="G982" s="42" t="n">
        <x:f>$B$11</x:f>
        <x:v>100.53096491487338</x:v>
      </x:c>
      <x:c r="I982" t="n">
        <x:f>A982</x:f>
        <x:v>965</x:v>
      </x:c>
      <x:c r="J982" t="n">
        <x:f>F982</x:f>
        <x:v>100.07875647668394</x:v>
      </x:c>
      <x:c r="K982" t="n">
        <x:f>G982</x:f>
        <x:v>100.53096491487338</x:v>
      </x:c>
    </x:row>
    <x:row r="983">
      <x:c r="A983" t="n">
        <x:v>966</x:v>
      </x:c>
      <x:c r="B983" s="40" t="n">
        <x:v>-0.07187696165459778</x:v>
      </x:c>
      <x:c r="C983" s="40" t="n">
        <x:v>0.25765023463444425</x:v>
      </x:c>
      <x:c r="D983" s="40" t="n">
        <x:v>-3.9260886286518986</x:v>
      </x:c>
      <x:c r="E983" t="n">
        <x:f>--((B983^2/$B$4^2+C983^2/$B$5^2+D983^2/$B$6^2)&lt;=1)</x:f>
        <x:v>1</x:v>
      </x:c>
      <x:c r="F983" s="42" t="n">
        <x:f>$B$8*SUM($E$18:E983)/A983</x:f>
        <x:v>100.17391304347827</x:v>
      </x:c>
      <x:c r="G983" s="42" t="n">
        <x:f>$B$11</x:f>
        <x:v>100.53096491487338</x:v>
      </x:c>
      <x:c r="I983" t="n">
        <x:f>A983</x:f>
        <x:v>966</x:v>
      </x:c>
      <x:c r="J983" t="n">
        <x:f>F983</x:f>
        <x:v>100.17391304347827</x:v>
      </x:c>
      <x:c r="K983" t="n">
        <x:f>G983</x:f>
        <x:v>100.53096491487338</x:v>
      </x:c>
    </x:row>
    <x:row r="984">
      <x:c r="A984" t="n">
        <x:v>967</x:v>
      </x:c>
      <x:c r="B984" s="40" t="n">
        <x:v>1.8128220996207558</x:v>
      </x:c>
      <x:c r="C984" s="40" t="n">
        <x:v>-1.0772706866192692</x:v>
      </x:c>
      <x:c r="D984" s="40" t="n">
        <x:v>-1.0364032704164163</x:v>
      </x:c>
      <x:c r="E984" t="n">
        <x:f>--((B984^2/$B$4^2+C984^2/$B$5^2+D984^2/$B$6^2)&lt;=1)</x:f>
        <x:v>0</x:v>
      </x:c>
      <x:c r="F984" s="42" t="n">
        <x:f>$B$8*SUM($E$18:E984)/A984</x:f>
        <x:v>100.07032057911066</x:v>
      </x:c>
      <x:c r="G984" s="42" t="n">
        <x:f>$B$11</x:f>
        <x:v>100.53096491487338</x:v>
      </x:c>
      <x:c r="I984" t="n">
        <x:f>A984</x:f>
        <x:v>967</x:v>
      </x:c>
      <x:c r="J984" t="n">
        <x:f>F984</x:f>
        <x:v>100.07032057911066</x:v>
      </x:c>
      <x:c r="K984" t="n">
        <x:f>G984</x:f>
        <x:v>100.53096491487338</x:v>
      </x:c>
    </x:row>
    <x:row r="985">
      <x:c r="A985" t="n">
        <x:v>968</x:v>
      </x:c>
      <x:c r="B985" s="40" t="n">
        <x:v>-1.34569248915956</x:v>
      </x:c>
      <x:c r="C985" s="40" t="n">
        <x:v>-1.299206698539855</x:v>
      </x:c>
      <x:c r="D985" s="40" t="n">
        <x:v>-1.453995563052774</x:v>
      </x:c>
      <x:c r="E985" t="n">
        <x:f>--((B985^2/$B$4^2+C985^2/$B$5^2+D985^2/$B$6^2)&lt;=1)</x:f>
        <x:v>1</x:v>
      </x:c>
      <x:c r="F985" s="42" t="n">
        <x:f>$B$8*SUM($E$18:E985)/A985</x:f>
        <x:v>100.16528925619835</x:v>
      </x:c>
      <x:c r="G985" s="42" t="n">
        <x:f>$B$11</x:f>
        <x:v>100.53096491487338</x:v>
      </x:c>
      <x:c r="I985" t="n">
        <x:f>A985</x:f>
        <x:v>968</x:v>
      </x:c>
      <x:c r="J985" t="n">
        <x:f>F985</x:f>
        <x:v>100.16528925619835</x:v>
      </x:c>
      <x:c r="K985" t="n">
        <x:f>G985</x:f>
        <x:v>100.53096491487338</x:v>
      </x:c>
    </x:row>
    <x:row r="986">
      <x:c r="A986" t="n">
        <x:v>969</x:v>
      </x:c>
      <x:c r="B986" s="40" t="n">
        <x:v>0.21766620815973425</x:v>
      </x:c>
      <x:c r="C986" s="40" t="n">
        <x:v>0.44307181214758495</x:v>
      </x:c>
      <x:c r="D986" s="40" t="n">
        <x:v>-3.7507535133866368</x:v>
      </x:c>
      <x:c r="E986" t="n">
        <x:f>--((B986^2/$B$4^2+C986^2/$B$5^2+D986^2/$B$6^2)&lt;=1)</x:f>
        <x:v>1</x:v>
      </x:c>
      <x:c r="F986" s="42" t="n">
        <x:f>$B$8*SUM($E$18:E986)/A986</x:f>
        <x:v>100.26006191950465</x:v>
      </x:c>
      <x:c r="G986" s="42" t="n">
        <x:f>$B$11</x:f>
        <x:v>100.53096491487338</x:v>
      </x:c>
      <x:c r="I986" t="n">
        <x:f>A986</x:f>
        <x:v>969</x:v>
      </x:c>
      <x:c r="J986" t="n">
        <x:f>F986</x:f>
        <x:v>100.26006191950465</x:v>
      </x:c>
      <x:c r="K986" t="n">
        <x:f>G986</x:f>
        <x:v>100.53096491487338</x:v>
      </x:c>
    </x:row>
    <x:row r="987">
      <x:c r="A987" t="n">
        <x:v>970</x:v>
      </x:c>
      <x:c r="B987" s="40" t="n">
        <x:v>-1.169130986593843</x:v>
      </x:c>
      <x:c r="C987" s="40" t="n">
        <x:v>-1.9000910287827582</x:v>
      </x:c>
      <x:c r="D987" s="40" t="n">
        <x:v>0.9698654257093082</x:v>
      </x:c>
      <x:c r="E987" t="n">
        <x:f>--((B987^2/$B$4^2+C987^2/$B$5^2+D987^2/$B$6^2)&lt;=1)</x:f>
        <x:v>1</x:v>
      </x:c>
      <x:c r="F987" s="42" t="n">
        <x:f>$B$8*SUM($E$18:E987)/A987</x:f>
        <x:v>100.35463917525773</x:v>
      </x:c>
      <x:c r="G987" s="42" t="n">
        <x:f>$B$11</x:f>
        <x:v>100.53096491487338</x:v>
      </x:c>
      <x:c r="I987" t="n">
        <x:f>A987</x:f>
        <x:v>970</x:v>
      </x:c>
      <x:c r="J987" t="n">
        <x:f>F987</x:f>
        <x:v>100.35463917525773</x:v>
      </x:c>
      <x:c r="K987" t="n">
        <x:f>G987</x:f>
        <x:v>100.53096491487338</x:v>
      </x:c>
    </x:row>
    <x:row r="988">
      <x:c r="A988" t="n">
        <x:v>971</x:v>
      </x:c>
      <x:c r="B988" s="40" t="n">
        <x:v>-0.9872615754935938</x:v>
      </x:c>
      <x:c r="C988" s="40" t="n">
        <x:v>-0.18519937816729914</x:v>
      </x:c>
      <x:c r="D988" s="40" t="n">
        <x:v>1.0132414560268321</x:v>
      </x:c>
      <x:c r="E988" t="n">
        <x:f>--((B988^2/$B$4^2+C988^2/$B$5^2+D988^2/$B$6^2)&lt;=1)</x:f>
        <x:v>1</x:v>
      </x:c>
      <x:c r="F988" s="42" t="n">
        <x:f>$B$8*SUM($E$18:E988)/A988</x:f>
        <x:v>100.44902162718847</x:v>
      </x:c>
      <x:c r="G988" s="42" t="n">
        <x:f>$B$11</x:f>
        <x:v>100.53096491487338</x:v>
      </x:c>
      <x:c r="I988" t="n">
        <x:f>A988</x:f>
        <x:v>971</x:v>
      </x:c>
      <x:c r="J988" t="n">
        <x:f>F988</x:f>
        <x:v>100.44902162718847</x:v>
      </x:c>
      <x:c r="K988" t="n">
        <x:f>G988</x:f>
        <x:v>100.53096491487338</x:v>
      </x:c>
    </x:row>
    <x:row r="989">
      <x:c r="A989" t="n">
        <x:v>972</x:v>
      </x:c>
      <x:c r="B989" s="40" t="n">
        <x:v>-1.8797816849552849</x:v>
      </x:c>
      <x:c r="C989" s="40" t="n">
        <x:v>0.9048735902642084</x:v>
      </x:c>
      <x:c r="D989" s="40" t="n">
        <x:v>-3.433596225810729</x:v>
      </x:c>
      <x:c r="E989" t="n">
        <x:f>--((B989^2/$B$4^2+C989^2/$B$5^2+D989^2/$B$6^2)&lt;=1)</x:f>
        <x:v>0</x:v>
      </x:c>
      <x:c r="F989" s="42" t="n">
        <x:f>$B$8*SUM($E$18:E989)/A989</x:f>
        <x:v>100.34567901234568</x:v>
      </x:c>
      <x:c r="G989" s="42" t="n">
        <x:f>$B$11</x:f>
        <x:v>100.53096491487338</x:v>
      </x:c>
      <x:c r="I989" t="n">
        <x:f>A989</x:f>
        <x:v>972</x:v>
      </x:c>
      <x:c r="J989" t="n">
        <x:f>F989</x:f>
        <x:v>100.34567901234568</x:v>
      </x:c>
      <x:c r="K989" t="n">
        <x:f>G989</x:f>
        <x:v>100.53096491487338</x:v>
      </x:c>
    </x:row>
    <x:row r="990">
      <x:c r="A990" t="n">
        <x:v>973</x:v>
      </x:c>
      <x:c r="B990" s="40" t="n">
        <x:v>-1.5241867570391547</x:v>
      </x:c>
      <x:c r="C990" s="40" t="n">
        <x:v>-2.2309075609031757</x:v>
      </x:c>
      <x:c r="D990" s="40" t="n">
        <x:v>-1.4636674967243755</x:v>
      </x:c>
      <x:c r="E990" t="n">
        <x:f>--((B990^2/$B$4^2+C990^2/$B$5^2+D990^2/$B$6^2)&lt;=1)</x:f>
        <x:v>0</x:v>
      </x:c>
      <x:c r="F990" s="42" t="n">
        <x:f>$B$8*SUM($E$18:E990)/A990</x:f>
        <x:v>100.24254881808838</x:v>
      </x:c>
      <x:c r="G990" s="42" t="n">
        <x:f>$B$11</x:f>
        <x:v>100.53096491487338</x:v>
      </x:c>
      <x:c r="I990" t="n">
        <x:f>A990</x:f>
        <x:v>973</x:v>
      </x:c>
      <x:c r="J990" t="n">
        <x:f>F990</x:f>
        <x:v>100.24254881808838</x:v>
      </x:c>
      <x:c r="K990" t="n">
        <x:f>G990</x:f>
        <x:v>100.53096491487338</x:v>
      </x:c>
    </x:row>
    <x:row r="991">
      <x:c r="A991" t="n">
        <x:v>974</x:v>
      </x:c>
      <x:c r="B991" s="40" t="n">
        <x:v>1.667393630516783</x:v>
      </x:c>
      <x:c r="C991" s="40" t="n">
        <x:v>2.583565625261424</x:v>
      </x:c>
      <x:c r="D991" s="40" t="n">
        <x:v>2.9824442559631823</x:v>
      </x:c>
      <x:c r="E991" t="n">
        <x:f>--((B991^2/$B$4^2+C991^2/$B$5^2+D991^2/$B$6^2)&lt;=1)</x:f>
        <x:v>0</x:v>
      </x:c>
      <x:c r="F991" s="42" t="n">
        <x:f>$B$8*SUM($E$18:E991)/A991</x:f>
        <x:v>100.13963039014374</x:v>
      </x:c>
      <x:c r="G991" s="42" t="n">
        <x:f>$B$11</x:f>
        <x:v>100.53096491487338</x:v>
      </x:c>
      <x:c r="I991" t="n">
        <x:f>A991</x:f>
        <x:v>974</x:v>
      </x:c>
      <x:c r="J991" t="n">
        <x:f>F991</x:f>
        <x:v>100.13963039014374</x:v>
      </x:c>
      <x:c r="K991" t="n">
        <x:f>G991</x:f>
        <x:v>100.53096491487338</x:v>
      </x:c>
    </x:row>
    <x:row r="992">
      <x:c r="A992" t="n">
        <x:v>975</x:v>
      </x:c>
      <x:c r="B992" s="40" t="n">
        <x:v>-0.7138680340706731</x:v>
      </x:c>
      <x:c r="C992" s="40" t="n">
        <x:v>0.03434819672474898</x:v>
      </x:c>
      <x:c r="D992" s="40" t="n">
        <x:v>0.6573365459566274</x:v>
      </x:c>
      <x:c r="E992" t="n">
        <x:f>--((B992^2/$B$4^2+C992^2/$B$5^2+D992^2/$B$6^2)&lt;=1)</x:f>
        <x:v>1</x:v>
      </x:c>
      <x:c r="F992" s="42" t="n">
        <x:f>$B$8*SUM($E$18:E992)/A992</x:f>
        <x:v>100.23384615384616</x:v>
      </x:c>
      <x:c r="G992" s="42" t="n">
        <x:f>$B$11</x:f>
        <x:v>100.53096491487338</x:v>
      </x:c>
      <x:c r="I992" t="n">
        <x:f>A992</x:f>
        <x:v>975</x:v>
      </x:c>
      <x:c r="J992" t="n">
        <x:f>F992</x:f>
        <x:v>100.23384615384616</x:v>
      </x:c>
      <x:c r="K992" t="n">
        <x:f>G992</x:f>
        <x:v>100.53096491487338</x:v>
      </x:c>
    </x:row>
    <x:row r="993">
      <x:c r="A993" t="n">
        <x:v>976</x:v>
      </x:c>
      <x:c r="B993" s="40" t="n">
        <x:v>0.4325168476583663</x:v>
      </x:c>
      <x:c r="C993" s="40" t="n">
        <x:v>1.9171678313060534</x:v>
      </x:c>
      <x:c r="D993" s="40" t="n">
        <x:v>-0.704202207904097</x:v>
      </x:c>
      <x:c r="E993" t="n">
        <x:f>--((B993^2/$B$4^2+C993^2/$B$5^2+D993^2/$B$6^2)&lt;=1)</x:f>
        <x:v>1</x:v>
      </x:c>
      <x:c r="F993" s="42" t="n">
        <x:f>$B$8*SUM($E$18:E993)/A993</x:f>
        <x:v>100.32786885245902</x:v>
      </x:c>
      <x:c r="G993" s="42" t="n">
        <x:f>$B$11</x:f>
        <x:v>100.53096491487338</x:v>
      </x:c>
      <x:c r="I993" t="n">
        <x:f>A993</x:f>
        <x:v>976</x:v>
      </x:c>
      <x:c r="J993" t="n">
        <x:f>F993</x:f>
        <x:v>100.32786885245902</x:v>
      </x:c>
      <x:c r="K993" t="n">
        <x:f>G993</x:f>
        <x:v>100.53096491487338</x:v>
      </x:c>
    </x:row>
    <x:row r="994">
      <x:c r="A994" t="n">
        <x:v>977</x:v>
      </x:c>
      <x:c r="B994" s="40" t="n">
        <x:v>-0.13994347204290802</x:v>
      </x:c>
      <x:c r="C994" s="40" t="n">
        <x:v>0.9234325837263802</x:v>
      </x:c>
      <x:c r="D994" s="40" t="n">
        <x:v>-0.2791845722872326</x:v>
      </x:c>
      <x:c r="E994" t="n">
        <x:f>--((B994^2/$B$4^2+C994^2/$B$5^2+D994^2/$B$6^2)&lt;=1)</x:f>
        <x:v>1</x:v>
      </x:c>
      <x:c r="F994" s="42" t="n">
        <x:f>$B$8*SUM($E$18:E994)/A994</x:f>
        <x:v>100.4216990788127</x:v>
      </x:c>
      <x:c r="G994" s="42" t="n">
        <x:f>$B$11</x:f>
        <x:v>100.53096491487338</x:v>
      </x:c>
      <x:c r="I994" t="n">
        <x:f>A994</x:f>
        <x:v>977</x:v>
      </x:c>
      <x:c r="J994" t="n">
        <x:f>F994</x:f>
        <x:v>100.4216990788127</x:v>
      </x:c>
      <x:c r="K994" t="n">
        <x:f>G994</x:f>
        <x:v>100.53096491487338</x:v>
      </x:c>
    </x:row>
    <x:row r="995">
      <x:c r="A995" t="n">
        <x:v>978</x:v>
      </x:c>
      <x:c r="B995" s="40" t="n">
        <x:v>-0.39819501901888676</x:v>
      </x:c>
      <x:c r="C995" s="40" t="n">
        <x:v>1.260005647335273</x:v>
      </x:c>
      <x:c r="D995" s="40" t="n">
        <x:v>-2.333760044513559</x:v>
      </x:c>
      <x:c r="E995" t="n">
        <x:f>--((B995^2/$B$4^2+C995^2/$B$5^2+D995^2/$B$6^2)&lt;=1)</x:f>
        <x:v>1</x:v>
      </x:c>
      <x:c r="F995" s="42" t="n">
        <x:f>$B$8*SUM($E$18:E995)/A995</x:f>
        <x:v>100.51533742331289</x:v>
      </x:c>
      <x:c r="G995" s="42" t="n">
        <x:f>$B$11</x:f>
        <x:v>100.53096491487338</x:v>
      </x:c>
      <x:c r="I995" t="n">
        <x:f>A995</x:f>
        <x:v>978</x:v>
      </x:c>
      <x:c r="J995" t="n">
        <x:f>F995</x:f>
        <x:v>100.51533742331289</x:v>
      </x:c>
      <x:c r="K995" t="n">
        <x:f>G995</x:f>
        <x:v>100.53096491487338</x:v>
      </x:c>
    </x:row>
    <x:row r="996">
      <x:c r="A996" t="n">
        <x:v>979</x:v>
      </x:c>
      <x:c r="B996" s="40" t="n">
        <x:v>0.1275443653842725</x:v>
      </x:c>
      <x:c r="C996" s="40" t="n">
        <x:v>1.2967856459570282</x:v>
      </x:c>
      <x:c r="D996" s="40" t="n">
        <x:v>2.4950520056634238</x:v>
      </x:c>
      <x:c r="E996" t="n">
        <x:f>--((B996^2/$B$4^2+C996^2/$B$5^2+D996^2/$B$6^2)&lt;=1)</x:f>
        <x:v>1</x:v>
      </x:c>
      <x:c r="F996" s="42" t="n">
        <x:f>$B$8*SUM($E$18:E996)/A996</x:f>
        <x:v>100.60878447395301</x:v>
      </x:c>
      <x:c r="G996" s="42" t="n">
        <x:f>$B$11</x:f>
        <x:v>100.53096491487338</x:v>
      </x:c>
      <x:c r="I996" t="n">
        <x:f>A996</x:f>
        <x:v>979</x:v>
      </x:c>
      <x:c r="J996" t="n">
        <x:f>F996</x:f>
        <x:v>100.60878447395301</x:v>
      </x:c>
      <x:c r="K996" t="n">
        <x:f>G996</x:f>
        <x:v>100.53096491487338</x:v>
      </x:c>
    </x:row>
    <x:row r="997">
      <x:c r="A997" t="n">
        <x:v>980</x:v>
      </x:c>
      <x:c r="B997" s="40" t="n">
        <x:v>-1.251044221538634</x:v>
      </x:c>
      <x:c r="C997" s="40" t="n">
        <x:v>2.2505993823688355</x:v>
      </x:c>
      <x:c r="D997" s="40" t="n">
        <x:v>3.3120376436077406</x:v>
      </x:c>
      <x:c r="E997" t="n">
        <x:f>--((B997^2/$B$4^2+C997^2/$B$5^2+D997^2/$B$6^2)&lt;=1)</x:f>
        <x:v>0</x:v>
      </x:c>
      <x:c r="F997" s="42" t="n">
        <x:f>$B$8*SUM($E$18:E997)/A997</x:f>
        <x:v>100.5061224489796</x:v>
      </x:c>
      <x:c r="G997" s="42" t="n">
        <x:f>$B$11</x:f>
        <x:v>100.53096491487338</x:v>
      </x:c>
      <x:c r="I997" t="n">
        <x:f>A997</x:f>
        <x:v>980</x:v>
      </x:c>
      <x:c r="J997" t="n">
        <x:f>F997</x:f>
        <x:v>100.5061224489796</x:v>
      </x:c>
      <x:c r="K997" t="n">
        <x:f>G997</x:f>
        <x:v>100.53096491487338</x:v>
      </x:c>
    </x:row>
    <x:row r="998">
      <x:c r="A998" t="n">
        <x:v>981</x:v>
      </x:c>
      <x:c r="B998" s="40" t="n">
        <x:v>1.9544155940783061</x:v>
      </x:c>
      <x:c r="C998" s="40" t="n">
        <x:v>0.6816326102815449</x:v>
      </x:c>
      <x:c r="D998" s="40" t="n">
        <x:v>3.285312338000349</x:v>
      </x:c>
      <x:c r="E998" t="n">
        <x:f>--((B998^2/$B$4^2+C998^2/$B$5^2+D998^2/$B$6^2)&lt;=1)</x:f>
        <x:v>0</x:v>
      </x:c>
      <x:c r="F998" s="42" t="n">
        <x:f>$B$8*SUM($E$18:E998)/A998</x:f>
        <x:v>100.40366972477064</x:v>
      </x:c>
      <x:c r="G998" s="42" t="n">
        <x:f>$B$11</x:f>
        <x:v>100.53096491487338</x:v>
      </x:c>
      <x:c r="I998" t="n">
        <x:f>A998</x:f>
        <x:v>981</x:v>
      </x:c>
      <x:c r="J998" t="n">
        <x:f>F998</x:f>
        <x:v>100.40366972477064</x:v>
      </x:c>
      <x:c r="K998" t="n">
        <x:f>G998</x:f>
        <x:v>100.53096491487338</x:v>
      </x:c>
    </x:row>
    <x:row r="999">
      <x:c r="A999" t="n">
        <x:v>982</x:v>
      </x:c>
      <x:c r="B999" s="40" t="n">
        <x:v>1.2732314748154518</x:v>
      </x:c>
      <x:c r="C999" s="40" t="n">
        <x:v>-1.3306970896716623</x:v>
      </x:c>
      <x:c r="D999" s="40" t="n">
        <x:v>-2.2085248664616026</x:v>
      </x:c>
      <x:c r="E999" t="n">
        <x:f>--((B999^2/$B$4^2+C999^2/$B$5^2+D999^2/$B$6^2)&lt;=1)</x:f>
        <x:v>1</x:v>
      </x:c>
      <x:c r="F999" s="42" t="n">
        <x:f>$B$8*SUM($E$18:E999)/A999</x:f>
        <x:v>100.4969450101833</x:v>
      </x:c>
      <x:c r="G999" s="42" t="n">
        <x:f>$B$11</x:f>
        <x:v>100.53096491487338</x:v>
      </x:c>
      <x:c r="I999" t="n">
        <x:f>A999</x:f>
        <x:v>982</x:v>
      </x:c>
      <x:c r="J999" t="n">
        <x:f>F999</x:f>
        <x:v>100.4969450101833</x:v>
      </x:c>
      <x:c r="K999" t="n">
        <x:f>G999</x:f>
        <x:v>100.53096491487338</x:v>
      </x:c>
    </x:row>
    <x:row r="1000">
      <x:c r="A1000" t="n">
        <x:v>983</x:v>
      </x:c>
      <x:c r="B1000" s="40" t="n">
        <x:v>0.9664585309260612</x:v>
      </x:c>
      <x:c r="C1000" s="40" t="n">
        <x:v>-2.402942142807257</x:v>
      </x:c>
      <x:c r="D1000" s="40" t="n">
        <x:v>-1.5140778577883447</x:v>
      </x:c>
      <x:c r="E1000" t="n">
        <x:f>--((B1000^2/$B$4^2+C1000^2/$B$5^2+D1000^2/$B$6^2)&lt;=1)</x:f>
        <x:v>0</x:v>
      </x:c>
      <x:c r="F1000" s="42" t="n">
        <x:f>$B$8*SUM($E$18:E1000)/A1000</x:f>
        <x:v>100.39471007121058</x:v>
      </x:c>
      <x:c r="G1000" s="42" t="n">
        <x:f>$B$11</x:f>
        <x:v>100.53096491487338</x:v>
      </x:c>
      <x:c r="I1000" t="n">
        <x:f>A1000</x:f>
        <x:v>983</x:v>
      </x:c>
      <x:c r="J1000" t="n">
        <x:f>F1000</x:f>
        <x:v>100.39471007121058</x:v>
      </x:c>
      <x:c r="K1000" t="n">
        <x:f>G1000</x:f>
        <x:v>100.53096491487338</x:v>
      </x:c>
    </x:row>
    <x:row r="1001">
      <x:c r="A1001" t="n">
        <x:v>984</x:v>
      </x:c>
      <x:c r="B1001" s="40" t="n">
        <x:v>-0.12496281194419012</x:v>
      </x:c>
      <x:c r="C1001" s="40" t="n">
        <x:v>0.6375037167008486</x:v>
      </x:c>
      <x:c r="D1001" s="40" t="n">
        <x:v>-2.7150178015237056</x:v>
      </x:c>
      <x:c r="E1001" t="n">
        <x:f>--((B1001^2/$B$4^2+C1001^2/$B$5^2+D1001^2/$B$6^2)&lt;=1)</x:f>
        <x:v>1</x:v>
      </x:c>
      <x:c r="F1001" s="42" t="n">
        <x:f>$B$8*SUM($E$18:E1001)/A1001</x:f>
        <x:v>100.48780487804878</x:v>
      </x:c>
      <x:c r="G1001" s="42" t="n">
        <x:f>$B$11</x:f>
        <x:v>100.53096491487338</x:v>
      </x:c>
      <x:c r="I1001" t="n">
        <x:f>A1001</x:f>
        <x:v>984</x:v>
      </x:c>
      <x:c r="J1001" t="n">
        <x:f>F1001</x:f>
        <x:v>100.48780487804878</x:v>
      </x:c>
      <x:c r="K1001" t="n">
        <x:f>G1001</x:f>
        <x:v>100.53096491487338</x:v>
      </x:c>
    </x:row>
    <x:row r="1002">
      <x:c r="A1002" t="n">
        <x:v>985</x:v>
      </x:c>
      <x:c r="B1002" s="40" t="n">
        <x:v>-1.388491511494656</x:v>
      </x:c>
      <x:c r="C1002" s="40" t="n">
        <x:v>-2.6018831773765134</x:v>
      </x:c>
      <x:c r="D1002" s="40" t="n">
        <x:v>-1.5423909309414947</x:v>
      </x:c>
      <x:c r="E1002" t="n">
        <x:f>--((B1002^2/$B$4^2+C1002^2/$B$5^2+D1002^2/$B$6^2)&lt;=1)</x:f>
        <x:v>0</x:v>
      </x:c>
      <x:c r="F1002" s="42" t="n">
        <x:f>$B$8*SUM($E$18:E1002)/A1002</x:f>
        <x:v>100.38578680203045</x:v>
      </x:c>
      <x:c r="G1002" s="42" t="n">
        <x:f>$B$11</x:f>
        <x:v>100.53096491487338</x:v>
      </x:c>
      <x:c r="I1002" t="n">
        <x:f>A1002</x:f>
        <x:v>985</x:v>
      </x:c>
      <x:c r="J1002" t="n">
        <x:f>F1002</x:f>
        <x:v>100.38578680203045</x:v>
      </x:c>
      <x:c r="K1002" t="n">
        <x:f>G1002</x:f>
        <x:v>100.53096491487338</x:v>
      </x:c>
    </x:row>
    <x:row r="1003">
      <x:c r="A1003" t="n">
        <x:v>986</x:v>
      </x:c>
      <x:c r="B1003" s="40" t="n">
        <x:v>1.6826634330942714</x:v>
      </x:c>
      <x:c r="C1003" s="40" t="n">
        <x:v>-1.5522392898628188</x:v>
      </x:c>
      <x:c r="D1003" s="40" t="n">
        <x:v>-1.3375570230191975</x:v>
      </x:c>
      <x:c r="E1003" t="n">
        <x:f>--((B1003^2/$B$4^2+C1003^2/$B$5^2+D1003^2/$B$6^2)&lt;=1)</x:f>
        <x:v>0</x:v>
      </x:c>
      <x:c r="F1003" s="42" t="n">
        <x:f>$B$8*SUM($E$18:E1003)/A1003</x:f>
        <x:v>100.28397565922921</x:v>
      </x:c>
      <x:c r="G1003" s="42" t="n">
        <x:f>$B$11</x:f>
        <x:v>100.53096491487338</x:v>
      </x:c>
      <x:c r="I1003" t="n">
        <x:f>A1003</x:f>
        <x:v>986</x:v>
      </x:c>
      <x:c r="J1003" t="n">
        <x:f>F1003</x:f>
        <x:v>100.28397565922921</x:v>
      </x:c>
      <x:c r="K1003" t="n">
        <x:f>G1003</x:f>
        <x:v>100.53096491487338</x:v>
      </x:c>
    </x:row>
    <x:row r="1004">
      <x:c r="A1004" t="n">
        <x:v>987</x:v>
      </x:c>
      <x:c r="B1004" s="40" t="n">
        <x:v>-0.6344517304730894</x:v>
      </x:c>
      <x:c r="C1004" s="40" t="n">
        <x:v>-2.63575689238853</x:v>
      </x:c>
      <x:c r="D1004" s="40" t="n">
        <x:v>1.0648458965170837</x:v>
      </x:c>
      <x:c r="E1004" t="n">
        <x:f>--((B1004^2/$B$4^2+C1004^2/$B$5^2+D1004^2/$B$6^2)&lt;=1)</x:f>
        <x:v>1</x:v>
      </x:c>
      <x:c r="F1004" s="42" t="n">
        <x:f>$B$8*SUM($E$18:E1004)/A1004</x:f>
        <x:v>100.37689969604864</x:v>
      </x:c>
      <x:c r="G1004" s="42" t="n">
        <x:f>$B$11</x:f>
        <x:v>100.53096491487338</x:v>
      </x:c>
      <x:c r="I1004" t="n">
        <x:f>A1004</x:f>
        <x:v>987</x:v>
      </x:c>
      <x:c r="J1004" t="n">
        <x:f>F1004</x:f>
        <x:v>100.37689969604864</x:v>
      </x:c>
      <x:c r="K1004" t="n">
        <x:f>G1004</x:f>
        <x:v>100.53096491487338</x:v>
      </x:c>
    </x:row>
    <x:row r="1005">
      <x:c r="A1005" t="n">
        <x:v>988</x:v>
      </x:c>
      <x:c r="B1005" s="40" t="n">
        <x:v>-1.799573241212265</x:v>
      </x:c>
      <x:c r="C1005" s="40" t="n">
        <x:v>0.2933255340394023</x:v>
      </x:c>
      <x:c r="D1005" s="40" t="n">
        <x:v>-2.482828947615003</x:v>
      </x:c>
      <x:c r="E1005" t="n">
        <x:f>--((B1005^2/$B$4^2+C1005^2/$B$5^2+D1005^2/$B$6^2)&lt;=1)</x:f>
        <x:v>0</x:v>
      </x:c>
      <x:c r="F1005" s="42" t="n">
        <x:f>$B$8*SUM($E$18:E1005)/A1005</x:f>
        <x:v>100.2753036437247</x:v>
      </x:c>
      <x:c r="G1005" s="42" t="n">
        <x:f>$B$11</x:f>
        <x:v>100.53096491487338</x:v>
      </x:c>
      <x:c r="I1005" t="n">
        <x:f>A1005</x:f>
        <x:v>988</x:v>
      </x:c>
      <x:c r="J1005" t="n">
        <x:f>F1005</x:f>
        <x:v>100.2753036437247</x:v>
      </x:c>
      <x:c r="K1005" t="n">
        <x:f>G1005</x:f>
        <x:v>100.53096491487338</x:v>
      </x:c>
    </x:row>
    <x:row r="1006">
      <x:c r="A1006" t="n">
        <x:v>989</x:v>
      </x:c>
      <x:c r="B1006" s="40" t="n">
        <x:v>-0.6303852927574853</x:v>
      </x:c>
      <x:c r="C1006" s="40" t="n">
        <x:v>-2.0379712503427916</x:v>
      </x:c>
      <x:c r="D1006" s="40" t="n">
        <x:v>3.3551753949419485</x:v>
      </x:c>
      <x:c r="E1006" t="n">
        <x:f>--((B1006^2/$B$4^2+C1006^2/$B$5^2+D1006^2/$B$6^2)&lt;=1)</x:f>
        <x:v>0</x:v>
      </x:c>
      <x:c r="F1006" s="42" t="n">
        <x:f>$B$8*SUM($E$18:E1006)/A1006</x:f>
        <x:v>100.17391304347827</x:v>
      </x:c>
      <x:c r="G1006" s="42" t="n">
        <x:f>$B$11</x:f>
        <x:v>100.53096491487338</x:v>
      </x:c>
      <x:c r="I1006" t="n">
        <x:f>A1006</x:f>
        <x:v>989</x:v>
      </x:c>
      <x:c r="J1006" t="n">
        <x:f>F1006</x:f>
        <x:v>100.17391304347827</x:v>
      </x:c>
      <x:c r="K1006" t="n">
        <x:f>G1006</x:f>
        <x:v>100.53096491487338</x:v>
      </x:c>
    </x:row>
    <x:row r="1007">
      <x:c r="A1007" t="n">
        <x:v>990</x:v>
      </x:c>
      <x:c r="B1007" s="40" t="n">
        <x:v>1.1778281219835374</x:v>
      </x:c>
      <x:c r="C1007" s="40" t="n">
        <x:v>0.6624439166008393</x:v>
      </x:c>
      <x:c r="D1007" s="40" t="n">
        <x:v>-3.1752042393175204</x:v>
      </x:c>
      <x:c r="E1007" t="n">
        <x:f>--((B1007^2/$B$4^2+C1007^2/$B$5^2+D1007^2/$B$6^2)&lt;=1)</x:f>
        <x:v>0</x:v>
      </x:c>
      <x:c r="F1007" s="42" t="n">
        <x:f>$B$8*SUM($E$18:E1007)/A1007</x:f>
        <x:v>100.07272727272728</x:v>
      </x:c>
      <x:c r="G1007" s="42" t="n">
        <x:f>$B$11</x:f>
        <x:v>100.53096491487338</x:v>
      </x:c>
      <x:c r="I1007" t="n">
        <x:f>A1007</x:f>
        <x:v>990</x:v>
      </x:c>
      <x:c r="J1007" t="n">
        <x:f>F1007</x:f>
        <x:v>100.07272727272728</x:v>
      </x:c>
      <x:c r="K1007" t="n">
        <x:f>G1007</x:f>
        <x:v>100.53096491487338</x:v>
      </x:c>
    </x:row>
    <x:row r="1008">
      <x:c r="A1008" t="n">
        <x:v>991</x:v>
      </x:c>
      <x:c r="B1008" s="40" t="n">
        <x:v>0.49083497995283265</x:v>
      </x:c>
      <x:c r="C1008" s="40" t="n">
        <x:v>1.7451907851796058</x:v>
      </x:c>
      <x:c r="D1008" s="40" t="n">
        <x:v>-3.9449759117253356</x:v>
      </x:c>
      <x:c r="E1008" t="n">
        <x:f>--((B1008^2/$B$4^2+C1008^2/$B$5^2+D1008^2/$B$6^2)&lt;=1)</x:f>
        <x:v>0</x:v>
      </x:c>
      <x:c r="F1008" s="42" t="n">
        <x:f>$B$8*SUM($E$18:E1008)/A1008</x:f>
        <x:v>99.97174571140262</x:v>
      </x:c>
      <x:c r="G1008" s="42" t="n">
        <x:f>$B$11</x:f>
        <x:v>100.53096491487338</x:v>
      </x:c>
      <x:c r="I1008" t="n">
        <x:f>A1008</x:f>
        <x:v>991</x:v>
      </x:c>
      <x:c r="J1008" t="n">
        <x:f>F1008</x:f>
        <x:v>99.97174571140262</x:v>
      </x:c>
      <x:c r="K1008" t="n">
        <x:f>G1008</x:f>
        <x:v>100.53096491487338</x:v>
      </x:c>
    </x:row>
    <x:row r="1009">
      <x:c r="A1009" t="n">
        <x:v>992</x:v>
      </x:c>
      <x:c r="B1009" s="40" t="n">
        <x:v>1.0033543389794386</x:v>
      </x:c>
      <x:c r="C1009" s="40" t="n">
        <x:v>1.9312843246311742</x:v>
      </x:c>
      <x:c r="D1009" s="40" t="n">
        <x:v>2.8395610290442654</x:v>
      </x:c>
      <x:c r="E1009" t="n">
        <x:f>--((B1009^2/$B$4^2+C1009^2/$B$5^2+D1009^2/$B$6^2)&lt;=1)</x:f>
        <x:v>0</x:v>
      </x:c>
      <x:c r="F1009" s="42" t="n">
        <x:f>$B$8*SUM($E$18:E1009)/A1009</x:f>
        <x:v>99.87096774193549</x:v>
      </x:c>
      <x:c r="G1009" s="42" t="n">
        <x:f>$B$11</x:f>
        <x:v>100.53096491487338</x:v>
      </x:c>
      <x:c r="I1009" t="n">
        <x:f>A1009</x:f>
        <x:v>992</x:v>
      </x:c>
      <x:c r="J1009" t="n">
        <x:f>F1009</x:f>
        <x:v>99.87096774193549</x:v>
      </x:c>
      <x:c r="K1009" t="n">
        <x:f>G1009</x:f>
        <x:v>100.53096491487338</x:v>
      </x:c>
    </x:row>
    <x:row r="1010">
      <x:c r="A1010" t="n">
        <x:v>993</x:v>
      </x:c>
      <x:c r="B1010" s="40" t="n">
        <x:v>1.1745415354495097</x:v>
      </x:c>
      <x:c r="C1010" s="40" t="n">
        <x:v>-1.1427389511742354</x:v>
      </x:c>
      <x:c r="D1010" s="40" t="n">
        <x:v>1.6301584621283975</x:v>
      </x:c>
      <x:c r="E1010" t="n">
        <x:f>--((B1010^2/$B$4^2+C1010^2/$B$5^2+D1010^2/$B$6^2)&lt;=1)</x:f>
        <x:v>1</x:v>
      </x:c>
      <x:c r="F1010" s="42" t="n">
        <x:f>$B$8*SUM($E$18:E1010)/A1010</x:f>
        <x:v>99.96374622356495</x:v>
      </x:c>
      <x:c r="G1010" s="42" t="n">
        <x:f>$B$11</x:f>
        <x:v>100.53096491487338</x:v>
      </x:c>
      <x:c r="I1010" t="n">
        <x:f>A1010</x:f>
        <x:v>993</x:v>
      </x:c>
      <x:c r="J1010" t="n">
        <x:f>F1010</x:f>
        <x:v>99.96374622356495</x:v>
      </x:c>
      <x:c r="K1010" t="n">
        <x:f>G1010</x:f>
        <x:v>100.53096491487338</x:v>
      </x:c>
    </x:row>
    <x:row r="1011">
      <x:c r="A1011" t="n">
        <x:v>994</x:v>
      </x:c>
      <x:c r="B1011" s="40" t="n">
        <x:v>-1.1521815556778296</x:v>
      </x:c>
      <x:c r="C1011" s="40" t="n">
        <x:v>0.29372719616697607</x:v>
      </x:c>
      <x:c r="D1011" s="40" t="n">
        <x:v>-1.1571210371520122</x:v>
      </x:c>
      <x:c r="E1011" t="n">
        <x:f>--((B1011^2/$B$4^2+C1011^2/$B$5^2+D1011^2/$B$6^2)&lt;=1)</x:f>
        <x:v>1</x:v>
      </x:c>
      <x:c r="F1011" s="42" t="n">
        <x:f>$B$8*SUM($E$18:E1011)/A1011</x:f>
        <x:v>100.05633802816901</x:v>
      </x:c>
      <x:c r="G1011" s="42" t="n">
        <x:f>$B$11</x:f>
        <x:v>100.53096491487338</x:v>
      </x:c>
      <x:c r="I1011" t="n">
        <x:f>A1011</x:f>
        <x:v>994</x:v>
      </x:c>
      <x:c r="J1011" t="n">
        <x:f>F1011</x:f>
        <x:v>100.05633802816901</x:v>
      </x:c>
      <x:c r="K1011" t="n">
        <x:f>G1011</x:f>
        <x:v>100.53096491487338</x:v>
      </x:c>
    </x:row>
    <x:row r="1012">
      <x:c r="A1012" t="n">
        <x:v>995</x:v>
      </x:c>
      <x:c r="B1012" s="40" t="n">
        <x:v>1.6951332643727208</x:v>
      </x:c>
      <x:c r="C1012" s="40" t="n">
        <x:v>0.37806456051815385</x:v>
      </x:c>
      <x:c r="D1012" s="40" t="n">
        <x:v>0.7639976472809442</x:v>
      </x:c>
      <x:c r="E1012" t="n">
        <x:f>--((B1012^2/$B$4^2+C1012^2/$B$5^2+D1012^2/$B$6^2)&lt;=1)</x:f>
        <x:v>1</x:v>
      </x:c>
      <x:c r="F1012" s="42" t="n">
        <x:f>$B$8*SUM($E$18:E1012)/A1012</x:f>
        <x:v>100.14874371859297</x:v>
      </x:c>
      <x:c r="G1012" s="42" t="n">
        <x:f>$B$11</x:f>
        <x:v>100.53096491487338</x:v>
      </x:c>
      <x:c r="I1012" t="n">
        <x:f>A1012</x:f>
        <x:v>995</x:v>
      </x:c>
      <x:c r="J1012" t="n">
        <x:f>F1012</x:f>
        <x:v>100.14874371859297</x:v>
      </x:c>
      <x:c r="K1012" t="n">
        <x:f>G1012</x:f>
        <x:v>100.53096491487338</x:v>
      </x:c>
    </x:row>
    <x:row r="1013">
      <x:c r="A1013" t="n">
        <x:v>996</x:v>
      </x:c>
      <x:c r="B1013" s="40" t="n">
        <x:v>-0.24804158831850964</x:v>
      </x:c>
      <x:c r="C1013" s="40" t="n">
        <x:v>-0.16267690707500027</x:v>
      </x:c>
      <x:c r="D1013" s="40" t="n">
        <x:v>-2.211647193286133</x:v>
      </x:c>
      <x:c r="E1013" t="n">
        <x:f>--((B1013^2/$B$4^2+C1013^2/$B$5^2+D1013^2/$B$6^2)&lt;=1)</x:f>
        <x:v>1</x:v>
      </x:c>
      <x:c r="F1013" s="42" t="n">
        <x:f>$B$8*SUM($E$18:E1013)/A1013</x:f>
        <x:v>100.24096385542168</x:v>
      </x:c>
      <x:c r="G1013" s="42" t="n">
        <x:f>$B$11</x:f>
        <x:v>100.53096491487338</x:v>
      </x:c>
      <x:c r="I1013" t="n">
        <x:f>A1013</x:f>
        <x:v>996</x:v>
      </x:c>
      <x:c r="J1013" t="n">
        <x:f>F1013</x:f>
        <x:v>100.24096385542168</x:v>
      </x:c>
      <x:c r="K1013" t="n">
        <x:f>G1013</x:f>
        <x:v>100.53096491487338</x:v>
      </x:c>
    </x:row>
    <x:row r="1014">
      <x:c r="A1014" t="n">
        <x:v>997</x:v>
      </x:c>
      <x:c r="B1014" s="40" t="n">
        <x:v>0.5560545970566584</x:v>
      </x:c>
      <x:c r="C1014" s="40" t="n">
        <x:v>0.9306833485485893</x:v>
      </x:c>
      <x:c r="D1014" s="40" t="n">
        <x:v>-2.652882810836992</x:v>
      </x:c>
      <x:c r="E1014" t="n">
        <x:f>--((B1014^2/$B$4^2+C1014^2/$B$5^2+D1014^2/$B$6^2)&lt;=1)</x:f>
        <x:v>1</x:v>
      </x:c>
      <x:c r="F1014" s="42" t="n">
        <x:f>$B$8*SUM($E$18:E1014)/A1014</x:f>
        <x:v>100.33299899699097</x:v>
      </x:c>
      <x:c r="G1014" s="42" t="n">
        <x:f>$B$11</x:f>
        <x:v>100.53096491487338</x:v>
      </x:c>
      <x:c r="I1014" t="n">
        <x:f>A1014</x:f>
        <x:v>997</x:v>
      </x:c>
      <x:c r="J1014" t="n">
        <x:f>F1014</x:f>
        <x:v>100.33299899699097</x:v>
      </x:c>
      <x:c r="K1014" t="n">
        <x:f>G1014</x:f>
        <x:v>100.53096491487338</x:v>
      </x:c>
    </x:row>
    <x:row r="1015">
      <x:c r="A1015" t="n">
        <x:v>998</x:v>
      </x:c>
      <x:c r="B1015" s="40" t="n">
        <x:v>-1.990764909653032</x:v>
      </x:c>
      <x:c r="C1015" s="40" t="n">
        <x:v>-1.7394772570587986</x:v>
      </x:c>
      <x:c r="D1015" s="40" t="n">
        <x:v>-0.23080691889021754</x:v>
      </x:c>
      <x:c r="E1015" t="n">
        <x:f>--((B1015^2/$B$4^2+C1015^2/$B$5^2+D1015^2/$B$6^2)&lt;=1)</x:f>
        <x:v>0</x:v>
      </x:c>
      <x:c r="F1015" s="42" t="n">
        <x:f>$B$8*SUM($E$18:E1015)/A1015</x:f>
        <x:v>100.23246492985972</x:v>
      </x:c>
      <x:c r="G1015" s="42" t="n">
        <x:f>$B$11</x:f>
        <x:v>100.53096491487338</x:v>
      </x:c>
      <x:c r="I1015" t="n">
        <x:f>A1015</x:f>
        <x:v>998</x:v>
      </x:c>
      <x:c r="J1015" t="n">
        <x:f>F1015</x:f>
        <x:v>100.23246492985972</x:v>
      </x:c>
      <x:c r="K1015" t="n">
        <x:f>G1015</x:f>
        <x:v>100.53096491487338</x:v>
      </x:c>
    </x:row>
    <x:row r="1016">
      <x:c r="A1016" t="n">
        <x:v>999</x:v>
      </x:c>
      <x:c r="B1016" s="40" t="n">
        <x:v>1.973473993644712</x:v>
      </x:c>
      <x:c r="C1016" s="40" t="n">
        <x:v>2.8754594375207656</x:v>
      </x:c>
      <x:c r="D1016" s="40" t="n">
        <x:v>-1.1744973622323132</x:v>
      </x:c>
      <x:c r="E1016" t="n">
        <x:f>--((B1016^2/$B$4^2+C1016^2/$B$5^2+D1016^2/$B$6^2)&lt;=1)</x:f>
        <x:v>0</x:v>
      </x:c>
      <x:c r="F1016" s="42" t="n">
        <x:f>$B$8*SUM($E$18:E1016)/A1016</x:f>
        <x:v>100.13213213213213</x:v>
      </x:c>
      <x:c r="G1016" s="42" t="n">
        <x:f>$B$11</x:f>
        <x:v>100.53096491487338</x:v>
      </x:c>
      <x:c r="I1016" t="n">
        <x:f>A1016</x:f>
        <x:v>999</x:v>
      </x:c>
      <x:c r="J1016" t="n">
        <x:f>F1016</x:f>
        <x:v>100.13213213213213</x:v>
      </x:c>
      <x:c r="K1016" t="n">
        <x:f>G1016</x:f>
        <x:v>100.53096491487338</x:v>
      </x:c>
    </x:row>
    <x:row r="1017">
      <x:c r="A1017" t="n">
        <x:v>1000</x:v>
      </x:c>
      <x:c r="B1017" s="40" t="n">
        <x:v>-0.8764144561433795</x:v>
      </x:c>
      <x:c r="C1017" s="40" t="n">
        <x:v>-2.4115210374544054</x:v>
      </x:c>
      <x:c r="D1017" s="40" t="n">
        <x:v>0.9218404042823369</x:v>
      </x:c>
      <x:c r="E1017" t="n">
        <x:f>--((B1017^2/$B$4^2+C1017^2/$B$5^2+D1017^2/$B$6^2)&lt;=1)</x:f>
        <x:v>1</x:v>
      </x:c>
      <x:c r="F1017" s="42" t="n">
        <x:f>$B$8*SUM($E$18:E1017)/A1017</x:f>
        <x:v>100.224</x:v>
      </x:c>
      <x:c r="G1017" s="42" t="n">
        <x:f>$B$11</x:f>
        <x:v>100.53096491487338</x:v>
      </x:c>
      <x:c r="I1017" t="n">
        <x:f>A1017</x:f>
        <x:v>1000</x:v>
      </x:c>
      <x:c r="J1017" t="n">
        <x:f>F1017</x:f>
        <x:v>100.224</x:v>
      </x:c>
      <x:c r="K1017" t="n">
        <x:f>G1017</x:f>
        <x:v>100.53096491487338</x:v>
      </x:c>
    </x:row>
    <x:row r="1018">
      <x:c r="A1018" t="n">
        <x:v>1001</x:v>
      </x:c>
      <x:c r="B1018" s="40" t="n">
        <x:v>-1.751747573839379</x:v>
      </x:c>
      <x:c r="C1018" s="40" t="n">
        <x:v>1.9753268472187155</x:v>
      </x:c>
      <x:c r="D1018" s="40" t="n">
        <x:v>-2.254806523511748</x:v>
      </x:c>
      <x:c r="E1018" t="n">
        <x:f>--((B1018^2/$B$4^2+C1018^2/$B$5^2+D1018^2/$B$6^2)&lt;=1)</x:f>
        <x:v>0</x:v>
      </x:c>
      <x:c r="F1018" s="42" t="n">
        <x:f>$B$8*SUM($E$18:E1018)/A1018</x:f>
        <x:v>100.12387612387613</x:v>
      </x:c>
      <x:c r="G1018" s="42" t="n">
        <x:f>$B$11</x:f>
        <x:v>100.53096491487338</x:v>
      </x:c>
      <x:c r="I1018" t="n">
        <x:f>A1018</x:f>
        <x:v>1001</x:v>
      </x:c>
      <x:c r="J1018" t="n">
        <x:f>F1018</x:f>
        <x:v>100.12387612387613</x:v>
      </x:c>
      <x:c r="K1018" t="n">
        <x:f>G1018</x:f>
        <x:v>100.53096491487338</x:v>
      </x:c>
    </x:row>
    <x:row r="1019">
      <x:c r="A1019" t="n">
        <x:v>1002</x:v>
      </x:c>
      <x:c r="B1019" s="40" t="n">
        <x:v>-0.1669518338539442</x:v>
      </x:c>
      <x:c r="C1019" s="40" t="n">
        <x:v>0.5645759217071271</x:v>
      </x:c>
      <x:c r="D1019" s="40" t="n">
        <x:v>1.3034216044849494</x:v>
      </x:c>
      <x:c r="E1019" t="n">
        <x:f>--((B1019^2/$B$4^2+C1019^2/$B$5^2+D1019^2/$B$6^2)&lt;=1)</x:f>
        <x:v>1</x:v>
      </x:c>
      <x:c r="F1019" s="42" t="n">
        <x:f>$B$8*SUM($E$18:E1019)/A1019</x:f>
        <x:v>100.21556886227545</x:v>
      </x:c>
      <x:c r="G1019" s="42" t="n">
        <x:f>$B$11</x:f>
        <x:v>100.53096491487338</x:v>
      </x:c>
      <x:c r="I1019" t="n">
        <x:f>A1019</x:f>
        <x:v>1002</x:v>
      </x:c>
      <x:c r="J1019" t="n">
        <x:f>F1019</x:f>
        <x:v>100.21556886227545</x:v>
      </x:c>
      <x:c r="K1019" t="n">
        <x:f>G1019</x:f>
        <x:v>100.53096491487338</x:v>
      </x:c>
    </x:row>
    <x:row r="1020">
      <x:c r="A1020" t="n">
        <x:v>1003</x:v>
      </x:c>
      <x:c r="B1020" s="40" t="n">
        <x:v>-1.483879771271833</x:v>
      </x:c>
      <x:c r="C1020" s="40" t="n">
        <x:v>-1.5308715168377045</x:v>
      </x:c>
      <x:c r="D1020" s="40" t="n">
        <x:v>2.1348921624225055</x:v>
      </x:c>
      <x:c r="E1020" t="n">
        <x:f>--((B1020^2/$B$4^2+C1020^2/$B$5^2+D1020^2/$B$6^2)&lt;=1)</x:f>
        <x:v>0</x:v>
      </x:c>
      <x:c r="F1020" s="42" t="n">
        <x:f>$B$8*SUM($E$18:E1020)/A1020</x:f>
        <x:v>100.11565304087736</x:v>
      </x:c>
      <x:c r="G1020" s="42" t="n">
        <x:f>$B$11</x:f>
        <x:v>100.53096491487338</x:v>
      </x:c>
      <x:c r="I1020" t="n">
        <x:f>A1020</x:f>
        <x:v>1003</x:v>
      </x:c>
      <x:c r="J1020" t="n">
        <x:f>F1020</x:f>
        <x:v>100.11565304087736</x:v>
      </x:c>
      <x:c r="K1020" t="n">
        <x:f>G1020</x:f>
        <x:v>100.53096491487338</x:v>
      </x:c>
    </x:row>
    <x:row r="1021">
      <x:c r="A1021" t="n">
        <x:v>1004</x:v>
      </x:c>
      <x:c r="B1021" s="40" t="n">
        <x:v>-1.3906931593696972</x:v>
      </x:c>
      <x:c r="C1021" s="40" t="n">
        <x:v>1.474050003961799</x:v>
      </x:c>
      <x:c r="D1021" s="40" t="n">
        <x:v>-2.6669108557722048</x:v>
      </x:c>
      <x:c r="E1021" t="n">
        <x:f>--((B1021^2/$B$4^2+C1021^2/$B$5^2+D1021^2/$B$6^2)&lt;=1)</x:f>
        <x:v>0</x:v>
      </x:c>
      <x:c r="F1021" s="42" t="n">
        <x:f>$B$8*SUM($E$18:E1021)/A1021</x:f>
        <x:v>100.01593625498008</x:v>
      </x:c>
      <x:c r="G1021" s="42" t="n">
        <x:f>$B$11</x:f>
        <x:v>100.53096491487338</x:v>
      </x:c>
      <x:c r="I1021" t="n">
        <x:f>A1021</x:f>
        <x:v>1004</x:v>
      </x:c>
      <x:c r="J1021" t="n">
        <x:f>F1021</x:f>
        <x:v>100.01593625498008</x:v>
      </x:c>
      <x:c r="K1021" t="n">
        <x:f>G1021</x:f>
        <x:v>100.53096491487338</x:v>
      </x:c>
    </x:row>
    <x:row r="1022">
      <x:c r="A1022" t="n">
        <x:v>1005</x:v>
      </x:c>
      <x:c r="B1022" s="40" t="n">
        <x:v>0.5291312521208407</x:v>
      </x:c>
      <x:c r="C1022" s="40" t="n">
        <x:v>-2.4931146259375683</x:v>
      </x:c>
      <x:c r="D1022" s="40" t="n">
        <x:v>-3.649133732656672</x:v>
      </x:c>
      <x:c r="E1022" t="n">
        <x:f>--((B1022^2/$B$4^2+C1022^2/$B$5^2+D1022^2/$B$6^2)&lt;=1)</x:f>
        <x:v>0</x:v>
      </x:c>
      <x:c r="F1022" s="42" t="n">
        <x:f>$B$8*SUM($E$18:E1022)/A1022</x:f>
        <x:v>99.91641791044776</x:v>
      </x:c>
      <x:c r="G1022" s="42" t="n">
        <x:f>$B$11</x:f>
        <x:v>100.53096491487338</x:v>
      </x:c>
      <x:c r="I1022" t="n">
        <x:f>A1022</x:f>
        <x:v>1005</x:v>
      </x:c>
      <x:c r="J1022" t="n">
        <x:f>F1022</x:f>
        <x:v>99.91641791044776</x:v>
      </x:c>
      <x:c r="K1022" t="n">
        <x:f>G1022</x:f>
        <x:v>100.53096491487338</x:v>
      </x:c>
    </x:row>
    <x:row r="1023">
      <x:c r="A1023" t="n">
        <x:v>1006</x:v>
      </x:c>
      <x:c r="B1023" s="40" t="n">
        <x:v>-0.42829043371906694</x:v>
      </x:c>
      <x:c r="C1023" s="40" t="n">
        <x:v>1.6465070066926986</x:v>
      </x:c>
      <x:c r="D1023" s="40" t="n">
        <x:v>-0.4833009975892901</x:v>
      </x:c>
      <x:c r="E1023" t="n">
        <x:f>--((B1023^2/$B$4^2+C1023^2/$B$5^2+D1023^2/$B$6^2)&lt;=1)</x:f>
        <x:v>1</x:v>
      </x:c>
      <x:c r="F1023" s="42" t="n">
        <x:f>$B$8*SUM($E$18:E1023)/A1023</x:f>
        <x:v>100.0079522862823</x:v>
      </x:c>
      <x:c r="G1023" s="42" t="n">
        <x:f>$B$11</x:f>
        <x:v>100.53096491487338</x:v>
      </x:c>
      <x:c r="I1023" t="n">
        <x:f>A1023</x:f>
        <x:v>1006</x:v>
      </x:c>
      <x:c r="J1023" t="n">
        <x:f>F1023</x:f>
        <x:v>100.0079522862823</x:v>
      </x:c>
      <x:c r="K1023" t="n">
        <x:f>G1023</x:f>
        <x:v>100.53096491487338</x:v>
      </x:c>
    </x:row>
    <x:row r="1024">
      <x:c r="A1024" t="n">
        <x:v>1007</x:v>
      </x:c>
      <x:c r="B1024" s="40" t="n">
        <x:v>1.6874098006199802</x:v>
      </x:c>
      <x:c r="C1024" s="40" t="n">
        <x:v>0.5399113334580812</x:v>
      </x:c>
      <x:c r="D1024" s="40" t="n">
        <x:v>2.192192687939497</x:v>
      </x:c>
      <x:c r="E1024" t="n">
        <x:f>--((B1024^2/$B$4^2+C1024^2/$B$5^2+D1024^2/$B$6^2)&lt;=1)</x:f>
        <x:v>0</x:v>
      </x:c>
      <x:c r="F1024" s="42" t="n">
        <x:f>$B$8*SUM($E$18:E1024)/A1024</x:f>
        <x:v>99.90863952333665</x:v>
      </x:c>
      <x:c r="G1024" s="42" t="n">
        <x:f>$B$11</x:f>
        <x:v>100.53096491487338</x:v>
      </x:c>
      <x:c r="I1024" t="n">
        <x:f>A1024</x:f>
        <x:v>1007</x:v>
      </x:c>
      <x:c r="J1024" t="n">
        <x:f>F1024</x:f>
        <x:v>99.90863952333665</x:v>
      </x:c>
      <x:c r="K1024" t="n">
        <x:f>G1024</x:f>
        <x:v>100.53096491487338</x:v>
      </x:c>
    </x:row>
    <x:row r="1025">
      <x:c r="A1025" t="n">
        <x:v>1008</x:v>
      </x:c>
      <x:c r="B1025" s="40" t="n">
        <x:v>-0.7233740215677198</x:v>
      </x:c>
      <x:c r="C1025" s="40" t="n">
        <x:v>-2.3354980896215904</x:v>
      </x:c>
      <x:c r="D1025" s="40" t="n">
        <x:v>1.2062386845931412</x:v>
      </x:c>
      <x:c r="E1025" t="n">
        <x:f>--((B1025^2/$B$4^2+C1025^2/$B$5^2+D1025^2/$B$6^2)&lt;=1)</x:f>
        <x:v>1</x:v>
      </x:c>
      <x:c r="F1025" s="42" t="n">
        <x:f>$B$8*SUM($E$18:E1025)/A1025</x:f>
        <x:v>100</x:v>
      </x:c>
      <x:c r="G1025" s="42" t="n">
        <x:f>$B$11</x:f>
        <x:v>100.53096491487338</x:v>
      </x:c>
      <x:c r="I1025" t="n">
        <x:f>A1025</x:f>
        <x:v>1008</x:v>
      </x:c>
      <x:c r="J1025" t="n">
        <x:f>F1025</x:f>
        <x:v>100</x:v>
      </x:c>
      <x:c r="K1025" t="n">
        <x:f>G1025</x:f>
        <x:v>100.53096491487338</x:v>
      </x:c>
    </x:row>
    <x:row r="1026">
      <x:c r="A1026" t="n">
        <x:v>1009</x:v>
      </x:c>
      <x:c r="B1026" s="40" t="n">
        <x:v>0.9047205135356045</x:v>
      </x:c>
      <x:c r="C1026" s="40" t="n">
        <x:v>-2.5229666214457787</x:v>
      </x:c>
      <x:c r="D1026" s="40" t="n">
        <x:v>1.6150537633167303</x:v>
      </x:c>
      <x:c r="E1026" t="n">
        <x:f>--((B1026^2/$B$4^2+C1026^2/$B$5^2+D1026^2/$B$6^2)&lt;=1)</x:f>
        <x:v>0</x:v>
      </x:c>
      <x:c r="F1026" s="42" t="n">
        <x:f>$B$8*SUM($E$18:E1026)/A1026</x:f>
        <x:v>99.90089197224975</x:v>
      </x:c>
      <x:c r="G1026" s="42" t="n">
        <x:f>$B$11</x:f>
        <x:v>100.53096491487338</x:v>
      </x:c>
      <x:c r="I1026" t="n">
        <x:f>A1026</x:f>
        <x:v>1009</x:v>
      </x:c>
      <x:c r="J1026" t="n">
        <x:f>F1026</x:f>
        <x:v>99.90089197224975</x:v>
      </x:c>
      <x:c r="K1026" t="n">
        <x:f>G1026</x:f>
        <x:v>100.53096491487338</x:v>
      </x:c>
    </x:row>
    <x:row r="1027">
      <x:c r="A1027" t="n">
        <x:v>1010</x:v>
      </x:c>
      <x:c r="B1027" s="40" t="n">
        <x:v>-0.15560227938036952</x:v>
      </x:c>
      <x:c r="C1027" s="40" t="n">
        <x:v>1.505018000618775</x:v>
      </x:c>
      <x:c r="D1027" s="40" t="n">
        <x:v>-0.7772852800530528</x:v>
      </x:c>
      <x:c r="E1027" t="n">
        <x:f>--((B1027^2/$B$4^2+C1027^2/$B$5^2+D1027^2/$B$6^2)&lt;=1)</x:f>
        <x:v>1</x:v>
      </x:c>
      <x:c r="F1027" s="42" t="n">
        <x:f>$B$8*SUM($E$18:E1027)/A1027</x:f>
        <x:v>99.9920792079208</x:v>
      </x:c>
      <x:c r="G1027" s="42" t="n">
        <x:f>$B$11</x:f>
        <x:v>100.53096491487338</x:v>
      </x:c>
      <x:c r="I1027" t="n">
        <x:f>A1027</x:f>
        <x:v>1010</x:v>
      </x:c>
      <x:c r="J1027" t="n">
        <x:f>F1027</x:f>
        <x:v>99.9920792079208</x:v>
      </x:c>
      <x:c r="K1027" t="n">
        <x:f>G1027</x:f>
        <x:v>100.53096491487338</x:v>
      </x:c>
    </x:row>
    <x:row r="1028">
      <x:c r="A1028" t="n">
        <x:v>1011</x:v>
      </x:c>
      <x:c r="B1028" s="40" t="n">
        <x:v>0.6398052045171152</x:v>
      </x:c>
      <x:c r="C1028" s="40" t="n">
        <x:v>-1.242384560976977</x:v>
      </x:c>
      <x:c r="D1028" s="40" t="n">
        <x:v>-2.120435637975441</x:v>
      </x:c>
      <x:c r="E1028" t="n">
        <x:f>--((B1028^2/$B$4^2+C1028^2/$B$5^2+D1028^2/$B$6^2)&lt;=1)</x:f>
        <x:v>1</x:v>
      </x:c>
      <x:c r="F1028" s="42" t="n">
        <x:f>$B$8*SUM($E$18:E1028)/A1028</x:f>
        <x:v>100.08308605341246</x:v>
      </x:c>
      <x:c r="G1028" s="42" t="n">
        <x:f>$B$11</x:f>
        <x:v>100.53096491487338</x:v>
      </x:c>
      <x:c r="I1028" t="n">
        <x:f>A1028</x:f>
        <x:v>1011</x:v>
      </x:c>
      <x:c r="J1028" t="n">
        <x:f>F1028</x:f>
        <x:v>100.08308605341246</x:v>
      </x:c>
      <x:c r="K1028" t="n">
        <x:f>G1028</x:f>
        <x:v>100.53096491487338</x:v>
      </x:c>
    </x:row>
    <x:row r="1029">
      <x:c r="A1029" t="n">
        <x:v>1012</x:v>
      </x:c>
      <x:c r="B1029" s="40" t="n">
        <x:v>0.39878142686396156</x:v>
      </x:c>
      <x:c r="C1029" s="40" t="n">
        <x:v>2.3358111046032803</x:v>
      </x:c>
      <x:c r="D1029" s="40" t="n">
        <x:v>0.2542307462768756</x:v>
      </x:c>
      <x:c r="E1029" t="n">
        <x:f>--((B1029^2/$B$4^2+C1029^2/$B$5^2+D1029^2/$B$6^2)&lt;=1)</x:f>
        <x:v>1</x:v>
      </x:c>
      <x:c r="F1029" s="42" t="n">
        <x:f>$B$8*SUM($E$18:E1029)/A1029</x:f>
        <x:v>100.17391304347827</x:v>
      </x:c>
      <x:c r="G1029" s="42" t="n">
        <x:f>$B$11</x:f>
        <x:v>100.53096491487338</x:v>
      </x:c>
      <x:c r="I1029" t="n">
        <x:f>A1029</x:f>
        <x:v>1012</x:v>
      </x:c>
      <x:c r="J1029" t="n">
        <x:f>F1029</x:f>
        <x:v>100.17391304347827</x:v>
      </x:c>
      <x:c r="K1029" t="n">
        <x:f>G1029</x:f>
        <x:v>100.53096491487338</x:v>
      </x:c>
    </x:row>
    <x:row r="1030">
      <x:c r="A1030" t="n">
        <x:v>1013</x:v>
      </x:c>
      <x:c r="B1030" s="40" t="n">
        <x:v>-0.10886410896400722</x:v>
      </x:c>
      <x:c r="C1030" s="40" t="n">
        <x:v>1.5724381261810567</x:v>
      </x:c>
      <x:c r="D1030" s="40" t="n">
        <x:v>-2.365074450006425</x:v>
      </x:c>
      <x:c r="E1030" t="n">
        <x:f>--((B1030^2/$B$4^2+C1030^2/$B$5^2+D1030^2/$B$6^2)&lt;=1)</x:f>
        <x:v>1</x:v>
      </x:c>
      <x:c r="F1030" s="42" t="n">
        <x:f>$B$8*SUM($E$18:E1030)/A1030</x:f>
        <x:v>100.26456071076012</x:v>
      </x:c>
      <x:c r="G1030" s="42" t="n">
        <x:f>$B$11</x:f>
        <x:v>100.53096491487338</x:v>
      </x:c>
      <x:c r="I1030" t="n">
        <x:f>A1030</x:f>
        <x:v>1013</x:v>
      </x:c>
      <x:c r="J1030" t="n">
        <x:f>F1030</x:f>
        <x:v>100.26456071076012</x:v>
      </x:c>
      <x:c r="K1030" t="n">
        <x:f>G1030</x:f>
        <x:v>100.53096491487338</x:v>
      </x:c>
    </x:row>
    <x:row r="1031">
      <x:c r="A1031" t="n">
        <x:v>1014</x:v>
      </x:c>
      <x:c r="B1031" s="40" t="n">
        <x:v>1.8002443784977484</x:v>
      </x:c>
      <x:c r="C1031" s="40" t="n">
        <x:v>1.1891414683062962</x:v>
      </x:c>
      <x:c r="D1031" s="40" t="n">
        <x:v>1.809829575880526</x:v>
      </x:c>
      <x:c r="E1031" t="n">
        <x:f>--((B1031^2/$B$4^2+C1031^2/$B$5^2+D1031^2/$B$6^2)&lt;=1)</x:f>
        <x:v>0</x:v>
      </x:c>
      <x:c r="F1031" s="42" t="n">
        <x:f>$B$8*SUM($E$18:E1031)/A1031</x:f>
        <x:v>100.16568047337279</x:v>
      </x:c>
      <x:c r="G1031" s="42" t="n">
        <x:f>$B$11</x:f>
        <x:v>100.53096491487338</x:v>
      </x:c>
      <x:c r="I1031" t="n">
        <x:f>A1031</x:f>
        <x:v>1014</x:v>
      </x:c>
      <x:c r="J1031" t="n">
        <x:f>F1031</x:f>
        <x:v>100.16568047337279</x:v>
      </x:c>
      <x:c r="K1031" t="n">
        <x:f>G1031</x:f>
        <x:v>100.53096491487338</x:v>
      </x:c>
    </x:row>
    <x:row r="1032">
      <x:c r="A1032" t="n">
        <x:v>1015</x:v>
      </x:c>
      <x:c r="B1032" s="40" t="n">
        <x:v>-0.6291454289801766</x:v>
      </x:c>
      <x:c r="C1032" s="40" t="n">
        <x:v>-1.3283636841992943</x:v>
      </x:c>
      <x:c r="D1032" s="40" t="n">
        <x:v>-2.4242683523241837</x:v>
      </x:c>
      <x:c r="E1032" t="n">
        <x:f>--((B1032^2/$B$4^2+C1032^2/$B$5^2+D1032^2/$B$6^2)&lt;=1)</x:f>
        <x:v>1</x:v>
      </x:c>
      <x:c r="F1032" s="42" t="n">
        <x:f>$B$8*SUM($E$18:E1032)/A1032</x:f>
        <x:v>100.25615763546799</x:v>
      </x:c>
      <x:c r="G1032" s="42" t="n">
        <x:f>$B$11</x:f>
        <x:v>100.53096491487338</x:v>
      </x:c>
      <x:c r="I1032" t="n">
        <x:f>A1032</x:f>
        <x:v>1015</x:v>
      </x:c>
      <x:c r="J1032" t="n">
        <x:f>F1032</x:f>
        <x:v>100.25615763546799</x:v>
      </x:c>
      <x:c r="K1032" t="n">
        <x:f>G1032</x:f>
        <x:v>100.53096491487338</x:v>
      </x:c>
    </x:row>
    <x:row r="1033">
      <x:c r="A1033" t="n">
        <x:v>1016</x:v>
      </x:c>
      <x:c r="B1033" s="40" t="n">
        <x:v>-1.2910579950029097</x:v>
      </x:c>
      <x:c r="C1033" s="40" t="n">
        <x:v>1.2536671141297075</x:v>
      </x:c>
      <x:c r="D1033" s="40" t="n">
        <x:v>-1.6698938662852685</x:v>
      </x:c>
      <x:c r="E1033" t="n">
        <x:f>--((B1033^2/$B$4^2+C1033^2/$B$5^2+D1033^2/$B$6^2)&lt;=1)</x:f>
        <x:v>1</x:v>
      </x:c>
      <x:c r="F1033" s="42" t="n">
        <x:f>$B$8*SUM($E$18:E1033)/A1033</x:f>
        <x:v>100.34645669291339</x:v>
      </x:c>
      <x:c r="G1033" s="42" t="n">
        <x:f>$B$11</x:f>
        <x:v>100.53096491487338</x:v>
      </x:c>
      <x:c r="I1033" t="n">
        <x:f>A1033</x:f>
        <x:v>1016</x:v>
      </x:c>
      <x:c r="J1033" t="n">
        <x:f>F1033</x:f>
        <x:v>100.34645669291339</x:v>
      </x:c>
      <x:c r="K1033" t="n">
        <x:f>G1033</x:f>
        <x:v>100.53096491487338</x:v>
      </x:c>
    </x:row>
    <x:row r="1034">
      <x:c r="A1034" t="n">
        <x:v>1017</x:v>
      </x:c>
      <x:c r="B1034" s="40" t="n">
        <x:v>0.7123762435193131</x:v>
      </x:c>
      <x:c r="C1034" s="40" t="n">
        <x:v>2.6888861070890044</x:v>
      </x:c>
      <x:c r="D1034" s="40" t="n">
        <x:v>0.05235822658404299</x:v>
      </x:c>
      <x:c r="E1034" t="n">
        <x:f>--((B1034^2/$B$4^2+C1034^2/$B$5^2+D1034^2/$B$6^2)&lt;=1)</x:f>
        <x:v>1</x:v>
      </x:c>
      <x:c r="F1034" s="42" t="n">
        <x:f>$B$8*SUM($E$18:E1034)/A1034</x:f>
        <x:v>100.43657817109144</x:v>
      </x:c>
      <x:c r="G1034" s="42" t="n">
        <x:f>$B$11</x:f>
        <x:v>100.53096491487338</x:v>
      </x:c>
      <x:c r="I1034" t="n">
        <x:f>A1034</x:f>
        <x:v>1017</x:v>
      </x:c>
      <x:c r="J1034" t="n">
        <x:f>F1034</x:f>
        <x:v>100.43657817109144</x:v>
      </x:c>
      <x:c r="K1034" t="n">
        <x:f>G1034</x:f>
        <x:v>100.53096491487338</x:v>
      </x:c>
    </x:row>
    <x:row r="1035">
      <x:c r="A1035" t="n">
        <x:v>1018</x:v>
      </x:c>
      <x:c r="B1035" s="40" t="n">
        <x:v>1.384030245231635</x:v>
      </x:c>
      <x:c r="C1035" s="40" t="n">
        <x:v>-2.4506409937765863</x:v>
      </x:c>
      <x:c r="D1035" s="40" t="n">
        <x:v>-0.10632052685204041</x:v>
      </x:c>
      <x:c r="E1035" t="n">
        <x:f>--((B1035^2/$B$4^2+C1035^2/$B$5^2+D1035^2/$B$6^2)&lt;=1)</x:f>
        <x:v>0</x:v>
      </x:c>
      <x:c r="F1035" s="42" t="n">
        <x:f>$B$8*SUM($E$18:E1035)/A1035</x:f>
        <x:v>100.33791748526522</x:v>
      </x:c>
      <x:c r="G1035" s="42" t="n">
        <x:f>$B$11</x:f>
        <x:v>100.53096491487338</x:v>
      </x:c>
      <x:c r="I1035" t="n">
        <x:f>A1035</x:f>
        <x:v>1018</x:v>
      </x:c>
      <x:c r="J1035" t="n">
        <x:f>F1035</x:f>
        <x:v>100.33791748526522</x:v>
      </x:c>
      <x:c r="K1035" t="n">
        <x:f>G1035</x:f>
        <x:v>100.53096491487338</x:v>
      </x:c>
    </x:row>
    <x:row r="1036">
      <x:c r="A1036" t="n">
        <x:v>1019</x:v>
      </x:c>
      <x:c r="B1036" s="40" t="n">
        <x:v>-1.838985040240305</x:v>
      </x:c>
      <x:c r="C1036" s="40" t="n">
        <x:v>-1.0430241479786038</x:v>
      </x:c>
      <x:c r="D1036" s="40" t="n">
        <x:v>0.8067950112562352</x:v>
      </x:c>
      <x:c r="E1036" t="n">
        <x:f>--((B1036^2/$B$4^2+C1036^2/$B$5^2+D1036^2/$B$6^2)&lt;=1)</x:f>
        <x:v>0</x:v>
      </x:c>
      <x:c r="F1036" s="42" t="n">
        <x:f>$B$8*SUM($E$18:E1036)/A1036</x:f>
        <x:v>100.23945044160942</x:v>
      </x:c>
      <x:c r="G1036" s="42" t="n">
        <x:f>$B$11</x:f>
        <x:v>100.53096491487338</x:v>
      </x:c>
      <x:c r="I1036" t="n">
        <x:f>A1036</x:f>
        <x:v>1019</x:v>
      </x:c>
      <x:c r="J1036" t="n">
        <x:f>F1036</x:f>
        <x:v>100.23945044160942</x:v>
      </x:c>
      <x:c r="K1036" t="n">
        <x:f>G1036</x:f>
        <x:v>100.53096491487338</x:v>
      </x:c>
    </x:row>
    <x:row r="1037">
      <x:c r="A1037" t="n">
        <x:v>1020</x:v>
      </x:c>
      <x:c r="B1037" s="40" t="n">
        <x:v>-0.20146924630927776</x:v>
      </x:c>
      <x:c r="C1037" s="40" t="n">
        <x:v>-1.5919664072304351</x:v>
      </x:c>
      <x:c r="D1037" s="40" t="n">
        <x:v>-0.5004431960006643</x:v>
      </x:c>
      <x:c r="E1037" t="n">
        <x:f>--((B1037^2/$B$4^2+C1037^2/$B$5^2+D1037^2/$B$6^2)&lt;=1)</x:f>
        <x:v>1</x:v>
      </x:c>
      <x:c r="F1037" s="42" t="n">
        <x:f>$B$8*SUM($E$18:E1037)/A1037</x:f>
        <x:v>100.32941176470588</x:v>
      </x:c>
      <x:c r="G1037" s="42" t="n">
        <x:f>$B$11</x:f>
        <x:v>100.53096491487338</x:v>
      </x:c>
      <x:c r="I1037" t="n">
        <x:f>A1037</x:f>
        <x:v>1020</x:v>
      </x:c>
      <x:c r="J1037" t="n">
        <x:f>F1037</x:f>
        <x:v>100.32941176470588</x:v>
      </x:c>
      <x:c r="K1037" t="n">
        <x:f>G1037</x:f>
        <x:v>100.53096491487338</x:v>
      </x:c>
    </x:row>
    <x:row r="1038">
      <x:c r="A1038" t="n">
        <x:v>1021</x:v>
      </x:c>
      <x:c r="B1038" s="40" t="n">
        <x:v>1.5699507587493051</x:v>
      </x:c>
      <x:c r="C1038" s="40" t="n">
        <x:v>-0.6404991935959998</x:v>
      </x:c>
      <x:c r="D1038" s="40" t="n">
        <x:v>3.3557864680807308</x:v>
      </x:c>
      <x:c r="E1038" t="n">
        <x:f>--((B1038^2/$B$4^2+C1038^2/$B$5^2+D1038^2/$B$6^2)&lt;=1)</x:f>
        <x:v>0</x:v>
      </x:c>
      <x:c r="F1038" s="42" t="n">
        <x:f>$B$8*SUM($E$18:E1038)/A1038</x:f>
        <x:v>100.23114593535749</x:v>
      </x:c>
      <x:c r="G1038" s="42" t="n">
        <x:f>$B$11</x:f>
        <x:v>100.53096491487338</x:v>
      </x:c>
      <x:c r="I1038" t="n">
        <x:f>A1038</x:f>
        <x:v>1021</x:v>
      </x:c>
      <x:c r="J1038" t="n">
        <x:f>F1038</x:f>
        <x:v>100.23114593535749</x:v>
      </x:c>
      <x:c r="K1038" t="n">
        <x:f>G1038</x:f>
        <x:v>100.53096491487338</x:v>
      </x:c>
    </x:row>
    <x:row r="1039">
      <x:c r="A1039" t="n">
        <x:v>1022</x:v>
      </x:c>
      <x:c r="B1039" s="40" t="n">
        <x:v>0.9984744756914701</x:v>
      </x:c>
      <x:c r="C1039" s="40" t="n">
        <x:v>1.4539959291236784</x:v>
      </x:c>
      <x:c r="D1039" s="40" t="n">
        <x:v>2.719472753577506</x:v>
      </x:c>
      <x:c r="E1039" t="n">
        <x:f>--((B1039^2/$B$4^2+C1039^2/$B$5^2+D1039^2/$B$6^2)&lt;=1)</x:f>
        <x:v>1</x:v>
      </x:c>
      <x:c r="F1039" s="42" t="n">
        <x:f>$B$8*SUM($E$18:E1039)/A1039</x:f>
        <x:v>100.32093933463797</x:v>
      </x:c>
      <x:c r="G1039" s="42" t="n">
        <x:f>$B$11</x:f>
        <x:v>100.53096491487338</x:v>
      </x:c>
      <x:c r="I1039" t="n">
        <x:f>A1039</x:f>
        <x:v>1022</x:v>
      </x:c>
      <x:c r="J1039" t="n">
        <x:f>F1039</x:f>
        <x:v>100.32093933463797</x:v>
      </x:c>
      <x:c r="K1039" t="n">
        <x:f>G1039</x:f>
        <x:v>100.53096491487338</x:v>
      </x:c>
    </x:row>
    <x:row r="1040">
      <x:c r="A1040" t="n">
        <x:v>1023</x:v>
      </x:c>
      <x:c r="B1040" s="40" t="n">
        <x:v>1.967230865990513</x:v>
      </x:c>
      <x:c r="C1040" s="40" t="n">
        <x:v>-0.15454451144768067</x:v>
      </x:c>
      <x:c r="D1040" s="40" t="n">
        <x:v>3.0329076098931074</x:v>
      </x:c>
      <x:c r="E1040" t="n">
        <x:f>--((B1040^2/$B$4^2+C1040^2/$B$5^2+D1040^2/$B$6^2)&lt;=1)</x:f>
        <x:v>0</x:v>
      </x:c>
      <x:c r="F1040" s="42" t="n">
        <x:f>$B$8*SUM($E$18:E1040)/A1040</x:f>
        <x:v>100.22287390029325</x:v>
      </x:c>
      <x:c r="G1040" s="42" t="n">
        <x:f>$B$11</x:f>
        <x:v>100.53096491487338</x:v>
      </x:c>
      <x:c r="I1040" t="n">
        <x:f>A1040</x:f>
        <x:v>1023</x:v>
      </x:c>
      <x:c r="J1040" t="n">
        <x:f>F1040</x:f>
        <x:v>100.22287390029325</x:v>
      </x:c>
      <x:c r="K1040" t="n">
        <x:f>G1040</x:f>
        <x:v>100.53096491487338</x:v>
      </x:c>
    </x:row>
    <x:row r="1041">
      <x:c r="A1041" t="n">
        <x:v>1024</x:v>
      </x:c>
      <x:c r="B1041" s="40" t="n">
        <x:v>0.12565524638897507</x:v>
      </x:c>
      <x:c r="C1041" s="40" t="n">
        <x:v>0.42438363672147794</x:v>
      </x:c>
      <x:c r="D1041" s="40" t="n">
        <x:v>1.0361325712275002</x:v>
      </x:c>
      <x:c r="E1041" t="n">
        <x:f>--((B1041^2/$B$4^2+C1041^2/$B$5^2+D1041^2/$B$6^2)&lt;=1)</x:f>
        <x:v>1</x:v>
      </x:c>
      <x:c r="F1041" s="42" t="n">
        <x:f>$B$8*SUM($E$18:E1041)/A1041</x:f>
        <x:v>100.3125</x:v>
      </x:c>
      <x:c r="G1041" s="42" t="n">
        <x:f>$B$11</x:f>
        <x:v>100.53096491487338</x:v>
      </x:c>
      <x:c r="I1041" t="n">
        <x:f>A1041</x:f>
        <x:v>1024</x:v>
      </x:c>
      <x:c r="J1041" t="n">
        <x:f>F1041</x:f>
        <x:v>100.3125</x:v>
      </x:c>
      <x:c r="K1041" t="n">
        <x:f>G1041</x:f>
        <x:v>100.53096491487338</x:v>
      </x:c>
    </x:row>
    <x:row r="1042">
      <x:c r="A1042" t="n">
        <x:v>1025</x:v>
      </x:c>
      <x:c r="B1042" s="40" t="n">
        <x:v>0.6399828752046051</x:v>
      </x:c>
      <x:c r="C1042" s="40" t="n">
        <x:v>-1.1150706715299459</x:v>
      </x:c>
      <x:c r="D1042" s="40" t="n">
        <x:v>1.0800633268864512</x:v>
      </x:c>
      <x:c r="E1042" t="n">
        <x:f>--((B1042^2/$B$4^2+C1042^2/$B$5^2+D1042^2/$B$6^2)&lt;=1)</x:f>
        <x:v>1</x:v>
      </x:c>
      <x:c r="F1042" s="42" t="n">
        <x:f>$B$8*SUM($E$18:E1042)/A1042</x:f>
        <x:v>100.4019512195122</x:v>
      </x:c>
      <x:c r="G1042" s="42" t="n">
        <x:f>$B$11</x:f>
        <x:v>100.53096491487338</x:v>
      </x:c>
      <x:c r="I1042" t="n">
        <x:f>A1042</x:f>
        <x:v>1025</x:v>
      </x:c>
      <x:c r="J1042" t="n">
        <x:f>F1042</x:f>
        <x:v>100.4019512195122</x:v>
      </x:c>
      <x:c r="K1042" t="n">
        <x:f>G1042</x:f>
        <x:v>100.53096491487338</x:v>
      </x:c>
    </x:row>
    <x:row r="1043">
      <x:c r="A1043" t="n">
        <x:v>1026</x:v>
      </x:c>
      <x:c r="B1043" s="40" t="n">
        <x:v>-0.7900788754482875</x:v>
      </x:c>
      <x:c r="C1043" s="40" t="n">
        <x:v>-2.1522643974773965</x:v>
      </x:c>
      <x:c r="D1043" s="40" t="n">
        <x:v>0.8735894697275892</x:v>
      </x:c>
      <x:c r="E1043" t="n">
        <x:f>--((B1043^2/$B$4^2+C1043^2/$B$5^2+D1043^2/$B$6^2)&lt;=1)</x:f>
        <x:v>1</x:v>
      </x:c>
      <x:c r="F1043" s="42" t="n">
        <x:f>$B$8*SUM($E$18:E1043)/A1043</x:f>
        <x:v>100.49122807017544</x:v>
      </x:c>
      <x:c r="G1043" s="42" t="n">
        <x:f>$B$11</x:f>
        <x:v>100.53096491487338</x:v>
      </x:c>
      <x:c r="I1043" t="n">
        <x:f>A1043</x:f>
        <x:v>1026</x:v>
      </x:c>
      <x:c r="J1043" t="n">
        <x:f>F1043</x:f>
        <x:v>100.49122807017544</x:v>
      </x:c>
      <x:c r="K1043" t="n">
        <x:f>G1043</x:f>
        <x:v>100.53096491487338</x:v>
      </x:c>
    </x:row>
    <x:row r="1044">
      <x:c r="A1044" t="n">
        <x:v>1027</x:v>
      </x:c>
      <x:c r="B1044" s="40" t="n">
        <x:v>1.7901423986639693</x:v>
      </x:c>
      <x:c r="C1044" s="40" t="n">
        <x:v>-1.3983981063736288</x:v>
      </x:c>
      <x:c r="D1044" s="40" t="n">
        <x:v>-0.5209267646283502</x:v>
      </x:c>
      <x:c r="E1044" t="n">
        <x:f>--((B1044^2/$B$4^2+C1044^2/$B$5^2+D1044^2/$B$6^2)&lt;=1)</x:f>
        <x:v>0</x:v>
      </x:c>
      <x:c r="F1044" s="42" t="n">
        <x:f>$B$8*SUM($E$18:E1044)/A1044</x:f>
        <x:v>100.3933787731256</x:v>
      </x:c>
      <x:c r="G1044" s="42" t="n">
        <x:f>$B$11</x:f>
        <x:v>100.53096491487338</x:v>
      </x:c>
      <x:c r="I1044" t="n">
        <x:f>A1044</x:f>
        <x:v>1027</x:v>
      </x:c>
      <x:c r="J1044" t="n">
        <x:f>F1044</x:f>
        <x:v>100.3933787731256</x:v>
      </x:c>
      <x:c r="K1044" t="n">
        <x:f>G1044</x:f>
        <x:v>100.53096491487338</x:v>
      </x:c>
    </x:row>
    <x:row r="1045">
      <x:c r="A1045" t="n">
        <x:v>1028</x:v>
      </x:c>
      <x:c r="B1045" s="40" t="n">
        <x:v>-0.5346580457738548</x:v>
      </x:c>
      <x:c r="C1045" s="40" t="n">
        <x:v>2.1580818074519224</x:v>
      </x:c>
      <x:c r="D1045" s="40" t="n">
        <x:v>-1.423151991461899</x:v>
      </x:c>
      <x:c r="E1045" t="n">
        <x:f>--((B1045^2/$B$4^2+C1045^2/$B$5^2+D1045^2/$B$6^2)&lt;=1)</x:f>
        <x:v>1</x:v>
      </x:c>
      <x:c r="F1045" s="42" t="n">
        <x:f>$B$8*SUM($E$18:E1045)/A1045</x:f>
        <x:v>100.48249027237354</x:v>
      </x:c>
      <x:c r="G1045" s="42" t="n">
        <x:f>$B$11</x:f>
        <x:v>100.53096491487338</x:v>
      </x:c>
      <x:c r="I1045" t="n">
        <x:f>A1045</x:f>
        <x:v>1028</x:v>
      </x:c>
      <x:c r="J1045" t="n">
        <x:f>F1045</x:f>
        <x:v>100.48249027237354</x:v>
      </x:c>
      <x:c r="K1045" t="n">
        <x:f>G1045</x:f>
        <x:v>100.53096491487338</x:v>
      </x:c>
    </x:row>
    <x:row r="1046">
      <x:c r="A1046" t="n">
        <x:v>1029</x:v>
      </x:c>
      <x:c r="B1046" s="40" t="n">
        <x:v>0.9540428507465144</x:v>
      </x:c>
      <x:c r="C1046" s="40" t="n">
        <x:v>0.6145017729204625</x:v>
      </x:c>
      <x:c r="D1046" s="40" t="n">
        <x:v>0.7360230995909625</x:v>
      </x:c>
      <x:c r="E1046" t="n">
        <x:f>--((B1046^2/$B$4^2+C1046^2/$B$5^2+D1046^2/$B$6^2)&lt;=1)</x:f>
        <x:v>1</x:v>
      </x:c>
      <x:c r="F1046" s="42" t="n">
        <x:f>$B$8*SUM($E$18:E1046)/A1046</x:f>
        <x:v>100.57142857142857</x:v>
      </x:c>
      <x:c r="G1046" s="42" t="n">
        <x:f>$B$11</x:f>
        <x:v>100.53096491487338</x:v>
      </x:c>
      <x:c r="I1046" t="n">
        <x:f>A1046</x:f>
        <x:v>1029</x:v>
      </x:c>
      <x:c r="J1046" t="n">
        <x:f>F1046</x:f>
        <x:v>100.57142857142857</x:v>
      </x:c>
      <x:c r="K1046" t="n">
        <x:f>G1046</x:f>
        <x:v>100.53096491487338</x:v>
      </x:c>
    </x:row>
    <x:row r="1047">
      <x:c r="A1047" t="n">
        <x:v>1030</x:v>
      </x:c>
      <x:c r="B1047" s="40" t="n">
        <x:v>-0.38743918352367235</x:v>
      </x:c>
      <x:c r="C1047" s="40" t="n">
        <x:v>-0.7320679608165976</x:v>
      </x:c>
      <x:c r="D1047" s="40" t="n">
        <x:v>-3.7957453028923975</x:v>
      </x:c>
      <x:c r="E1047" t="n">
        <x:f>--((B1047^2/$B$4^2+C1047^2/$B$5^2+D1047^2/$B$6^2)&lt;=1)</x:f>
        <x:v>1</x:v>
      </x:c>
      <x:c r="F1047" s="42" t="n">
        <x:f>$B$8*SUM($E$18:E1047)/A1047</x:f>
        <x:v>100.66019417475728</x:v>
      </x:c>
      <x:c r="G1047" s="42" t="n">
        <x:f>$B$11</x:f>
        <x:v>100.53096491487338</x:v>
      </x:c>
      <x:c r="I1047" t="n">
        <x:f>A1047</x:f>
        <x:v>1030</x:v>
      </x:c>
      <x:c r="J1047" t="n">
        <x:f>F1047</x:f>
        <x:v>100.66019417475728</x:v>
      </x:c>
      <x:c r="K1047" t="n">
        <x:f>G1047</x:f>
        <x:v>100.53096491487338</x:v>
      </x:c>
    </x:row>
    <x:row r="1048">
      <x:c r="A1048" t="n">
        <x:v>1031</x:v>
      </x:c>
      <x:c r="B1048" s="40" t="n">
        <x:v>0.2472757202519973</x:v>
      </x:c>
      <x:c r="C1048" s="40" t="n">
        <x:v>1.7394358904135254</x:v>
      </x:c>
      <x:c r="D1048" s="40" t="n">
        <x:v>-3.9403485486095757</x:v>
      </x:c>
      <x:c r="E1048" t="n">
        <x:f>--((B1048^2/$B$4^2+C1048^2/$B$5^2+D1048^2/$B$6^2)&lt;=1)</x:f>
        <x:v>0</x:v>
      </x:c>
      <x:c r="F1048" s="42" t="n">
        <x:f>$B$8*SUM($E$18:E1048)/A1048</x:f>
        <x:v>100.56256062075654</x:v>
      </x:c>
      <x:c r="G1048" s="42" t="n">
        <x:f>$B$11</x:f>
        <x:v>100.53096491487338</x:v>
      </x:c>
      <x:c r="I1048" t="n">
        <x:f>A1048</x:f>
        <x:v>1031</x:v>
      </x:c>
      <x:c r="J1048" t="n">
        <x:f>F1048</x:f>
        <x:v>100.56256062075654</x:v>
      </x:c>
      <x:c r="K1048" t="n">
        <x:f>G1048</x:f>
        <x:v>100.53096491487338</x:v>
      </x:c>
    </x:row>
    <x:row r="1049">
      <x:c r="A1049" t="n">
        <x:v>1032</x:v>
      </x:c>
      <x:c r="B1049" s="40" t="n">
        <x:v>0.8791301400861848</x:v>
      </x:c>
      <x:c r="C1049" s="40" t="n">
        <x:v>-2.6132554052705474</x:v>
      </x:c>
      <x:c r="D1049" s="40" t="n">
        <x:v>2.8131346103739885</x:v>
      </x:c>
      <x:c r="E1049" t="n">
        <x:f>--((B1049^2/$B$4^2+C1049^2/$B$5^2+D1049^2/$B$6^2)&lt;=1)</x:f>
        <x:v>0</x:v>
      </x:c>
      <x:c r="F1049" s="42" t="n">
        <x:f>$B$8*SUM($E$18:E1049)/A1049</x:f>
        <x:v>100.46511627906976</x:v>
      </x:c>
      <x:c r="G1049" s="42" t="n">
        <x:f>$B$11</x:f>
        <x:v>100.53096491487338</x:v>
      </x:c>
      <x:c r="I1049" t="n">
        <x:f>A1049</x:f>
        <x:v>1032</x:v>
      </x:c>
      <x:c r="J1049" t="n">
        <x:f>F1049</x:f>
        <x:v>100.46511627906976</x:v>
      </x:c>
      <x:c r="K1049" t="n">
        <x:f>G1049</x:f>
        <x:v>100.53096491487338</x:v>
      </x:c>
    </x:row>
    <x:row r="1050">
      <x:c r="A1050" t="n">
        <x:v>1033</x:v>
      </x:c>
      <x:c r="B1050" s="40" t="n">
        <x:v>0.03573660700541703</x:v>
      </x:c>
      <x:c r="C1050" s="40" t="n">
        <x:v>-1.476653472465686</x:v>
      </x:c>
      <x:c r="D1050" s="40" t="n">
        <x:v>-3.6286076417790225</x:v>
      </x:c>
      <x:c r="E1050" t="n">
        <x:f>--((B1050^2/$B$4^2+C1050^2/$B$5^2+D1050^2/$B$6^2)&lt;=1)</x:f>
        <x:v>0</x:v>
      </x:c>
      <x:c r="F1050" s="42" t="n">
        <x:f>$B$8*SUM($E$18:E1050)/A1050</x:f>
        <x:v>100.36786060019361</x:v>
      </x:c>
      <x:c r="G1050" s="42" t="n">
        <x:f>$B$11</x:f>
        <x:v>100.53096491487338</x:v>
      </x:c>
      <x:c r="I1050" t="n">
        <x:f>A1050</x:f>
        <x:v>1033</x:v>
      </x:c>
      <x:c r="J1050" t="n">
        <x:f>F1050</x:f>
        <x:v>100.36786060019361</x:v>
      </x:c>
      <x:c r="K1050" t="n">
        <x:f>G1050</x:f>
        <x:v>100.53096491487338</x:v>
      </x:c>
    </x:row>
    <x:row r="1051">
      <x:c r="A1051" t="n">
        <x:v>1034</x:v>
      </x:c>
      <x:c r="B1051" s="40" t="n">
        <x:v>1.628345307638034</x:v>
      </x:c>
      <x:c r="C1051" s="40" t="n">
        <x:v>-1.6193810756559643</x:v>
      </x:c>
      <x:c r="D1051" s="40" t="n">
        <x:v>0.19836120266734447</x:v>
      </x:c>
      <x:c r="E1051" t="n">
        <x:f>--((B1051^2/$B$4^2+C1051^2/$B$5^2+D1051^2/$B$6^2)&lt;=1)</x:f>
        <x:v>1</x:v>
      </x:c>
      <x:c r="F1051" s="42" t="n">
        <x:f>$B$8*SUM($E$18:E1051)/A1051</x:f>
        <x:v>100.45647969052224</x:v>
      </x:c>
      <x:c r="G1051" s="42" t="n">
        <x:f>$B$11</x:f>
        <x:v>100.53096491487338</x:v>
      </x:c>
      <x:c r="I1051" t="n">
        <x:f>A1051</x:f>
        <x:v>1034</x:v>
      </x:c>
      <x:c r="J1051" t="n">
        <x:f>F1051</x:f>
        <x:v>100.45647969052224</x:v>
      </x:c>
      <x:c r="K1051" t="n">
        <x:f>G1051</x:f>
        <x:v>100.53096491487338</x:v>
      </x:c>
    </x:row>
    <x:row r="1052">
      <x:c r="A1052" t="n">
        <x:v>1035</x:v>
      </x:c>
      <x:c r="B1052" s="40" t="n">
        <x:v>-0.3227960482887591</x:v>
      </x:c>
      <x:c r="C1052" s="40" t="n">
        <x:v>2.912187373009333</x:v>
      </x:c>
      <x:c r="D1052" s="40" t="n">
        <x:v>0.9199021035971606</x:v>
      </x:c>
      <x:c r="E1052" t="n">
        <x:f>--((B1052^2/$B$4^2+C1052^2/$B$5^2+D1052^2/$B$6^2)&lt;=1)</x:f>
        <x:v>0</x:v>
      </x:c>
      <x:c r="F1052" s="42" t="n">
        <x:f>$B$8*SUM($E$18:E1052)/A1052</x:f>
        <x:v>100.35942028985507</x:v>
      </x:c>
      <x:c r="G1052" s="42" t="n">
        <x:f>$B$11</x:f>
        <x:v>100.53096491487338</x:v>
      </x:c>
      <x:c r="I1052" t="n">
        <x:f>A1052</x:f>
        <x:v>1035</x:v>
      </x:c>
      <x:c r="J1052" t="n">
        <x:f>F1052</x:f>
        <x:v>100.35942028985507</x:v>
      </x:c>
      <x:c r="K1052" t="n">
        <x:f>G1052</x:f>
        <x:v>100.53096491487338</x:v>
      </x:c>
    </x:row>
    <x:row r="1053">
      <x:c r="A1053" t="n">
        <x:v>1036</x:v>
      </x:c>
      <x:c r="B1053" s="40" t="n">
        <x:v>0.5882871925733006</x:v>
      </x:c>
      <x:c r="C1053" s="40" t="n">
        <x:v>1.2365914943565617</x:v>
      </x:c>
      <x:c r="D1053" s="40" t="n">
        <x:v>-2.414630163020515</x:v>
      </x:c>
      <x:c r="E1053" t="n">
        <x:f>--((B1053^2/$B$4^2+C1053^2/$B$5^2+D1053^2/$B$6^2)&lt;=1)</x:f>
        <x:v>1</x:v>
      </x:c>
      <x:c r="F1053" s="42" t="n">
        <x:f>$B$8*SUM($E$18:E1053)/A1053</x:f>
        <x:v>100.44787644787645</x:v>
      </x:c>
      <x:c r="G1053" s="42" t="n">
        <x:f>$B$11</x:f>
        <x:v>100.53096491487338</x:v>
      </x:c>
      <x:c r="I1053" t="n">
        <x:f>A1053</x:f>
        <x:v>1036</x:v>
      </x:c>
      <x:c r="J1053" t="n">
        <x:f>F1053</x:f>
        <x:v>100.44787644787645</x:v>
      </x:c>
      <x:c r="K1053" t="n">
        <x:f>G1053</x:f>
        <x:v>100.53096491487338</x:v>
      </x:c>
    </x:row>
    <x:row r="1054">
      <x:c r="A1054" t="n">
        <x:v>1037</x:v>
      </x:c>
      <x:c r="B1054" s="40" t="n">
        <x:v>-0.6305502667997835</x:v>
      </x:c>
      <x:c r="C1054" s="40" t="n">
        <x:v>0.7067156183313248</x:v>
      </x:c>
      <x:c r="D1054" s="40" t="n">
        <x:v>3.1658467061211866</x:v>
      </x:c>
      <x:c r="E1054" t="n">
        <x:f>--((B1054^2/$B$4^2+C1054^2/$B$5^2+D1054^2/$B$6^2)&lt;=1)</x:f>
        <x:v>1</x:v>
      </x:c>
      <x:c r="F1054" s="42" t="n">
        <x:f>$B$8*SUM($E$18:E1054)/A1054</x:f>
        <x:v>100.53616200578593</x:v>
      </x:c>
      <x:c r="G1054" s="42" t="n">
        <x:f>$B$11</x:f>
        <x:v>100.53096491487338</x:v>
      </x:c>
      <x:c r="I1054" t="n">
        <x:f>A1054</x:f>
        <x:v>1037</x:v>
      </x:c>
      <x:c r="J1054" t="n">
        <x:f>F1054</x:f>
        <x:v>100.53616200578593</x:v>
      </x:c>
      <x:c r="K1054" t="n">
        <x:f>G1054</x:f>
        <x:v>100.53096491487338</x:v>
      </x:c>
    </x:row>
    <x:row r="1055">
      <x:c r="A1055" t="n">
        <x:v>1038</x:v>
      </x:c>
      <x:c r="B1055" s="40" t="n">
        <x:v>-0.36737332707594783</x:v>
      </x:c>
      <x:c r="C1055" s="40" t="n">
        <x:v>-2.9700902082331626</x:v>
      </x:c>
      <x:c r="D1055" s="40" t="n">
        <x:v>-2.479233826013</x:v>
      </x:c>
      <x:c r="E1055" t="n">
        <x:f>--((B1055^2/$B$4^2+C1055^2/$B$5^2+D1055^2/$B$6^2)&lt;=1)</x:f>
        <x:v>0</x:v>
      </x:c>
      <x:c r="F1055" s="42" t="n">
        <x:f>$B$8*SUM($E$18:E1055)/A1055</x:f>
        <x:v>100.4393063583815</x:v>
      </x:c>
      <x:c r="G1055" s="42" t="n">
        <x:f>$B$11</x:f>
        <x:v>100.53096491487338</x:v>
      </x:c>
      <x:c r="I1055" t="n">
        <x:f>A1055</x:f>
        <x:v>1038</x:v>
      </x:c>
      <x:c r="J1055" t="n">
        <x:f>F1055</x:f>
        <x:v>100.4393063583815</x:v>
      </x:c>
      <x:c r="K1055" t="n">
        <x:f>G1055</x:f>
        <x:v>100.53096491487338</x:v>
      </x:c>
    </x:row>
    <x:row r="1056">
      <x:c r="A1056" t="n">
        <x:v>1039</x:v>
      </x:c>
      <x:c r="B1056" s="40" t="n">
        <x:v>-0.23979956706579042</x:v>
      </x:c>
      <x:c r="C1056" s="40" t="n">
        <x:v>-1.8941399874608558</x:v>
      </x:c>
      <x:c r="D1056" s="40" t="n">
        <x:v>3.0761198989333973</x:v>
      </x:c>
      <x:c r="E1056" t="n">
        <x:f>--((B1056^2/$B$4^2+C1056^2/$B$5^2+D1056^2/$B$6^2)&lt;=1)</x:f>
        <x:v>0</x:v>
      </x:c>
      <x:c r="F1056" s="42" t="n">
        <x:f>$B$8*SUM($E$18:E1056)/A1056</x:f>
        <x:v>100.34263715110683</x:v>
      </x:c>
      <x:c r="G1056" s="42" t="n">
        <x:f>$B$11</x:f>
        <x:v>100.53096491487338</x:v>
      </x:c>
      <x:c r="I1056" t="n">
        <x:f>A1056</x:f>
        <x:v>1039</x:v>
      </x:c>
      <x:c r="J1056" t="n">
        <x:f>F1056</x:f>
        <x:v>100.34263715110683</x:v>
      </x:c>
      <x:c r="K1056" t="n">
        <x:f>G1056</x:f>
        <x:v>100.53096491487338</x:v>
      </x:c>
    </x:row>
    <x:row r="1057">
      <x:c r="A1057" t="n">
        <x:v>1040</x:v>
      </x:c>
      <x:c r="B1057" s="40" t="n">
        <x:v>-1.496771926750859</x:v>
      </x:c>
      <x:c r="C1057" s="40" t="n">
        <x:v>0.8132477578384698</x:v>
      </x:c>
      <x:c r="D1057" s="40" t="n">
        <x:v>2.1039221546642812</x:v>
      </x:c>
      <x:c r="E1057" t="n">
        <x:f>--((B1057^2/$B$4^2+C1057^2/$B$5^2+D1057^2/$B$6^2)&lt;=1)</x:f>
        <x:v>1</x:v>
      </x:c>
      <x:c r="F1057" s="42" t="n">
        <x:f>$B$8*SUM($E$18:E1057)/A1057</x:f>
        <x:v>100.43076923076923</x:v>
      </x:c>
      <x:c r="G1057" s="42" t="n">
        <x:f>$B$11</x:f>
        <x:v>100.53096491487338</x:v>
      </x:c>
      <x:c r="I1057" t="n">
        <x:f>A1057</x:f>
        <x:v>1040</x:v>
      </x:c>
      <x:c r="J1057" t="n">
        <x:f>F1057</x:f>
        <x:v>100.43076923076923</x:v>
      </x:c>
      <x:c r="K1057" t="n">
        <x:f>G1057</x:f>
        <x:v>100.53096491487338</x:v>
      </x:c>
    </x:row>
    <x:row r="1058">
      <x:c r="A1058" t="n">
        <x:v>1041</x:v>
      </x:c>
      <x:c r="B1058" s="40" t="n">
        <x:v>-1.6331052837639732</x:v>
      </x:c>
      <x:c r="C1058" s="40" t="n">
        <x:v>-0.7216840411100058</x:v>
      </x:c>
      <x:c r="D1058" s="40" t="n">
        <x:v>-2.0740563718064484</x:v>
      </x:c>
      <x:c r="E1058" t="n">
        <x:f>--((B1058^2/$B$4^2+C1058^2/$B$5^2+D1058^2/$B$6^2)&lt;=1)</x:f>
        <x:v>1</x:v>
      </x:c>
      <x:c r="F1058" s="42" t="n">
        <x:f>$B$8*SUM($E$18:E1058)/A1058</x:f>
        <x:v>100.51873198847262</x:v>
      </x:c>
      <x:c r="G1058" s="42" t="n">
        <x:f>$B$11</x:f>
        <x:v>100.53096491487338</x:v>
      </x:c>
      <x:c r="I1058" t="n">
        <x:f>A1058</x:f>
        <x:v>1041</x:v>
      </x:c>
      <x:c r="J1058" t="n">
        <x:f>F1058</x:f>
        <x:v>100.51873198847262</x:v>
      </x:c>
      <x:c r="K1058" t="n">
        <x:f>G1058</x:f>
        <x:v>100.53096491487338</x:v>
      </x:c>
    </x:row>
    <x:row r="1059">
      <x:c r="A1059" t="n">
        <x:v>1042</x:v>
      </x:c>
      <x:c r="B1059" s="40" t="n">
        <x:v>0.6699596925870317</x:v>
      </x:c>
      <x:c r="C1059" s="40" t="n">
        <x:v>2.545682302074365</x:v>
      </x:c>
      <x:c r="D1059" s="40" t="n">
        <x:v>-2.7940466697912516</x:v>
      </x:c>
      <x:c r="E1059" t="n">
        <x:f>--((B1059^2/$B$4^2+C1059^2/$B$5^2+D1059^2/$B$6^2)&lt;=1)</x:f>
        <x:v>0</x:v>
      </x:c>
      <x:c r="F1059" s="42" t="n">
        <x:f>$B$8*SUM($E$18:E1059)/A1059</x:f>
        <x:v>100.42226487523992</x:v>
      </x:c>
      <x:c r="G1059" s="42" t="n">
        <x:f>$B$11</x:f>
        <x:v>100.53096491487338</x:v>
      </x:c>
      <x:c r="I1059" t="n">
        <x:f>A1059</x:f>
        <x:v>1042</x:v>
      </x:c>
      <x:c r="J1059" t="n">
        <x:f>F1059</x:f>
        <x:v>100.42226487523992</x:v>
      </x:c>
      <x:c r="K1059" t="n">
        <x:f>G1059</x:f>
        <x:v>100.53096491487338</x:v>
      </x:c>
    </x:row>
    <x:row r="1060">
      <x:c r="A1060" t="n">
        <x:v>1043</x:v>
      </x:c>
      <x:c r="B1060" s="40" t="n">
        <x:v>0.6220709533722091</x:v>
      </x:c>
      <x:c r="C1060" s="40" t="n">
        <x:v>1.5883453148505478</x:v>
      </x:c>
      <x:c r="D1060" s="40" t="n">
        <x:v>-1.4701383185101191</x:v>
      </x:c>
      <x:c r="E1060" t="n">
        <x:f>--((B1060^2/$B$4^2+C1060^2/$B$5^2+D1060^2/$B$6^2)&lt;=1)</x:f>
        <x:v>1</x:v>
      </x:c>
      <x:c r="F1060" s="42" t="n">
        <x:f>$B$8*SUM($E$18:E1060)/A1060</x:f>
        <x:v>100.51006711409396</x:v>
      </x:c>
      <x:c r="G1060" s="42" t="n">
        <x:f>$B$11</x:f>
        <x:v>100.53096491487338</x:v>
      </x:c>
      <x:c r="I1060" t="n">
        <x:f>A1060</x:f>
        <x:v>1043</x:v>
      </x:c>
      <x:c r="J1060" t="n">
        <x:f>F1060</x:f>
        <x:v>100.51006711409396</x:v>
      </x:c>
      <x:c r="K1060" t="n">
        <x:f>G1060</x:f>
        <x:v>100.53096491487338</x:v>
      </x:c>
    </x:row>
    <x:row r="1061">
      <x:c r="A1061" t="n">
        <x:v>1044</x:v>
      </x:c>
      <x:c r="B1061" s="40" t="n">
        <x:v>0.651638856840381</x:v>
      </x:c>
      <x:c r="C1061" s="40" t="n">
        <x:v>-0.31569556317528047</x:v>
      </x:c>
      <x:c r="D1061" s="40" t="n">
        <x:v>-0.8163954698378024</x:v>
      </x:c>
      <x:c r="E1061" t="n">
        <x:f>--((B1061^2/$B$4^2+C1061^2/$B$5^2+D1061^2/$B$6^2)&lt;=1)</x:f>
        <x:v>1</x:v>
      </x:c>
      <x:c r="F1061" s="42" t="n">
        <x:f>$B$8*SUM($E$18:E1061)/A1061</x:f>
        <x:v>100.59770114942529</x:v>
      </x:c>
      <x:c r="G1061" s="42" t="n">
        <x:f>$B$11</x:f>
        <x:v>100.53096491487338</x:v>
      </x:c>
      <x:c r="I1061" t="n">
        <x:f>A1061</x:f>
        <x:v>1044</x:v>
      </x:c>
      <x:c r="J1061" t="n">
        <x:f>F1061</x:f>
        <x:v>100.59770114942529</x:v>
      </x:c>
      <x:c r="K1061" t="n">
        <x:f>G1061</x:f>
        <x:v>100.53096491487338</x:v>
      </x:c>
    </x:row>
    <x:row r="1062">
      <x:c r="A1062" t="n">
        <x:v>1045</x:v>
      </x:c>
      <x:c r="B1062" s="40" t="n">
        <x:v>-1.9209342186292333</x:v>
      </x:c>
      <x:c r="C1062" s="40" t="n">
        <x:v>1.497089865229623</x:v>
      </x:c>
      <x:c r="D1062" s="40" t="n">
        <x:v>-2.0337225880086125</x:v>
      </x:c>
      <x:c r="E1062" t="n">
        <x:f>--((B1062^2/$B$4^2+C1062^2/$B$5^2+D1062^2/$B$6^2)&lt;=1)</x:f>
        <x:v>0</x:v>
      </x:c>
      <x:c r="F1062" s="42" t="n">
        <x:f>$B$8*SUM($E$18:E1062)/A1062</x:f>
        <x:v>100.50143540669856</x:v>
      </x:c>
      <x:c r="G1062" s="42" t="n">
        <x:f>$B$11</x:f>
        <x:v>100.53096491487338</x:v>
      </x:c>
      <x:c r="I1062" t="n">
        <x:f>A1062</x:f>
        <x:v>1045</x:v>
      </x:c>
      <x:c r="J1062" t="n">
        <x:f>F1062</x:f>
        <x:v>100.50143540669856</x:v>
      </x:c>
      <x:c r="K1062" t="n">
        <x:f>G1062</x:f>
        <x:v>100.53096491487338</x:v>
      </x:c>
    </x:row>
    <x:row r="1063">
      <x:c r="A1063" t="n">
        <x:v>1046</x:v>
      </x:c>
      <x:c r="B1063" s="40" t="n">
        <x:v>-0.6938126293128803</x:v>
      </x:c>
      <x:c r="C1063" s="40" t="n">
        <x:v>2.8524259429573293</x:v>
      </x:c>
      <x:c r="D1063" s="40" t="n">
        <x:v>3.9911323900353857</x:v>
      </x:c>
      <x:c r="E1063" t="n">
        <x:f>--((B1063^2/$B$4^2+C1063^2/$B$5^2+D1063^2/$B$6^2)&lt;=1)</x:f>
        <x:v>0</x:v>
      </x:c>
      <x:c r="F1063" s="42" t="n">
        <x:f>$B$8*SUM($E$18:E1063)/A1063</x:f>
        <x:v>100.40535372848949</x:v>
      </x:c>
      <x:c r="G1063" s="42" t="n">
        <x:f>$B$11</x:f>
        <x:v>100.53096491487338</x:v>
      </x:c>
      <x:c r="I1063" t="n">
        <x:f>A1063</x:f>
        <x:v>1046</x:v>
      </x:c>
      <x:c r="J1063" t="n">
        <x:f>F1063</x:f>
        <x:v>100.40535372848949</x:v>
      </x:c>
      <x:c r="K1063" t="n">
        <x:f>G1063</x:f>
        <x:v>100.53096491487338</x:v>
      </x:c>
    </x:row>
    <x:row r="1064">
      <x:c r="A1064" t="n">
        <x:v>1047</x:v>
      </x:c>
      <x:c r="B1064" s="40" t="n">
        <x:v>-1.2087606109632123</x:v>
      </x:c>
      <x:c r="C1064" s="40" t="n">
        <x:v>-0.2341150517911763</x:v>
      </x:c>
      <x:c r="D1064" s="40" t="n">
        <x:v>-2.1627813100833517</x:v>
      </x:c>
      <x:c r="E1064" t="n">
        <x:f>--((B1064^2/$B$4^2+C1064^2/$B$5^2+D1064^2/$B$6^2)&lt;=1)</x:f>
        <x:v>1</x:v>
      </x:c>
      <x:c r="F1064" s="42" t="n">
        <x:f>$B$8*SUM($E$18:E1064)/A1064</x:f>
        <x:v>100.49283667621776</x:v>
      </x:c>
      <x:c r="G1064" s="42" t="n">
        <x:f>$B$11</x:f>
        <x:v>100.53096491487338</x:v>
      </x:c>
      <x:c r="I1064" t="n">
        <x:f>A1064</x:f>
        <x:v>1047</x:v>
      </x:c>
      <x:c r="J1064" t="n">
        <x:f>F1064</x:f>
        <x:v>100.49283667621776</x:v>
      </x:c>
      <x:c r="K1064" t="n">
        <x:f>G1064</x:f>
        <x:v>100.53096491487338</x:v>
      </x:c>
    </x:row>
    <x:row r="1065">
      <x:c r="A1065" t="n">
        <x:v>1048</x:v>
      </x:c>
      <x:c r="B1065" s="40" t="n">
        <x:v>1.1126056901760495</x:v>
      </x:c>
      <x:c r="C1065" s="40" t="n">
        <x:v>0.8551553273312003</x:v>
      </x:c>
      <x:c r="D1065" s="40" t="n">
        <x:v>2.6450786158628556</x:v>
      </x:c>
      <x:c r="E1065" t="n">
        <x:f>--((B1065^2/$B$4^2+C1065^2/$B$5^2+D1065^2/$B$6^2)&lt;=1)</x:f>
        <x:v>1</x:v>
      </x:c>
      <x:c r="F1065" s="42" t="n">
        <x:f>$B$8*SUM($E$18:E1065)/A1065</x:f>
        <x:v>100.58015267175573</x:v>
      </x:c>
      <x:c r="G1065" s="42" t="n">
        <x:f>$B$11</x:f>
        <x:v>100.53096491487338</x:v>
      </x:c>
      <x:c r="I1065" t="n">
        <x:f>A1065</x:f>
        <x:v>1048</x:v>
      </x:c>
      <x:c r="J1065" t="n">
        <x:f>F1065</x:f>
        <x:v>100.58015267175573</x:v>
      </x:c>
      <x:c r="K1065" t="n">
        <x:f>G1065</x:f>
        <x:v>100.53096491487338</x:v>
      </x:c>
    </x:row>
    <x:row r="1066">
      <x:c r="A1066" t="n">
        <x:v>1049</x:v>
      </x:c>
      <x:c r="B1066" s="40" t="n">
        <x:v>1.4425216055845205</x:v>
      </x:c>
      <x:c r="C1066" s="40" t="n">
        <x:v>2.5119876903677714</x:v>
      </x:c>
      <x:c r="D1066" s="40" t="n">
        <x:v>-2.727058023276218</x:v>
      </x:c>
      <x:c r="E1066" t="n">
        <x:f>--((B1066^2/$B$4^2+C1066^2/$B$5^2+D1066^2/$B$6^2)&lt;=1)</x:f>
        <x:v>0</x:v>
      </x:c>
      <x:c r="F1066" s="42" t="n">
        <x:f>$B$8*SUM($E$18:E1066)/A1066</x:f>
        <x:v>100.4842707340324</x:v>
      </x:c>
      <x:c r="G1066" s="42" t="n">
        <x:f>$B$11</x:f>
        <x:v>100.53096491487338</x:v>
      </x:c>
      <x:c r="I1066" t="n">
        <x:f>A1066</x:f>
        <x:v>1049</x:v>
      </x:c>
      <x:c r="J1066" t="n">
        <x:f>F1066</x:f>
        <x:v>100.4842707340324</x:v>
      </x:c>
      <x:c r="K1066" t="n">
        <x:f>G1066</x:f>
        <x:v>100.53096491487338</x:v>
      </x:c>
    </x:row>
    <x:row r="1067">
      <x:c r="A1067" t="n">
        <x:v>1050</x:v>
      </x:c>
      <x:c r="B1067" s="40" t="n">
        <x:v>-1.0132784910954107</x:v>
      </x:c>
      <x:c r="C1067" s="40" t="n">
        <x:v>-1.5079520277829603</x:v>
      </x:c>
      <x:c r="D1067" s="40" t="n">
        <x:v>3.8419570022075797</x:v>
      </x:c>
      <x:c r="E1067" t="n">
        <x:f>--((B1067^2/$B$4^2+C1067^2/$B$5^2+D1067^2/$B$6^2)&lt;=1)</x:f>
        <x:v>0</x:v>
      </x:c>
      <x:c r="F1067" s="42" t="n">
        <x:f>$B$8*SUM($E$18:E1067)/A1067</x:f>
        <x:v>100.38857142857142</x:v>
      </x:c>
      <x:c r="G1067" s="42" t="n">
        <x:f>$B$11</x:f>
        <x:v>100.53096491487338</x:v>
      </x:c>
      <x:c r="I1067" t="n">
        <x:f>A1067</x:f>
        <x:v>1050</x:v>
      </x:c>
      <x:c r="J1067" t="n">
        <x:f>F1067</x:f>
        <x:v>100.38857142857142</x:v>
      </x:c>
      <x:c r="K1067" t="n">
        <x:f>G1067</x:f>
        <x:v>100.53096491487338</x:v>
      </x:c>
    </x:row>
    <x:row r="1068">
      <x:c r="A1068" t="n">
        <x:v>1051</x:v>
      </x:c>
      <x:c r="B1068" s="40" t="n">
        <x:v>0.6713966353919454</x:v>
      </x:c>
      <x:c r="C1068" s="40" t="n">
        <x:v>2.31934748199767</x:v>
      </x:c>
      <x:c r="D1068" s="40" t="n">
        <x:v>-2.1958123337353213</x:v>
      </x:c>
      <x:c r="E1068" t="n">
        <x:f>--((B1068^2/$B$4^2+C1068^2/$B$5^2+D1068^2/$B$6^2)&lt;=1)</x:f>
        <x:v>0</x:v>
      </x:c>
      <x:c r="F1068" s="42" t="n">
        <x:f>$B$8*SUM($E$18:E1068)/A1068</x:f>
        <x:v>100.2930542340628</x:v>
      </x:c>
      <x:c r="G1068" s="42" t="n">
        <x:f>$B$11</x:f>
        <x:v>100.53096491487338</x:v>
      </x:c>
      <x:c r="I1068" t="n">
        <x:f>A1068</x:f>
        <x:v>1051</x:v>
      </x:c>
      <x:c r="J1068" t="n">
        <x:f>F1068</x:f>
        <x:v>100.2930542340628</x:v>
      </x:c>
      <x:c r="K1068" t="n">
        <x:f>G1068</x:f>
        <x:v>100.53096491487338</x:v>
      </x:c>
    </x:row>
    <x:row r="1069">
      <x:c r="A1069" t="n">
        <x:v>1052</x:v>
      </x:c>
      <x:c r="B1069" s="40" t="n">
        <x:v>-1.4825487861669022</x:v>
      </x:c>
      <x:c r="C1069" s="40" t="n">
        <x:v>-2.414731759362104</x:v>
      </x:c>
      <x:c r="D1069" s="40" t="n">
        <x:v>-0.6264915617312621</x:v>
      </x:c>
      <x:c r="E1069" t="n">
        <x:f>--((B1069^2/$B$4^2+C1069^2/$B$5^2+D1069^2/$B$6^2)&lt;=1)</x:f>
        <x:v>0</x:v>
      </x:c>
      <x:c r="F1069" s="42" t="n">
        <x:f>$B$8*SUM($E$18:E1069)/A1069</x:f>
        <x:v>100.1977186311787</x:v>
      </x:c>
      <x:c r="G1069" s="42" t="n">
        <x:f>$B$11</x:f>
        <x:v>100.53096491487338</x:v>
      </x:c>
      <x:c r="I1069" t="n">
        <x:f>A1069</x:f>
        <x:v>1052</x:v>
      </x:c>
      <x:c r="J1069" t="n">
        <x:f>F1069</x:f>
        <x:v>100.1977186311787</x:v>
      </x:c>
      <x:c r="K1069" t="n">
        <x:f>G1069</x:f>
        <x:v>100.53096491487338</x:v>
      </x:c>
    </x:row>
    <x:row r="1070">
      <x:c r="A1070" t="n">
        <x:v>1053</x:v>
      </x:c>
      <x:c r="B1070" s="40" t="n">
        <x:v>-0.8993898975931467</x:v>
      </x:c>
      <x:c r="C1070" s="40" t="n">
        <x:v>0.8906890235258791</x:v>
      </x:c>
      <x:c r="D1070" s="40" t="n">
        <x:v>0.4685125341432519</x:v>
      </x:c>
      <x:c r="E1070" t="n">
        <x:f>--((B1070^2/$B$4^2+C1070^2/$B$5^2+D1070^2/$B$6^2)&lt;=1)</x:f>
        <x:v>1</x:v>
      </x:c>
      <x:c r="F1070" s="42" t="n">
        <x:f>$B$8*SUM($E$18:E1070)/A1070</x:f>
        <x:v>100.28490028490029</x:v>
      </x:c>
      <x:c r="G1070" s="42" t="n">
        <x:f>$B$11</x:f>
        <x:v>100.53096491487338</x:v>
      </x:c>
      <x:c r="I1070" t="n">
        <x:f>A1070</x:f>
        <x:v>1053</x:v>
      </x:c>
      <x:c r="J1070" t="n">
        <x:f>F1070</x:f>
        <x:v>100.28490028490029</x:v>
      </x:c>
      <x:c r="K1070" t="n">
        <x:f>G1070</x:f>
        <x:v>100.53096491487338</x:v>
      </x:c>
    </x:row>
    <x:row r="1071">
      <x:c r="A1071" t="n">
        <x:v>1054</x:v>
      </x:c>
      <x:c r="B1071" s="40" t="n">
        <x:v>-1.445382015066322</x:v>
      </x:c>
      <x:c r="C1071" s="40" t="n">
        <x:v>1.6970289303347066</x:v>
      </x:c>
      <x:c r="D1071" s="40" t="n">
        <x:v>-3.0377142787512534</x:v>
      </x:c>
      <x:c r="E1071" t="n">
        <x:f>--((B1071^2/$B$4^2+C1071^2/$B$5^2+D1071^2/$B$6^2)&lt;=1)</x:f>
        <x:v>0</x:v>
      </x:c>
      <x:c r="F1071" s="42" t="n">
        <x:f>$B$8*SUM($E$18:E1071)/A1071</x:f>
        <x:v>100.18975332068311</x:v>
      </x:c>
      <x:c r="G1071" s="42" t="n">
        <x:f>$B$11</x:f>
        <x:v>100.53096491487338</x:v>
      </x:c>
      <x:c r="I1071" t="n">
        <x:f>A1071</x:f>
        <x:v>1054</x:v>
      </x:c>
      <x:c r="J1071" t="n">
        <x:f>F1071</x:f>
        <x:v>100.18975332068311</x:v>
      </x:c>
      <x:c r="K1071" t="n">
        <x:f>G1071</x:f>
        <x:v>100.53096491487338</x:v>
      </x:c>
    </x:row>
    <x:row r="1072">
      <x:c r="A1072" t="n">
        <x:v>1055</x:v>
      </x:c>
      <x:c r="B1072" s="40" t="n">
        <x:v>-0.8659169336030832</x:v>
      </x:c>
      <x:c r="C1072" s="40" t="n">
        <x:v>0.6876373155145563</x:v>
      </x:c>
      <x:c r="D1072" s="40" t="n">
        <x:v>2.5345605398328104</x:v>
      </x:c>
      <x:c r="E1072" t="n">
        <x:f>--((B1072^2/$B$4^2+C1072^2/$B$5^2+D1072^2/$B$6^2)&lt;=1)</x:f>
        <x:v>1</x:v>
      </x:c>
      <x:c r="F1072" s="42" t="n">
        <x:f>$B$8*SUM($E$18:E1072)/A1072</x:f>
        <x:v>100.27677725118484</x:v>
      </x:c>
      <x:c r="G1072" s="42" t="n">
        <x:f>$B$11</x:f>
        <x:v>100.53096491487338</x:v>
      </x:c>
      <x:c r="I1072" t="n">
        <x:f>A1072</x:f>
        <x:v>1055</x:v>
      </x:c>
      <x:c r="J1072" t="n">
        <x:f>F1072</x:f>
        <x:v>100.27677725118484</x:v>
      </x:c>
      <x:c r="K1072" t="n">
        <x:f>G1072</x:f>
        <x:v>100.53096491487338</x:v>
      </x:c>
    </x:row>
    <x:row r="1073">
      <x:c r="A1073" t="n">
        <x:v>1056</x:v>
      </x:c>
      <x:c r="B1073" s="40" t="n">
        <x:v>0.6989461893971116</x:v>
      </x:c>
      <x:c r="C1073" s="40" t="n">
        <x:v>-0.026791175084741603</x:v>
      </x:c>
      <x:c r="D1073" s="40" t="n">
        <x:v>-1.8025157385533612</x:v>
      </x:c>
      <x:c r="E1073" t="n">
        <x:f>--((B1073^2/$B$4^2+C1073^2/$B$5^2+D1073^2/$B$6^2)&lt;=1)</x:f>
        <x:v>1</x:v>
      </x:c>
      <x:c r="F1073" s="42" t="n">
        <x:f>$B$8*SUM($E$18:E1073)/A1073</x:f>
        <x:v>100.36363636363636</x:v>
      </x:c>
      <x:c r="G1073" s="42" t="n">
        <x:f>$B$11</x:f>
        <x:v>100.53096491487338</x:v>
      </x:c>
      <x:c r="I1073" t="n">
        <x:f>A1073</x:f>
        <x:v>1056</x:v>
      </x:c>
      <x:c r="J1073" t="n">
        <x:f>F1073</x:f>
        <x:v>100.36363636363636</x:v>
      </x:c>
      <x:c r="K1073" t="n">
        <x:f>G1073</x:f>
        <x:v>100.53096491487338</x:v>
      </x:c>
    </x:row>
    <x:row r="1074">
      <x:c r="A1074" t="n">
        <x:v>1057</x:v>
      </x:c>
      <x:c r="B1074" s="40" t="n">
        <x:v>1.6413076407410099</x:v>
      </x:c>
      <x:c r="C1074" s="40" t="n">
        <x:v>0.7040825995541162</x:v>
      </x:c>
      <x:c r="D1074" s="40" t="n">
        <x:v>0.39415921281331023</x:v>
      </x:c>
      <x:c r="E1074" t="n">
        <x:f>--((B1074^2/$B$4^2+C1074^2/$B$5^2+D1074^2/$B$6^2)&lt;=1)</x:f>
        <x:v>1</x:v>
      </x:c>
      <x:c r="F1074" s="42" t="n">
        <x:f>$B$8*SUM($E$18:E1074)/A1074</x:f>
        <x:v>100.45033112582782</x:v>
      </x:c>
      <x:c r="G1074" s="42" t="n">
        <x:f>$B$11</x:f>
        <x:v>100.53096491487338</x:v>
      </x:c>
      <x:c r="I1074" t="n">
        <x:f>A1074</x:f>
        <x:v>1057</x:v>
      </x:c>
      <x:c r="J1074" t="n">
        <x:f>F1074</x:f>
        <x:v>100.45033112582782</x:v>
      </x:c>
      <x:c r="K1074" t="n">
        <x:f>G1074</x:f>
        <x:v>100.53096491487338</x:v>
      </x:c>
    </x:row>
    <x:row r="1075">
      <x:c r="A1075" t="n">
        <x:v>1058</x:v>
      </x:c>
      <x:c r="B1075" s="40" t="n">
        <x:v>-1.1899103683032561</x:v>
      </x:c>
      <x:c r="C1075" s="40" t="n">
        <x:v>-2.0900177473233326</x:v>
      </x:c>
      <x:c r="D1075" s="40" t="n">
        <x:v>0.39707048554597524</x:v>
      </x:c>
      <x:c r="E1075" t="n">
        <x:f>--((B1075^2/$B$4^2+C1075^2/$B$5^2+D1075^2/$B$6^2)&lt;=1)</x:f>
        <x:v>1</x:v>
      </x:c>
      <x:c r="F1075" s="42" t="n">
        <x:f>$B$8*SUM($E$18:E1075)/A1075</x:f>
        <x:v>100.53686200378071</x:v>
      </x:c>
      <x:c r="G1075" s="42" t="n">
        <x:f>$B$11</x:f>
        <x:v>100.53096491487338</x:v>
      </x:c>
      <x:c r="I1075" t="n">
        <x:f>A1075</x:f>
        <x:v>1058</x:v>
      </x:c>
      <x:c r="J1075" t="n">
        <x:f>F1075</x:f>
        <x:v>100.53686200378071</x:v>
      </x:c>
      <x:c r="K1075" t="n">
        <x:f>G1075</x:f>
        <x:v>100.53096491487338</x:v>
      </x:c>
    </x:row>
    <x:row r="1076">
      <x:c r="A1076" t="n">
        <x:v>1059</x:v>
      </x:c>
      <x:c r="B1076" s="40" t="n">
        <x:v>0.16831613980287674</x:v>
      </x:c>
      <x:c r="C1076" s="40" t="n">
        <x:v>-1.70657573801869</x:v>
      </x:c>
      <x:c r="D1076" s="40" t="n">
        <x:v>0.8211252186062801</x:v>
      </x:c>
      <x:c r="E1076" t="n">
        <x:f>--((B1076^2/$B$4^2+C1076^2/$B$5^2+D1076^2/$B$6^2)&lt;=1)</x:f>
        <x:v>1</x:v>
      </x:c>
      <x:c r="F1076" s="42" t="n">
        <x:f>$B$8*SUM($E$18:E1076)/A1076</x:f>
        <x:v>100.62322946175638</x:v>
      </x:c>
      <x:c r="G1076" s="42" t="n">
        <x:f>$B$11</x:f>
        <x:v>100.53096491487338</x:v>
      </x:c>
      <x:c r="I1076" t="n">
        <x:f>A1076</x:f>
        <x:v>1059</x:v>
      </x:c>
      <x:c r="J1076" t="n">
        <x:f>F1076</x:f>
        <x:v>100.62322946175638</x:v>
      </x:c>
      <x:c r="K1076" t="n">
        <x:f>G1076</x:f>
        <x:v>100.53096491487338</x:v>
      </x:c>
    </x:row>
    <x:row r="1077">
      <x:c r="A1077" t="n">
        <x:v>1060</x:v>
      </x:c>
      <x:c r="B1077" s="40" t="n">
        <x:v>0.8055644049737292</x:v>
      </x:c>
      <x:c r="C1077" s="40" t="n">
        <x:v>-1.3806039362619482</x:v>
      </x:c>
      <x:c r="D1077" s="40" t="n">
        <x:v>-3.5561121078054825</x:v>
      </x:c>
      <x:c r="E1077" t="n">
        <x:f>--((B1077^2/$B$4^2+C1077^2/$B$5^2+D1077^2/$B$6^2)&lt;=1)</x:f>
        <x:v>0</x:v>
      </x:c>
      <x:c r="F1077" s="42" t="n">
        <x:f>$B$8*SUM($E$18:E1077)/A1077</x:f>
        <x:v>100.52830188679245</x:v>
      </x:c>
      <x:c r="G1077" s="42" t="n">
        <x:f>$B$11</x:f>
        <x:v>100.53096491487338</x:v>
      </x:c>
      <x:c r="I1077" t="n">
        <x:f>A1077</x:f>
        <x:v>1060</x:v>
      </x:c>
      <x:c r="J1077" t="n">
        <x:f>F1077</x:f>
        <x:v>100.52830188679245</x:v>
      </x:c>
      <x:c r="K1077" t="n">
        <x:f>G1077</x:f>
        <x:v>100.53096491487338</x:v>
      </x:c>
    </x:row>
    <x:row r="1078">
      <x:c r="A1078" t="n">
        <x:v>1061</x:v>
      </x:c>
      <x:c r="B1078" s="40" t="n">
        <x:v>1.8116898739422629</x:v>
      </x:c>
      <x:c r="C1078" s="40" t="n">
        <x:v>0.586676043780229</x:v>
      </x:c>
      <x:c r="D1078" s="40" t="n">
        <x:v>-2.651049905347457</x:v>
      </x:c>
      <x:c r="E1078" t="n">
        <x:f>--((B1078^2/$B$4^2+C1078^2/$B$5^2+D1078^2/$B$6^2)&lt;=1)</x:f>
        <x:v>0</x:v>
      </x:c>
      <x:c r="F1078" s="42" t="n">
        <x:f>$B$8*SUM($E$18:E1078)/A1078</x:f>
        <x:v>100.43355325164939</x:v>
      </x:c>
      <x:c r="G1078" s="42" t="n">
        <x:f>$B$11</x:f>
        <x:v>100.53096491487338</x:v>
      </x:c>
      <x:c r="I1078" t="n">
        <x:f>A1078</x:f>
        <x:v>1061</x:v>
      </x:c>
      <x:c r="J1078" t="n">
        <x:f>F1078</x:f>
        <x:v>100.43355325164939</x:v>
      </x:c>
      <x:c r="K1078" t="n">
        <x:f>G1078</x:f>
        <x:v>100.53096491487338</x:v>
      </x:c>
    </x:row>
    <x:row r="1079">
      <x:c r="A1079" t="n">
        <x:v>1062</x:v>
      </x:c>
      <x:c r="B1079" s="40" t="n">
        <x:v>0.4402419315486954</x:v>
      </x:c>
      <x:c r="C1079" s="40" t="n">
        <x:v>-0.3485935575295773</x:v>
      </x:c>
      <x:c r="D1079" s="40" t="n">
        <x:v>-2.7104620566130864</x:v>
      </x:c>
      <x:c r="E1079" t="n">
        <x:f>--((B1079^2/$B$4^2+C1079^2/$B$5^2+D1079^2/$B$6^2)&lt;=1)</x:f>
        <x:v>1</x:v>
      </x:c>
      <x:c r="F1079" s="42" t="n">
        <x:f>$B$8*SUM($E$18:E1079)/A1079</x:f>
        <x:v>100.51977401129943</x:v>
      </x:c>
      <x:c r="G1079" s="42" t="n">
        <x:f>$B$11</x:f>
        <x:v>100.53096491487338</x:v>
      </x:c>
      <x:c r="I1079" t="n">
        <x:f>A1079</x:f>
        <x:v>1062</x:v>
      </x:c>
      <x:c r="J1079" t="n">
        <x:f>F1079</x:f>
        <x:v>100.51977401129943</x:v>
      </x:c>
      <x:c r="K1079" t="n">
        <x:f>G1079</x:f>
        <x:v>100.53096491487338</x:v>
      </x:c>
    </x:row>
    <x:row r="1080">
      <x:c r="A1080" t="n">
        <x:v>1063</x:v>
      </x:c>
      <x:c r="B1080" s="40" t="n">
        <x:v>-0.9795722758904772</x:v>
      </x:c>
      <x:c r="C1080" s="40" t="n">
        <x:v>-1.5331449450849628</x:v>
      </x:c>
      <x:c r="D1080" s="40" t="n">
        <x:v>-1.583589924673185</x:v>
      </x:c>
      <x:c r="E1080" t="n">
        <x:f>--((B1080^2/$B$4^2+C1080^2/$B$5^2+D1080^2/$B$6^2)&lt;=1)</x:f>
        <x:v>1</x:v>
      </x:c>
      <x:c r="F1080" s="42" t="n">
        <x:f>$B$8*SUM($E$18:E1080)/A1080</x:f>
        <x:v>100.60583254938852</x:v>
      </x:c>
      <x:c r="G1080" s="42" t="n">
        <x:f>$B$11</x:f>
        <x:v>100.53096491487338</x:v>
      </x:c>
      <x:c r="I1080" t="n">
        <x:f>A1080</x:f>
        <x:v>1063</x:v>
      </x:c>
      <x:c r="J1080" t="n">
        <x:f>F1080</x:f>
        <x:v>100.60583254938852</x:v>
      </x:c>
      <x:c r="K1080" t="n">
        <x:f>G1080</x:f>
        <x:v>100.53096491487338</x:v>
      </x:c>
    </x:row>
    <x:row r="1081">
      <x:c r="A1081" t="n">
        <x:v>1064</x:v>
      </x:c>
      <x:c r="B1081" s="40" t="n">
        <x:v>0.5019126276557451</x:v>
      </x:c>
      <x:c r="C1081" s="40" t="n">
        <x:v>2.2968559928674805</x:v>
      </x:c>
      <x:c r="D1081" s="40" t="n">
        <x:v>-2.840686745133281</x:v>
      </x:c>
      <x:c r="E1081" t="n">
        <x:f>--((B1081^2/$B$4^2+C1081^2/$B$5^2+D1081^2/$B$6^2)&lt;=1)</x:f>
        <x:v>0</x:v>
      </x:c>
      <x:c r="F1081" s="42" t="n">
        <x:f>$B$8*SUM($E$18:E1081)/A1081</x:f>
        <x:v>100.51127819548873</x:v>
      </x:c>
      <x:c r="G1081" s="42" t="n">
        <x:f>$B$11</x:f>
        <x:v>100.53096491487338</x:v>
      </x:c>
      <x:c r="I1081" t="n">
        <x:f>A1081</x:f>
        <x:v>1064</x:v>
      </x:c>
      <x:c r="J1081" t="n">
        <x:f>F1081</x:f>
        <x:v>100.51127819548873</x:v>
      </x:c>
      <x:c r="K1081" t="n">
        <x:f>G1081</x:f>
        <x:v>100.53096491487338</x:v>
      </x:c>
    </x:row>
    <x:row r="1082">
      <x:c r="A1082" t="n">
        <x:v>1065</x:v>
      </x:c>
      <x:c r="B1082" s="40" t="n">
        <x:v>-0.7180353532879353</x:v>
      </x:c>
      <x:c r="C1082" s="40" t="n">
        <x:v>-0.7564689582406596</x:v>
      </x:c>
      <x:c r="D1082" s="40" t="n">
        <x:v>3.3753705661943174</x:v>
      </x:c>
      <x:c r="E1082" t="n">
        <x:f>--((B1082^2/$B$4^2+C1082^2/$B$5^2+D1082^2/$B$6^2)&lt;=1)</x:f>
        <x:v>1</x:v>
      </x:c>
      <x:c r="F1082" s="42" t="n">
        <x:f>$B$8*SUM($E$18:E1082)/A1082</x:f>
        <x:v>100.59718309859154</x:v>
      </x:c>
      <x:c r="G1082" s="42" t="n">
        <x:f>$B$11</x:f>
        <x:v>100.53096491487338</x:v>
      </x:c>
      <x:c r="I1082" t="n">
        <x:f>A1082</x:f>
        <x:v>1065</x:v>
      </x:c>
      <x:c r="J1082" t="n">
        <x:f>F1082</x:f>
        <x:v>100.59718309859154</x:v>
      </x:c>
      <x:c r="K1082" t="n">
        <x:f>G1082</x:f>
        <x:v>100.53096491487338</x:v>
      </x:c>
    </x:row>
    <x:row r="1083">
      <x:c r="A1083" t="n">
        <x:v>1066</x:v>
      </x:c>
      <x:c r="B1083" s="40" t="n">
        <x:v>1.904513562766831</x:v>
      </x:c>
      <x:c r="C1083" s="40" t="n">
        <x:v>-0.3238096846206533</x:v>
      </x:c>
      <x:c r="D1083" s="40" t="n">
        <x:v>0.10363560409040584</x:v>
      </x:c>
      <x:c r="E1083" t="n">
        <x:f>--((B1083^2/$B$4^2+C1083^2/$B$5^2+D1083^2/$B$6^2)&lt;=1)</x:f>
        <x:v>1</x:v>
      </x:c>
      <x:c r="F1083" s="42" t="n">
        <x:f>$B$8*SUM($E$18:E1083)/A1083</x:f>
        <x:v>100.6829268292683</x:v>
      </x:c>
      <x:c r="G1083" s="42" t="n">
        <x:f>$B$11</x:f>
        <x:v>100.53096491487338</x:v>
      </x:c>
      <x:c r="I1083" t="n">
        <x:f>A1083</x:f>
        <x:v>1066</x:v>
      </x:c>
      <x:c r="J1083" t="n">
        <x:f>F1083</x:f>
        <x:v>100.6829268292683</x:v>
      </x:c>
      <x:c r="K1083" t="n">
        <x:f>G1083</x:f>
        <x:v>100.53096491487338</x:v>
      </x:c>
    </x:row>
    <x:row r="1084">
      <x:c r="A1084" t="n">
        <x:v>1067</x:v>
      </x:c>
      <x:c r="B1084" s="40" t="n">
        <x:v>-0.4012954593454525</x:v>
      </x:c>
      <x:c r="C1084" s="40" t="n">
        <x:v>-0.5417935407060326</x:v>
      </x:c>
      <x:c r="D1084" s="40" t="n">
        <x:v>0.9886011816214753</x:v>
      </x:c>
      <x:c r="E1084" t="n">
        <x:f>--((B1084^2/$B$4^2+C1084^2/$B$5^2+D1084^2/$B$6^2)&lt;=1)</x:f>
        <x:v>1</x:v>
      </x:c>
      <x:c r="F1084" s="42" t="n">
        <x:f>$B$8*SUM($E$18:E1084)/A1084</x:f>
        <x:v>100.7685098406748</x:v>
      </x:c>
      <x:c r="G1084" s="42" t="n">
        <x:f>$B$11</x:f>
        <x:v>100.53096491487338</x:v>
      </x:c>
      <x:c r="I1084" t="n">
        <x:f>A1084</x:f>
        <x:v>1067</x:v>
      </x:c>
      <x:c r="J1084" t="n">
        <x:f>F1084</x:f>
        <x:v>100.7685098406748</x:v>
      </x:c>
      <x:c r="K1084" t="n">
        <x:f>G1084</x:f>
        <x:v>100.53096491487338</x:v>
      </x:c>
    </x:row>
    <x:row r="1085">
      <x:c r="A1085" t="n">
        <x:v>1068</x:v>
      </x:c>
      <x:c r="B1085" s="40" t="n">
        <x:v>0.7417108830440569</x:v>
      </x:c>
      <x:c r="C1085" s="40" t="n">
        <x:v>-1.9083422683394842</x:v>
      </x:c>
      <x:c r="D1085" s="40" t="n">
        <x:v>-1.1400945968150333</x:v>
      </x:c>
      <x:c r="E1085" t="n">
        <x:f>--((B1085^2/$B$4^2+C1085^2/$B$5^2+D1085^2/$B$6^2)&lt;=1)</x:f>
        <x:v>1</x:v>
      </x:c>
      <x:c r="F1085" s="42" t="n">
        <x:f>$B$8*SUM($E$18:E1085)/A1085</x:f>
        <x:v>100.85393258426966</x:v>
      </x:c>
      <x:c r="G1085" s="42" t="n">
        <x:f>$B$11</x:f>
        <x:v>100.53096491487338</x:v>
      </x:c>
      <x:c r="I1085" t="n">
        <x:f>A1085</x:f>
        <x:v>1068</x:v>
      </x:c>
      <x:c r="J1085" t="n">
        <x:f>F1085</x:f>
        <x:v>100.85393258426966</x:v>
      </x:c>
      <x:c r="K1085" t="n">
        <x:f>G1085</x:f>
        <x:v>100.53096491487338</x:v>
      </x:c>
    </x:row>
    <x:row r="1086">
      <x:c r="A1086" t="n">
        <x:v>1069</x:v>
      </x:c>
      <x:c r="B1086" s="40" t="n">
        <x:v>-1.907089670612966</x:v>
      </x:c>
      <x:c r="C1086" s="40" t="n">
        <x:v>1.3897620925813996</x:v>
      </x:c>
      <x:c r="D1086" s="40" t="n">
        <x:v>-1.7900308717287077</x:v>
      </x:c>
      <x:c r="E1086" t="n">
        <x:f>--((B1086^2/$B$4^2+C1086^2/$B$5^2+D1086^2/$B$6^2)&lt;=1)</x:f>
        <x:v>0</x:v>
      </x:c>
      <x:c r="F1086" s="42" t="n">
        <x:f>$B$8*SUM($E$18:E1086)/A1086</x:f>
        <x:v>100.75958840037418</x:v>
      </x:c>
      <x:c r="G1086" s="42" t="n">
        <x:f>$B$11</x:f>
        <x:v>100.53096491487338</x:v>
      </x:c>
      <x:c r="I1086" t="n">
        <x:f>A1086</x:f>
        <x:v>1069</x:v>
      </x:c>
      <x:c r="J1086" t="n">
        <x:f>F1086</x:f>
        <x:v>100.75958840037418</x:v>
      </x:c>
      <x:c r="K1086" t="n">
        <x:f>G1086</x:f>
        <x:v>100.53096491487338</x:v>
      </x:c>
    </x:row>
    <x:row r="1087">
      <x:c r="A1087" t="n">
        <x:v>1070</x:v>
      </x:c>
      <x:c r="B1087" s="40" t="n">
        <x:v>-0.39975421546097856</x:v>
      </x:c>
      <x:c r="C1087" s="40" t="n">
        <x:v>-0.3092504263868521</x:v>
      </x:c>
      <x:c r="D1087" s="40" t="n">
        <x:v>0.025417361857703824</x:v>
      </x:c>
      <x:c r="E1087" t="n">
        <x:f>--((B1087^2/$B$4^2+C1087^2/$B$5^2+D1087^2/$B$6^2)&lt;=1)</x:f>
        <x:v>1</x:v>
      </x:c>
      <x:c r="F1087" s="42" t="n">
        <x:f>$B$8*SUM($E$18:E1087)/A1087</x:f>
        <x:v>100.84485981308411</x:v>
      </x:c>
      <x:c r="G1087" s="42" t="n">
        <x:f>$B$11</x:f>
        <x:v>100.53096491487338</x:v>
      </x:c>
      <x:c r="I1087" t="n">
        <x:f>A1087</x:f>
        <x:v>1070</x:v>
      </x:c>
      <x:c r="J1087" t="n">
        <x:f>F1087</x:f>
        <x:v>100.84485981308411</x:v>
      </x:c>
      <x:c r="K1087" t="n">
        <x:f>G1087</x:f>
        <x:v>100.53096491487338</x:v>
      </x:c>
    </x:row>
    <x:row r="1088">
      <x:c r="A1088" t="n">
        <x:v>1071</x:v>
      </x:c>
      <x:c r="B1088" s="40" t="n">
        <x:v>1.5004304532900465</x:v>
      </x:c>
      <x:c r="C1088" s="40" t="n">
        <x:v>-2.9024573406436893</x:v>
      </x:c>
      <x:c r="D1088" s="40" t="n">
        <x:v>-1.6454162013213312</x:v>
      </x:c>
      <x:c r="E1088" t="n">
        <x:f>--((B1088^2/$B$4^2+C1088^2/$B$5^2+D1088^2/$B$6^2)&lt;=1)</x:f>
        <x:v>0</x:v>
      </x:c>
      <x:c r="F1088" s="42" t="n">
        <x:f>$B$8*SUM($E$18:E1088)/A1088</x:f>
        <x:v>100.75070028011204</x:v>
      </x:c>
      <x:c r="G1088" s="42" t="n">
        <x:f>$B$11</x:f>
        <x:v>100.53096491487338</x:v>
      </x:c>
      <x:c r="I1088" t="n">
        <x:f>A1088</x:f>
        <x:v>1071</x:v>
      </x:c>
      <x:c r="J1088" t="n">
        <x:f>F1088</x:f>
        <x:v>100.75070028011204</x:v>
      </x:c>
      <x:c r="K1088" t="n">
        <x:f>G1088</x:f>
        <x:v>100.53096491487338</x:v>
      </x:c>
    </x:row>
    <x:row r="1089">
      <x:c r="A1089" t="n">
        <x:v>1072</x:v>
      </x:c>
      <x:c r="B1089" s="40" t="n">
        <x:v>0.44090977773298334</x:v>
      </x:c>
      <x:c r="C1089" s="40" t="n">
        <x:v>2.784082214158782</x:v>
      </x:c>
      <x:c r="D1089" s="40" t="n">
        <x:v>-1.2508325941618859</x:v>
      </x:c>
      <x:c r="E1089" t="n">
        <x:f>--((B1089^2/$B$4^2+C1089^2/$B$5^2+D1089^2/$B$6^2)&lt;=1)</x:f>
        <x:v>0</x:v>
      </x:c>
      <x:c r="F1089" s="42" t="n">
        <x:f>$B$8*SUM($E$18:E1089)/A1089</x:f>
        <x:v>100.65671641791045</x:v>
      </x:c>
      <x:c r="G1089" s="42" t="n">
        <x:f>$B$11</x:f>
        <x:v>100.53096491487338</x:v>
      </x:c>
      <x:c r="I1089" t="n">
        <x:f>A1089</x:f>
        <x:v>1072</x:v>
      </x:c>
      <x:c r="J1089" t="n">
        <x:f>F1089</x:f>
        <x:v>100.65671641791045</x:v>
      </x:c>
      <x:c r="K1089" t="n">
        <x:f>G1089</x:f>
        <x:v>100.53096491487338</x:v>
      </x:c>
    </x:row>
    <x:row r="1090">
      <x:c r="A1090" t="n">
        <x:v>1073</x:v>
      </x:c>
      <x:c r="B1090" s="40" t="n">
        <x:v>-0.22422845441609462</x:v>
      </x:c>
      <x:c r="C1090" s="40" t="n">
        <x:v>1.8945816695724815</x:v>
      </x:c>
      <x:c r="D1090" s="40" t="n">
        <x:v>-0.3779930058331429</x:v>
      </x:c>
      <x:c r="E1090" t="n">
        <x:f>--((B1090^2/$B$4^2+C1090^2/$B$5^2+D1090^2/$B$6^2)&lt;=1)</x:f>
        <x:v>1</x:v>
      </x:c>
      <x:c r="F1090" s="42" t="n">
        <x:f>$B$8*SUM($E$18:E1090)/A1090</x:f>
        <x:v>100.74184529356943</x:v>
      </x:c>
      <x:c r="G1090" s="42" t="n">
        <x:f>$B$11</x:f>
        <x:v>100.53096491487338</x:v>
      </x:c>
      <x:c r="I1090" t="n">
        <x:f>A1090</x:f>
        <x:v>1073</x:v>
      </x:c>
      <x:c r="J1090" t="n">
        <x:f>F1090</x:f>
        <x:v>100.74184529356943</x:v>
      </x:c>
      <x:c r="K1090" t="n">
        <x:f>G1090</x:f>
        <x:v>100.53096491487338</x:v>
      </x:c>
    </x:row>
    <x:row r="1091">
      <x:c r="A1091" t="n">
        <x:v>1074</x:v>
      </x:c>
      <x:c r="B1091" s="40" t="n">
        <x:v>1.7437499977429036</x:v>
      </x:c>
      <x:c r="C1091" s="40" t="n">
        <x:v>1.3413561245508197</x:v>
      </x:c>
      <x:c r="D1091" s="40" t="n">
        <x:v>0.045869497474844145</x:v>
      </x:c>
      <x:c r="E1091" t="n">
        <x:f>--((B1091^2/$B$4^2+C1091^2/$B$5^2+D1091^2/$B$6^2)&lt;=1)</x:f>
        <x:v>1</x:v>
      </x:c>
      <x:c r="F1091" s="42" t="n">
        <x:f>$B$8*SUM($E$18:E1091)/A1091</x:f>
        <x:v>100.8268156424581</x:v>
      </x:c>
      <x:c r="G1091" s="42" t="n">
        <x:f>$B$11</x:f>
        <x:v>100.53096491487338</x:v>
      </x:c>
      <x:c r="I1091" t="n">
        <x:f>A1091</x:f>
        <x:v>1074</x:v>
      </x:c>
      <x:c r="J1091" t="n">
        <x:f>F1091</x:f>
        <x:v>100.8268156424581</x:v>
      </x:c>
      <x:c r="K1091" t="n">
        <x:f>G1091</x:f>
        <x:v>100.53096491487338</x:v>
      </x:c>
    </x:row>
    <x:row r="1092">
      <x:c r="A1092" t="n">
        <x:v>1075</x:v>
      </x:c>
      <x:c r="B1092" s="40" t="n">
        <x:v>1.4159375045889164</x:v>
      </x:c>
      <x:c r="C1092" s="40" t="n">
        <x:v>2.214551223111174</x:v>
      </x:c>
      <x:c r="D1092" s="40" t="n">
        <x:v>3.87451209425471</x:v>
      </x:c>
      <x:c r="E1092" t="n">
        <x:f>--((B1092^2/$B$4^2+C1092^2/$B$5^2+D1092^2/$B$6^2)&lt;=1)</x:f>
        <x:v>0</x:v>
      </x:c>
      <x:c r="F1092" s="42" t="n">
        <x:f>$B$8*SUM($E$18:E1092)/A1092</x:f>
        <x:v>100.73302325581395</x:v>
      </x:c>
      <x:c r="G1092" s="42" t="n">
        <x:f>$B$11</x:f>
        <x:v>100.53096491487338</x:v>
      </x:c>
      <x:c r="I1092" t="n">
        <x:f>A1092</x:f>
        <x:v>1075</x:v>
      </x:c>
      <x:c r="J1092" t="n">
        <x:f>F1092</x:f>
        <x:v>100.73302325581395</x:v>
      </x:c>
      <x:c r="K1092" t="n">
        <x:f>G1092</x:f>
        <x:v>100.53096491487338</x:v>
      </x:c>
    </x:row>
    <x:row r="1093">
      <x:c r="A1093" t="n">
        <x:v>1076</x:v>
      </x:c>
      <x:c r="B1093" s="40" t="n">
        <x:v>-0.711137304708247</x:v>
      </x:c>
      <x:c r="C1093" s="40" t="n">
        <x:v>2.440843521633301</x:v>
      </x:c>
      <x:c r="D1093" s="40" t="n">
        <x:v>-2.213419294704476</x:v>
      </x:c>
      <x:c r="E1093" t="n">
        <x:f>--((B1093^2/$B$4^2+C1093^2/$B$5^2+D1093^2/$B$6^2)&lt;=1)</x:f>
        <x:v>0</x:v>
      </x:c>
      <x:c r="F1093" s="42" t="n">
        <x:f>$B$8*SUM($E$18:E1093)/A1093</x:f>
        <x:v>100.63940520446097</x:v>
      </x:c>
      <x:c r="G1093" s="42" t="n">
        <x:f>$B$11</x:f>
        <x:v>100.53096491487338</x:v>
      </x:c>
      <x:c r="I1093" t="n">
        <x:f>A1093</x:f>
        <x:v>1076</x:v>
      </x:c>
      <x:c r="J1093" t="n">
        <x:f>F1093</x:f>
        <x:v>100.63940520446097</x:v>
      </x:c>
      <x:c r="K1093" t="n">
        <x:f>G1093</x:f>
        <x:v>100.53096491487338</x:v>
      </x:c>
    </x:row>
    <x:row r="1094">
      <x:c r="A1094" t="n">
        <x:v>1077</x:v>
      </x:c>
      <x:c r="B1094" s="40" t="n">
        <x:v>0.17819360816535834</x:v>
      </x:c>
      <x:c r="C1094" s="40" t="n">
        <x:v>-0.9750617616933681</x:v>
      </x:c>
      <x:c r="D1094" s="40" t="n">
        <x:v>-0.09619068093882266</x:v>
      </x:c>
      <x:c r="E1094" t="n">
        <x:f>--((B1094^2/$B$4^2+C1094^2/$B$5^2+D1094^2/$B$6^2)&lt;=1)</x:f>
        <x:v>1</x:v>
      </x:c>
      <x:c r="F1094" s="42" t="n">
        <x:f>$B$8*SUM($E$18:E1094)/A1094</x:f>
        <x:v>100.72423398328691</x:v>
      </x:c>
      <x:c r="G1094" s="42" t="n">
        <x:f>$B$11</x:f>
        <x:v>100.53096491487338</x:v>
      </x:c>
      <x:c r="I1094" t="n">
        <x:f>A1094</x:f>
        <x:v>1077</x:v>
      </x:c>
      <x:c r="J1094" t="n">
        <x:f>F1094</x:f>
        <x:v>100.72423398328691</x:v>
      </x:c>
      <x:c r="K1094" t="n">
        <x:f>G1094</x:f>
        <x:v>100.53096491487338</x:v>
      </x:c>
    </x:row>
    <x:row r="1095">
      <x:c r="A1095" t="n">
        <x:v>1078</x:v>
      </x:c>
      <x:c r="B1095" s="40" t="n">
        <x:v>-0.04070297563014913</x:v>
      </x:c>
      <x:c r="C1095" s="40" t="n">
        <x:v>0.6657520705001918</x:v>
      </x:c>
      <x:c r="D1095" s="40" t="n">
        <x:v>-2.8039060840852885</x:v>
      </x:c>
      <x:c r="E1095" t="n">
        <x:f>--((B1095^2/$B$4^2+C1095^2/$B$5^2+D1095^2/$B$6^2)&lt;=1)</x:f>
        <x:v>1</x:v>
      </x:c>
      <x:c r="F1095" s="42" t="n">
        <x:f>$B$8*SUM($E$18:E1095)/A1095</x:f>
        <x:v>100.80890538033395</x:v>
      </x:c>
      <x:c r="G1095" s="42" t="n">
        <x:f>$B$11</x:f>
        <x:v>100.53096491487338</x:v>
      </x:c>
      <x:c r="I1095" t="n">
        <x:f>A1095</x:f>
        <x:v>1078</x:v>
      </x:c>
      <x:c r="J1095" t="n">
        <x:f>F1095</x:f>
        <x:v>100.80890538033395</x:v>
      </x:c>
      <x:c r="K1095" t="n">
        <x:f>G1095</x:f>
        <x:v>100.53096491487338</x:v>
      </x:c>
    </x:row>
    <x:row r="1096">
      <x:c r="A1096" t="n">
        <x:v>1079</x:v>
      </x:c>
      <x:c r="B1096" s="40" t="n">
        <x:v>0.5288100004594494</x:v>
      </x:c>
      <x:c r="C1096" s="40" t="n">
        <x:v>0.6528468552335651</x:v>
      </x:c>
      <x:c r="D1096" s="40" t="n">
        <x:v>-1.200006138336219</x:v>
      </x:c>
      <x:c r="E1096" t="n">
        <x:f>--((B1096^2/$B$4^2+C1096^2/$B$5^2+D1096^2/$B$6^2)&lt;=1)</x:f>
        <x:v>1</x:v>
      </x:c>
      <x:c r="F1096" s="42" t="n">
        <x:f>$B$8*SUM($E$18:E1096)/A1096</x:f>
        <x:v>100.89341983317887</x:v>
      </x:c>
      <x:c r="G1096" s="42" t="n">
        <x:f>$B$11</x:f>
        <x:v>100.53096491487338</x:v>
      </x:c>
      <x:c r="I1096" t="n">
        <x:f>A1096</x:f>
        <x:v>1079</x:v>
      </x:c>
      <x:c r="J1096" t="n">
        <x:f>F1096</x:f>
        <x:v>100.89341983317887</x:v>
      </x:c>
      <x:c r="K1096" t="n">
        <x:f>G1096</x:f>
        <x:v>100.53096491487338</x:v>
      </x:c>
    </x:row>
    <x:row r="1097">
      <x:c r="A1097" t="n">
        <x:v>1080</x:v>
      </x:c>
      <x:c r="B1097" s="40" t="n">
        <x:v>-0.6635549321649776</x:v>
      </x:c>
      <x:c r="C1097" s="40" t="n">
        <x:v>-1.3962019871364182</x:v>
      </x:c>
      <x:c r="D1097" s="40" t="n">
        <x:v>1.7384857496512343</x:v>
      </x:c>
      <x:c r="E1097" t="n">
        <x:f>--((B1097^2/$B$4^2+C1097^2/$B$5^2+D1097^2/$B$6^2)&lt;=1)</x:f>
        <x:v>1</x:v>
      </x:c>
      <x:c r="F1097" s="42" t="n">
        <x:f>$B$8*SUM($E$18:E1097)/A1097</x:f>
        <x:v>100.97777777777777</x:v>
      </x:c>
      <x:c r="G1097" s="42" t="n">
        <x:f>$B$11</x:f>
        <x:v>100.53096491487338</x:v>
      </x:c>
      <x:c r="I1097" t="n">
        <x:f>A1097</x:f>
        <x:v>1080</x:v>
      </x:c>
      <x:c r="J1097" t="n">
        <x:f>F1097</x:f>
        <x:v>100.97777777777777</x:v>
      </x:c>
      <x:c r="K1097" t="n">
        <x:f>G1097</x:f>
        <x:v>100.53096491487338</x:v>
      </x:c>
    </x:row>
    <x:row r="1098">
      <x:c r="A1098" t="n">
        <x:v>1081</x:v>
      </x:c>
      <x:c r="B1098" s="40" t="n">
        <x:v>-1.023179996936447</x:v>
      </x:c>
      <x:c r="C1098" s="40" t="n">
        <x:v>-1.6682864913175968</x:v>
      </x:c>
      <x:c r="D1098" s="40" t="n">
        <x:v>-2.6043028499154035</x:v>
      </x:c>
      <x:c r="E1098" t="n">
        <x:f>--((B1098^2/$B$4^2+C1098^2/$B$5^2+D1098^2/$B$6^2)&lt;=1)</x:f>
        <x:v>1</x:v>
      </x:c>
      <x:c r="F1098" s="42" t="n">
        <x:f>$B$8*SUM($E$18:E1098)/A1098</x:f>
        <x:v>101.06197964847364</x:v>
      </x:c>
      <x:c r="G1098" s="42" t="n">
        <x:f>$B$11</x:f>
        <x:v>100.53096491487338</x:v>
      </x:c>
      <x:c r="I1098" t="n">
        <x:f>A1098</x:f>
        <x:v>1081</x:v>
      </x:c>
      <x:c r="J1098" t="n">
        <x:f>F1098</x:f>
        <x:v>101.06197964847364</x:v>
      </x:c>
      <x:c r="K1098" t="n">
        <x:f>G1098</x:f>
        <x:v>100.53096491487338</x:v>
      </x:c>
    </x:row>
    <x:row r="1099">
      <x:c r="A1099" t="n">
        <x:v>1082</x:v>
      </x:c>
      <x:c r="B1099" s="40" t="n">
        <x:v>1.6506873410221443</x:v>
      </x:c>
      <x:c r="C1099" s="40" t="n">
        <x:v>-2.3165564710858675</x:v>
      </x:c>
      <x:c r="D1099" s="40" t="n">
        <x:v>0.6508104604003453</x:v>
      </x:c>
      <x:c r="E1099" t="n">
        <x:f>--((B1099^2/$B$4^2+C1099^2/$B$5^2+D1099^2/$B$6^2)&lt;=1)</x:f>
        <x:v>0</x:v>
      </x:c>
      <x:c r="F1099" s="42" t="n">
        <x:f>$B$8*SUM($E$18:E1099)/A1099</x:f>
        <x:v>100.96857670979668</x:v>
      </x:c>
      <x:c r="G1099" s="42" t="n">
        <x:f>$B$11</x:f>
        <x:v>100.53096491487338</x:v>
      </x:c>
      <x:c r="I1099" t="n">
        <x:f>A1099</x:f>
        <x:v>1082</x:v>
      </x:c>
      <x:c r="J1099" t="n">
        <x:f>F1099</x:f>
        <x:v>100.96857670979668</x:v>
      </x:c>
      <x:c r="K1099" t="n">
        <x:f>G1099</x:f>
        <x:v>100.53096491487338</x:v>
      </x:c>
    </x:row>
    <x:row r="1100">
      <x:c r="A1100" t="n">
        <x:v>1083</x:v>
      </x:c>
      <x:c r="B1100" s="40" t="n">
        <x:v>1.6954979979940252</x:v>
      </x:c>
      <x:c r="C1100" s="40" t="n">
        <x:v>0.9558851754987168</x:v>
      </x:c>
      <x:c r="D1100" s="40" t="n">
        <x:v>-0.6663918114559424</x:v>
      </x:c>
      <x:c r="E1100" t="n">
        <x:f>--((B1100^2/$B$4^2+C1100^2/$B$5^2+D1100^2/$B$6^2)&lt;=1)</x:f>
        <x:v>1</x:v>
      </x:c>
      <x:c r="F1100" s="42" t="n">
        <x:f>$B$8*SUM($E$18:E1100)/A1100</x:f>
        <x:v>101.05263157894737</x:v>
      </x:c>
      <x:c r="G1100" s="42" t="n">
        <x:f>$B$11</x:f>
        <x:v>100.53096491487338</x:v>
      </x:c>
      <x:c r="I1100" t="n">
        <x:f>A1100</x:f>
        <x:v>1083</x:v>
      </x:c>
      <x:c r="J1100" t="n">
        <x:f>F1100</x:f>
        <x:v>101.05263157894737</x:v>
      </x:c>
      <x:c r="K1100" t="n">
        <x:f>G1100</x:f>
        <x:v>100.53096491487338</x:v>
      </x:c>
    </x:row>
    <x:row r="1101">
      <x:c r="A1101" t="n">
        <x:v>1084</x:v>
      </x:c>
      <x:c r="B1101" s="40" t="n">
        <x:v>1.373291543047916</x:v>
      </x:c>
      <x:c r="C1101" s="40" t="n">
        <x:v>1.6855139461846793</x:v>
      </x:c>
      <x:c r="D1101" s="40" t="n">
        <x:v>-3.587363644764216</x:v>
      </x:c>
      <x:c r="E1101" t="n">
        <x:f>--((B1101^2/$B$4^2+C1101^2/$B$5^2+D1101^2/$B$6^2)&lt;=1)</x:f>
        <x:v>0</x:v>
      </x:c>
      <x:c r="F1101" s="42" t="n">
        <x:f>$B$8*SUM($E$18:E1101)/A1101</x:f>
        <x:v>100.95940959409594</x:v>
      </x:c>
      <x:c r="G1101" s="42" t="n">
        <x:f>$B$11</x:f>
        <x:v>100.53096491487338</x:v>
      </x:c>
      <x:c r="I1101" t="n">
        <x:f>A1101</x:f>
        <x:v>1084</x:v>
      </x:c>
      <x:c r="J1101" t="n">
        <x:f>F1101</x:f>
        <x:v>100.95940959409594</x:v>
      </x:c>
      <x:c r="K1101" t="n">
        <x:f>G1101</x:f>
        <x:v>100.53096491487338</x:v>
      </x:c>
    </x:row>
    <x:row r="1102">
      <x:c r="A1102" t="n">
        <x:v>1085</x:v>
      </x:c>
      <x:c r="B1102" s="40" t="n">
        <x:v>1.9128177230582453</x:v>
      </x:c>
      <x:c r="C1102" s="40" t="n">
        <x:v>1.5657178771020224</x:v>
      </x:c>
      <x:c r="D1102" s="40" t="n">
        <x:v>3.4646019318275565</x:v>
      </x:c>
      <x:c r="E1102" t="n">
        <x:f>--((B1102^2/$B$4^2+C1102^2/$B$5^2+D1102^2/$B$6^2)&lt;=1)</x:f>
        <x:v>0</x:v>
      </x:c>
      <x:c r="F1102" s="42" t="n">
        <x:f>$B$8*SUM($E$18:E1102)/A1102</x:f>
        <x:v>100.86635944700461</x:v>
      </x:c>
      <x:c r="G1102" s="42" t="n">
        <x:f>$B$11</x:f>
        <x:v>100.53096491487338</x:v>
      </x:c>
      <x:c r="I1102" t="n">
        <x:f>A1102</x:f>
        <x:v>1085</x:v>
      </x:c>
      <x:c r="J1102" t="n">
        <x:f>F1102</x:f>
        <x:v>100.86635944700461</x:v>
      </x:c>
      <x:c r="K1102" t="n">
        <x:f>G1102</x:f>
        <x:v>100.53096491487338</x:v>
      </x:c>
    </x:row>
    <x:row r="1103">
      <x:c r="A1103" t="n">
        <x:v>1086</x:v>
      </x:c>
      <x:c r="B1103" s="40" t="n">
        <x:v>0.9799661031187541</x:v>
      </x:c>
      <x:c r="C1103" s="40" t="n">
        <x:v>-1.102347736890154</x:v>
      </x:c>
      <x:c r="D1103" s="40" t="n">
        <x:v>-0.6911748776569091</x:v>
      </x:c>
      <x:c r="E1103" t="n">
        <x:f>--((B1103^2/$B$4^2+C1103^2/$B$5^2+D1103^2/$B$6^2)&lt;=1)</x:f>
        <x:v>1</x:v>
      </x:c>
      <x:c r="F1103" s="42" t="n">
        <x:f>$B$8*SUM($E$18:E1103)/A1103</x:f>
        <x:v>100.95027624309392</x:v>
      </x:c>
      <x:c r="G1103" s="42" t="n">
        <x:f>$B$11</x:f>
        <x:v>100.53096491487338</x:v>
      </x:c>
      <x:c r="I1103" t="n">
        <x:f>A1103</x:f>
        <x:v>1086</x:v>
      </x:c>
      <x:c r="J1103" t="n">
        <x:f>F1103</x:f>
        <x:v>100.95027624309392</x:v>
      </x:c>
      <x:c r="K1103" t="n">
        <x:f>G1103</x:f>
        <x:v>100.53096491487338</x:v>
      </x:c>
    </x:row>
    <x:row r="1104">
      <x:c r="A1104" t="n">
        <x:v>1087</x:v>
      </x:c>
      <x:c r="B1104" s="40" t="n">
        <x:v>1.0586689142479986</x:v>
      </x:c>
      <x:c r="C1104" s="40" t="n">
        <x:v>-1.7684408972087866</x:v>
      </x:c>
      <x:c r="D1104" s="40" t="n">
        <x:v>2.2714122860093298</x:v>
      </x:c>
      <x:c r="E1104" t="n">
        <x:f>--((B1104^2/$B$4^2+C1104^2/$B$5^2+D1104^2/$B$6^2)&lt;=1)</x:f>
        <x:v>1</x:v>
      </x:c>
      <x:c r="F1104" s="42" t="n">
        <x:f>$B$8*SUM($E$18:E1104)/A1104</x:f>
        <x:v>101.03403863845446</x:v>
      </x:c>
      <x:c r="G1104" s="42" t="n">
        <x:f>$B$11</x:f>
        <x:v>100.53096491487338</x:v>
      </x:c>
      <x:c r="I1104" t="n">
        <x:f>A1104</x:f>
        <x:v>1087</x:v>
      </x:c>
      <x:c r="J1104" t="n">
        <x:f>F1104</x:f>
        <x:v>101.03403863845446</x:v>
      </x:c>
      <x:c r="K1104" t="n">
        <x:f>G1104</x:f>
        <x:v>100.53096491487338</x:v>
      </x:c>
    </x:row>
    <x:row r="1105">
      <x:c r="A1105" t="n">
        <x:v>1088</x:v>
      </x:c>
      <x:c r="B1105" s="40" t="n">
        <x:v>1.0503603678505629</x:v>
      </x:c>
      <x:c r="C1105" s="40" t="n">
        <x:v>-0.2783149292722684</x:v>
      </x:c>
      <x:c r="D1105" s="40" t="n">
        <x:v>-0.6694920901455976</x:v>
      </x:c>
      <x:c r="E1105" t="n">
        <x:f>--((B1105^2/$B$4^2+C1105^2/$B$5^2+D1105^2/$B$6^2)&lt;=1)</x:f>
        <x:v>1</x:v>
      </x:c>
      <x:c r="F1105" s="42" t="n">
        <x:f>$B$8*SUM($E$18:E1105)/A1105</x:f>
        <x:v>101.11764705882354</x:v>
      </x:c>
      <x:c r="G1105" s="42" t="n">
        <x:f>$B$11</x:f>
        <x:v>100.53096491487338</x:v>
      </x:c>
      <x:c r="I1105" t="n">
        <x:f>A1105</x:f>
        <x:v>1088</x:v>
      </x:c>
      <x:c r="J1105" t="n">
        <x:f>F1105</x:f>
        <x:v>101.11764705882354</x:v>
      </x:c>
      <x:c r="K1105" t="n">
        <x:f>G1105</x:f>
        <x:v>100.53096491487338</x:v>
      </x:c>
    </x:row>
    <x:row r="1106">
      <x:c r="A1106" t="n">
        <x:v>1089</x:v>
      </x:c>
      <x:c r="B1106" s="40" t="n">
        <x:v>-0.07756947623077393</x:v>
      </x:c>
      <x:c r="C1106" s="40" t="n">
        <x:v>0.2808807614430635</x:v>
      </x:c>
      <x:c r="D1106" s="40" t="n">
        <x:v>3.4988825726302766</x:v>
      </x:c>
      <x:c r="E1106" t="n">
        <x:f>--((B1106^2/$B$4^2+C1106^2/$B$5^2+D1106^2/$B$6^2)&lt;=1)</x:f>
        <x:v>1</x:v>
      </x:c>
      <x:c r="F1106" s="42" t="n">
        <x:f>$B$8*SUM($E$18:E1106)/A1106</x:f>
        <x:v>101.20110192837465</x:v>
      </x:c>
      <x:c r="G1106" s="42" t="n">
        <x:f>$B$11</x:f>
        <x:v>100.53096491487338</x:v>
      </x:c>
      <x:c r="I1106" t="n">
        <x:f>A1106</x:f>
        <x:v>1089</x:v>
      </x:c>
      <x:c r="J1106" t="n">
        <x:f>F1106</x:f>
        <x:v>101.20110192837465</x:v>
      </x:c>
      <x:c r="K1106" t="n">
        <x:f>G1106</x:f>
        <x:v>100.53096491487338</x:v>
      </x:c>
    </x:row>
    <x:row r="1107">
      <x:c r="A1107" t="n">
        <x:v>1090</x:v>
      </x:c>
      <x:c r="B1107" s="40" t="n">
        <x:v>-0.17419122194291337</x:v>
      </x:c>
      <x:c r="C1107" s="40" t="n">
        <x:v>2.514522767811334</x:v>
      </x:c>
      <x:c r="D1107" s="40" t="n">
        <x:v>-1.6762373245688202</x:v>
      </x:c>
      <x:c r="E1107" t="n">
        <x:f>--((B1107^2/$B$4^2+C1107^2/$B$5^2+D1107^2/$B$6^2)&lt;=1)</x:f>
        <x:v>1</x:v>
      </x:c>
      <x:c r="F1107" s="42" t="n">
        <x:f>$B$8*SUM($E$18:E1107)/A1107</x:f>
        <x:v>101.28440366972477</x:v>
      </x:c>
      <x:c r="G1107" s="42" t="n">
        <x:f>$B$11</x:f>
        <x:v>100.53096491487338</x:v>
      </x:c>
      <x:c r="I1107" t="n">
        <x:f>A1107</x:f>
        <x:v>1090</x:v>
      </x:c>
      <x:c r="J1107" t="n">
        <x:f>F1107</x:f>
        <x:v>101.28440366972477</x:v>
      </x:c>
      <x:c r="K1107" t="n">
        <x:f>G1107</x:f>
        <x:v>100.53096491487338</x:v>
      </x:c>
    </x:row>
    <x:row r="1108">
      <x:c r="A1108" t="n">
        <x:v>1091</x:v>
      </x:c>
      <x:c r="B1108" s="40" t="n">
        <x:v>-1.0390948954039874</x:v>
      </x:c>
      <x:c r="C1108" s="40" t="n">
        <x:v>2.2489389256443246</x:v>
      </x:c>
      <x:c r="D1108" s="40" t="n">
        <x:v>-0.7021548024984252</x:v>
      </x:c>
      <x:c r="E1108" t="n">
        <x:f>--((B1108^2/$B$4^2+C1108^2/$B$5^2+D1108^2/$B$6^2)&lt;=1)</x:f>
        <x:v>1</x:v>
      </x:c>
      <x:c r="F1108" s="42" t="n">
        <x:f>$B$8*SUM($E$18:E1108)/A1108</x:f>
        <x:v>101.36755270394134</x:v>
      </x:c>
      <x:c r="G1108" s="42" t="n">
        <x:f>$B$11</x:f>
        <x:v>100.53096491487338</x:v>
      </x:c>
      <x:c r="I1108" t="n">
        <x:f>A1108</x:f>
        <x:v>1091</x:v>
      </x:c>
      <x:c r="J1108" t="n">
        <x:f>F1108</x:f>
        <x:v>101.36755270394134</x:v>
      </x:c>
      <x:c r="K1108" t="n">
        <x:f>G1108</x:f>
        <x:v>100.53096491487338</x:v>
      </x:c>
    </x:row>
    <x:row r="1109">
      <x:c r="A1109" t="n">
        <x:v>1092</x:v>
      </x:c>
      <x:c r="B1109" s="40" t="n">
        <x:v>0.5792767774371619</x:v>
      </x:c>
      <x:c r="C1109" s="40" t="n">
        <x:v>2.496349987810966</x:v>
      </x:c>
      <x:c r="D1109" s="40" t="n">
        <x:v>2.0709139220742907</x:v>
      </x:c>
      <x:c r="E1109" t="n">
        <x:f>--((B1109^2/$B$4^2+C1109^2/$B$5^2+D1109^2/$B$6^2)&lt;=1)</x:f>
        <x:v>0</x:v>
      </x:c>
      <x:c r="F1109" s="42" t="n">
        <x:f>$B$8*SUM($E$18:E1109)/A1109</x:f>
        <x:v>101.27472527472527</x:v>
      </x:c>
      <x:c r="G1109" s="42" t="n">
        <x:f>$B$11</x:f>
        <x:v>100.53096491487338</x:v>
      </x:c>
      <x:c r="I1109" t="n">
        <x:f>A1109</x:f>
        <x:v>1092</x:v>
      </x:c>
      <x:c r="J1109" t="n">
        <x:f>F1109</x:f>
        <x:v>101.27472527472527</x:v>
      </x:c>
      <x:c r="K1109" t="n">
        <x:f>G1109</x:f>
        <x:v>100.53096491487338</x:v>
      </x:c>
    </x:row>
    <x:row r="1110">
      <x:c r="A1110" t="n">
        <x:v>1093</x:v>
      </x:c>
      <x:c r="B1110" s="40" t="n">
        <x:v>-0.8427194555906619</x:v>
      </x:c>
      <x:c r="C1110" s="40" t="n">
        <x:v>2.1015743108158773</x:v>
      </x:c>
      <x:c r="D1110" s="40" t="n">
        <x:v>-1.2506614777531446</x:v>
      </x:c>
      <x:c r="E1110" t="n">
        <x:f>--((B1110^2/$B$4^2+C1110^2/$B$5^2+D1110^2/$B$6^2)&lt;=1)</x:f>
        <x:v>1</x:v>
      </x:c>
      <x:c r="F1110" s="42" t="n">
        <x:f>$B$8*SUM($E$18:E1110)/A1110</x:f>
        <x:v>101.35773101555353</x:v>
      </x:c>
      <x:c r="G1110" s="42" t="n">
        <x:f>$B$11</x:f>
        <x:v>100.53096491487338</x:v>
      </x:c>
      <x:c r="I1110" t="n">
        <x:f>A1110</x:f>
        <x:v>1093</x:v>
      </x:c>
      <x:c r="J1110" t="n">
        <x:f>F1110</x:f>
        <x:v>101.35773101555353</x:v>
      </x:c>
      <x:c r="K1110" t="n">
        <x:f>G1110</x:f>
        <x:v>100.53096491487338</x:v>
      </x:c>
    </x:row>
    <x:row r="1111">
      <x:c r="A1111" t="n">
        <x:v>1094</x:v>
      </x:c>
      <x:c r="B1111" s="40" t="n">
        <x:v>-0.9687663611905823</x:v>
      </x:c>
      <x:c r="C1111" s="40" t="n">
        <x:v>2.787487226617867</x:v>
      </x:c>
      <x:c r="D1111" s="40" t="n">
        <x:v>-1.0851434293185651</x:v>
      </x:c>
      <x:c r="E1111" t="n">
        <x:f>--((B1111^2/$B$4^2+C1111^2/$B$5^2+D1111^2/$B$6^2)&lt;=1)</x:f>
        <x:v>0</x:v>
      </x:c>
      <x:c r="F1111" s="42" t="n">
        <x:f>$B$8*SUM($E$18:E1111)/A1111</x:f>
        <x:v>101.26508226691043</x:v>
      </x:c>
      <x:c r="G1111" s="42" t="n">
        <x:f>$B$11</x:f>
        <x:v>100.53096491487338</x:v>
      </x:c>
      <x:c r="I1111" t="n">
        <x:f>A1111</x:f>
        <x:v>1094</x:v>
      </x:c>
      <x:c r="J1111" t="n">
        <x:f>F1111</x:f>
        <x:v>101.26508226691043</x:v>
      </x:c>
      <x:c r="K1111" t="n">
        <x:f>G1111</x:f>
        <x:v>100.53096491487338</x:v>
      </x:c>
    </x:row>
    <x:row r="1112">
      <x:c r="A1112" t="n">
        <x:v>1095</x:v>
      </x:c>
      <x:c r="B1112" s="40" t="n">
        <x:v>0.343845496384219</x:v>
      </x:c>
      <x:c r="C1112" s="40" t="n">
        <x:v>-0.2070000169856554</x:v>
      </x:c>
      <x:c r="D1112" s="40" t="n">
        <x:v>3.9585853873137875</x:v>
      </x:c>
      <x:c r="E1112" t="n">
        <x:f>--((B1112^2/$B$4^2+C1112^2/$B$5^2+D1112^2/$B$6^2)&lt;=1)</x:f>
        <x:v>0</x:v>
      </x:c>
      <x:c r="F1112" s="42" t="n">
        <x:f>$B$8*SUM($E$18:E1112)/A1112</x:f>
        <x:v>101.17260273972603</x:v>
      </x:c>
      <x:c r="G1112" s="42" t="n">
        <x:f>$B$11</x:f>
        <x:v>100.53096491487338</x:v>
      </x:c>
      <x:c r="I1112" t="n">
        <x:f>A1112</x:f>
        <x:v>1095</x:v>
      </x:c>
      <x:c r="J1112" t="n">
        <x:f>F1112</x:f>
        <x:v>101.17260273972603</x:v>
      </x:c>
      <x:c r="K1112" t="n">
        <x:f>G1112</x:f>
        <x:v>100.53096491487338</x:v>
      </x:c>
    </x:row>
    <x:row r="1113">
      <x:c r="A1113" t="n">
        <x:v>1096</x:v>
      </x:c>
      <x:c r="B1113" s="40" t="n">
        <x:v>-0.3600704470998273</x:v>
      </x:c>
      <x:c r="C1113" s="40" t="n">
        <x:v>-2.715159015401434</x:v>
      </x:c>
      <x:c r="D1113" s="40" t="n">
        <x:v>0.44491620552281574</x:v>
      </x:c>
      <x:c r="E1113" t="n">
        <x:f>--((B1113^2/$B$4^2+C1113^2/$B$5^2+D1113^2/$B$6^2)&lt;=1)</x:f>
        <x:v>1</x:v>
      </x:c>
      <x:c r="F1113" s="42" t="n">
        <x:f>$B$8*SUM($E$18:E1113)/A1113</x:f>
        <x:v>101.25547445255475</x:v>
      </x:c>
      <x:c r="G1113" s="42" t="n">
        <x:f>$B$11</x:f>
        <x:v>100.53096491487338</x:v>
      </x:c>
      <x:c r="I1113" t="n">
        <x:f>A1113</x:f>
        <x:v>1096</x:v>
      </x:c>
      <x:c r="J1113" t="n">
        <x:f>F1113</x:f>
        <x:v>101.25547445255475</x:v>
      </x:c>
      <x:c r="K1113" t="n">
        <x:f>G1113</x:f>
        <x:v>100.53096491487338</x:v>
      </x:c>
    </x:row>
    <x:row r="1114">
      <x:c r="A1114" t="n">
        <x:v>1097</x:v>
      </x:c>
      <x:c r="B1114" s="40" t="n">
        <x:v>-1.1245735648214712</x:v>
      </x:c>
      <x:c r="C1114" s="40" t="n">
        <x:v>-2.4986278071091306</x:v>
      </x:c>
      <x:c r="D1114" s="40" t="n">
        <x:v>1.5150436293611849</x:v>
      </x:c>
      <x:c r="E1114" t="n">
        <x:f>--((B1114^2/$B$4^2+C1114^2/$B$5^2+D1114^2/$B$6^2)&lt;=1)</x:f>
        <x:v>0</x:v>
      </x:c>
      <x:c r="F1114" s="42" t="n">
        <x:f>$B$8*SUM($E$18:E1114)/A1114</x:f>
        <x:v>101.16317228805833</x:v>
      </x:c>
      <x:c r="G1114" s="42" t="n">
        <x:f>$B$11</x:f>
        <x:v>100.53096491487338</x:v>
      </x:c>
      <x:c r="I1114" t="n">
        <x:f>A1114</x:f>
        <x:v>1097</x:v>
      </x:c>
      <x:c r="J1114" t="n">
        <x:f>F1114</x:f>
        <x:v>101.16317228805833</x:v>
      </x:c>
      <x:c r="K1114" t="n">
        <x:f>G1114</x:f>
        <x:v>100.53096491487338</x:v>
      </x:c>
    </x:row>
    <x:row r="1115">
      <x:c r="A1115" t="n">
        <x:v>1098</x:v>
      </x:c>
      <x:c r="B1115" s="40" t="n">
        <x:v>1.2642240670113245</x:v>
      </x:c>
      <x:c r="C1115" s="40" t="n">
        <x:v>-0.6583431493659413</x:v>
      </x:c>
      <x:c r="D1115" s="40" t="n">
        <x:v>1.1476978732288785</x:v>
      </x:c>
      <x:c r="E1115" t="n">
        <x:f>--((B1115^2/$B$4^2+C1115^2/$B$5^2+D1115^2/$B$6^2)&lt;=1)</x:f>
        <x:v>1</x:v>
      </x:c>
      <x:c r="F1115" s="42" t="n">
        <x:f>$B$8*SUM($E$18:E1115)/A1115</x:f>
        <x:v>101.24590163934427</x:v>
      </x:c>
      <x:c r="G1115" s="42" t="n">
        <x:f>$B$11</x:f>
        <x:v>100.53096491487338</x:v>
      </x:c>
      <x:c r="I1115" t="n">
        <x:f>A1115</x:f>
        <x:v>1098</x:v>
      </x:c>
      <x:c r="J1115" t="n">
        <x:f>F1115</x:f>
        <x:v>101.24590163934427</x:v>
      </x:c>
      <x:c r="K1115" t="n">
        <x:f>G1115</x:f>
        <x:v>100.53096491487338</x:v>
      </x:c>
    </x:row>
    <x:row r="1116">
      <x:c r="A1116" t="n">
        <x:v>1099</x:v>
      </x:c>
      <x:c r="B1116" s="40" t="n">
        <x:v>1.442279677177504</x:v>
      </x:c>
      <x:c r="C1116" s="40" t="n">
        <x:v>-1.4538774523620164</x:v>
      </x:c>
      <x:c r="D1116" s="40" t="n">
        <x:v>2.623393177252578</x:v>
      </x:c>
      <x:c r="E1116" t="n">
        <x:f>--((B1116^2/$B$4^2+C1116^2/$B$5^2+D1116^2/$B$6^2)&lt;=1)</x:f>
        <x:v>0</x:v>
      </x:c>
      <x:c r="F1116" s="42" t="n">
        <x:f>$B$8*SUM($E$18:E1116)/A1116</x:f>
        <x:v>101.15377616014558</x:v>
      </x:c>
      <x:c r="G1116" s="42" t="n">
        <x:f>$B$11</x:f>
        <x:v>100.53096491487338</x:v>
      </x:c>
      <x:c r="I1116" t="n">
        <x:f>A1116</x:f>
        <x:v>1099</x:v>
      </x:c>
      <x:c r="J1116" t="n">
        <x:f>F1116</x:f>
        <x:v>101.15377616014558</x:v>
      </x:c>
      <x:c r="K1116" t="n">
        <x:f>G1116</x:f>
        <x:v>100.53096491487338</x:v>
      </x:c>
    </x:row>
    <x:row r="1117">
      <x:c r="A1117" t="n">
        <x:v>1100</x:v>
      </x:c>
      <x:c r="B1117" s="40" t="n">
        <x:v>-1.3292019212888762</x:v>
      </x:c>
      <x:c r="C1117" s="40" t="n">
        <x:v>-1.980356451833596</x:v>
      </x:c>
      <x:c r="D1117" s="40" t="n">
        <x:v>2.894600795533944</x:v>
      </x:c>
      <x:c r="E1117" t="n">
        <x:f>--((B1117^2/$B$4^2+C1117^2/$B$5^2+D1117^2/$B$6^2)&lt;=1)</x:f>
        <x:v>0</x:v>
      </x:c>
      <x:c r="F1117" s="42" t="n">
        <x:f>$B$8*SUM($E$18:E1117)/A1117</x:f>
        <x:v>101.06181818181818</x:v>
      </x:c>
      <x:c r="G1117" s="42" t="n">
        <x:f>$B$11</x:f>
        <x:v>100.53096491487338</x:v>
      </x:c>
      <x:c r="I1117" t="n">
        <x:f>A1117</x:f>
        <x:v>1100</x:v>
      </x:c>
      <x:c r="J1117" t="n">
        <x:f>F1117</x:f>
        <x:v>101.06181818181818</x:v>
      </x:c>
      <x:c r="K1117" t="n">
        <x:f>G1117</x:f>
        <x:v>100.53096491487338</x:v>
      </x:c>
    </x:row>
    <x:row r="1118">
      <x:c r="A1118" t="n">
        <x:v>1101</x:v>
      </x:c>
      <x:c r="B1118" s="40" t="n">
        <x:v>-1.9699718688000005</x:v>
      </x:c>
      <x:c r="C1118" s="40" t="n">
        <x:v>2.7192226470518914</x:v>
      </x:c>
      <x:c r="D1118" s="40" t="n">
        <x:v>0.5060490597624767</x:v>
      </x:c>
      <x:c r="E1118" t="n">
        <x:f>--((B1118^2/$B$4^2+C1118^2/$B$5^2+D1118^2/$B$6^2)&lt;=1)</x:f>
        <x:v>0</x:v>
      </x:c>
      <x:c r="F1118" s="42" t="n">
        <x:f>$B$8*SUM($E$18:E1118)/A1118</x:f>
        <x:v>100.97002724795641</x:v>
      </x:c>
      <x:c r="G1118" s="42" t="n">
        <x:f>$B$11</x:f>
        <x:v>100.53096491487338</x:v>
      </x:c>
      <x:c r="I1118" t="n">
        <x:f>A1118</x:f>
        <x:v>1101</x:v>
      </x:c>
      <x:c r="J1118" t="n">
        <x:f>F1118</x:f>
        <x:v>100.97002724795641</x:v>
      </x:c>
      <x:c r="K1118" t="n">
        <x:f>G1118</x:f>
        <x:v>100.53096491487338</x:v>
      </x:c>
    </x:row>
    <x:row r="1119">
      <x:c r="A1119" t="n">
        <x:v>1102</x:v>
      </x:c>
      <x:c r="B1119" s="40" t="n">
        <x:v>-0.6554801258825051</x:v>
      </x:c>
      <x:c r="C1119" s="40" t="n">
        <x:v>-1.8274824695362653</x:v>
      </x:c>
      <x:c r="D1119" s="40" t="n">
        <x:v>-1.6435514002688052</x:v>
      </x:c>
      <x:c r="E1119" t="n">
        <x:f>--((B1119^2/$B$4^2+C1119^2/$B$5^2+D1119^2/$B$6^2)&lt;=1)</x:f>
        <x:v>1</x:v>
      </x:c>
      <x:c r="F1119" s="42" t="n">
        <x:f>$B$8*SUM($E$18:E1119)/A1119</x:f>
        <x:v>101.05263157894737</x:v>
      </x:c>
      <x:c r="G1119" s="42" t="n">
        <x:f>$B$11</x:f>
        <x:v>100.53096491487338</x:v>
      </x:c>
      <x:c r="I1119" t="n">
        <x:f>A1119</x:f>
        <x:v>1102</x:v>
      </x:c>
      <x:c r="J1119" t="n">
        <x:f>F1119</x:f>
        <x:v>101.05263157894737</x:v>
      </x:c>
      <x:c r="K1119" t="n">
        <x:f>G1119</x:f>
        <x:v>100.53096491487338</x:v>
      </x:c>
    </x:row>
    <x:row r="1120">
      <x:c r="A1120" t="n">
        <x:v>1103</x:v>
      </x:c>
      <x:c r="B1120" s="40" t="n">
        <x:v>1.1900433427230102</x:v>
      </x:c>
      <x:c r="C1120" s="40" t="n">
        <x:v>2.756275633891386</x:v>
      </x:c>
      <x:c r="D1120" s="40" t="n">
        <x:v>-3.8175980194002443</x:v>
      </x:c>
      <x:c r="E1120" t="n">
        <x:f>--((B1120^2/$B$4^2+C1120^2/$B$5^2+D1120^2/$B$6^2)&lt;=1)</x:f>
        <x:v>0</x:v>
      </x:c>
      <x:c r="F1120" s="42" t="n">
        <x:f>$B$8*SUM($E$18:E1120)/A1120</x:f>
        <x:v>100.96101541251133</x:v>
      </x:c>
      <x:c r="G1120" s="42" t="n">
        <x:f>$B$11</x:f>
        <x:v>100.53096491487338</x:v>
      </x:c>
      <x:c r="I1120" t="n">
        <x:f>A1120</x:f>
        <x:v>1103</x:v>
      </x:c>
      <x:c r="J1120" t="n">
        <x:f>F1120</x:f>
        <x:v>100.96101541251133</x:v>
      </x:c>
      <x:c r="K1120" t="n">
        <x:f>G1120</x:f>
        <x:v>100.53096491487338</x:v>
      </x:c>
    </x:row>
    <x:row r="1121">
      <x:c r="A1121" t="n">
        <x:v>1104</x:v>
      </x:c>
      <x:c r="B1121" s="40" t="n">
        <x:v>1.3566954649372978</x:v>
      </x:c>
      <x:c r="C1121" s="40" t="n">
        <x:v>1.5650330419272427</x:v>
      </x:c>
      <x:c r="D1121" s="40" t="n">
        <x:v>0.9152260085145612</x:v>
      </x:c>
      <x:c r="E1121" t="n">
        <x:f>--((B1121^2/$B$4^2+C1121^2/$B$5^2+D1121^2/$B$6^2)&lt;=1)</x:f>
        <x:v>1</x:v>
      </x:c>
      <x:c r="F1121" s="42" t="n">
        <x:f>$B$8*SUM($E$18:E1121)/A1121</x:f>
        <x:v>101.04347826086956</x:v>
      </x:c>
      <x:c r="G1121" s="42" t="n">
        <x:f>$B$11</x:f>
        <x:v>100.53096491487338</x:v>
      </x:c>
      <x:c r="I1121" t="n">
        <x:f>A1121</x:f>
        <x:v>1104</x:v>
      </x:c>
      <x:c r="J1121" t="n">
        <x:f>F1121</x:f>
        <x:v>101.04347826086956</x:v>
      </x:c>
      <x:c r="K1121" t="n">
        <x:f>G1121</x:f>
        <x:v>100.53096491487338</x:v>
      </x:c>
    </x:row>
    <x:row r="1122">
      <x:c r="A1122" t="n">
        <x:v>1105</x:v>
      </x:c>
      <x:c r="B1122" s="40" t="n">
        <x:v>-1.446683719535803</x:v>
      </x:c>
      <x:c r="C1122" s="40" t="n">
        <x:v>0.845674032751341</x:v>
      </x:c>
      <x:c r="D1122" s="40" t="n">
        <x:v>2.6037506661249568</x:v>
      </x:c>
      <x:c r="E1122" t="n">
        <x:f>--((B1122^2/$B$4^2+C1122^2/$B$5^2+D1122^2/$B$6^2)&lt;=1)</x:f>
        <x:v>0</x:v>
      </x:c>
      <x:c r="F1122" s="42" t="n">
        <x:f>$B$8*SUM($E$18:E1122)/A1122</x:f>
        <x:v>100.95203619909502</x:v>
      </x:c>
      <x:c r="G1122" s="42" t="n">
        <x:f>$B$11</x:f>
        <x:v>100.53096491487338</x:v>
      </x:c>
      <x:c r="I1122" t="n">
        <x:f>A1122</x:f>
        <x:v>1105</x:v>
      </x:c>
      <x:c r="J1122" t="n">
        <x:f>F1122</x:f>
        <x:v>100.95203619909502</x:v>
      </x:c>
      <x:c r="K1122" t="n">
        <x:f>G1122</x:f>
        <x:v>100.53096491487338</x:v>
      </x:c>
    </x:row>
    <x:row r="1123">
      <x:c r="A1123" t="n">
        <x:v>1106</x:v>
      </x:c>
      <x:c r="B1123" s="40" t="n">
        <x:v>1.0973436047322047</x:v>
      </x:c>
      <x:c r="C1123" s="40" t="n">
        <x:v>1.0561137605362703</x:v>
      </x:c>
      <x:c r="D1123" s="40" t="n">
        <x:v>-0.39568155590672394</x:v>
      </x:c>
      <x:c r="E1123" t="n">
        <x:f>--((B1123^2/$B$4^2+C1123^2/$B$5^2+D1123^2/$B$6^2)&lt;=1)</x:f>
        <x:v>1</x:v>
      </x:c>
      <x:c r="F1123" s="42" t="n">
        <x:f>$B$8*SUM($E$18:E1123)/A1123</x:f>
        <x:v>101.03435804701627</x:v>
      </x:c>
      <x:c r="G1123" s="42" t="n">
        <x:f>$B$11</x:f>
        <x:v>100.53096491487338</x:v>
      </x:c>
      <x:c r="I1123" t="n">
        <x:f>A1123</x:f>
        <x:v>1106</x:v>
      </x:c>
      <x:c r="J1123" t="n">
        <x:f>F1123</x:f>
        <x:v>101.03435804701627</x:v>
      </x:c>
      <x:c r="K1123" t="n">
        <x:f>G1123</x:f>
        <x:v>100.53096491487338</x:v>
      </x:c>
    </x:row>
    <x:row r="1124">
      <x:c r="A1124" t="n">
        <x:v>1107</x:v>
      </x:c>
      <x:c r="B1124" s="40" t="n">
        <x:v>-1.5371833307622822</x:v>
      </x:c>
      <x:c r="C1124" s="40" t="n">
        <x:v>-1.011154058045256</x:v>
      </x:c>
      <x:c r="D1124" s="40" t="n">
        <x:v>-2.6823508760730856</x:v>
      </x:c>
      <x:c r="E1124" t="n">
        <x:f>--((B1124^2/$B$4^2+C1124^2/$B$5^2+D1124^2/$B$6^2)&lt;=1)</x:f>
        <x:v>0</x:v>
      </x:c>
      <x:c r="F1124" s="42" t="n">
        <x:f>$B$8*SUM($E$18:E1124)/A1124</x:f>
        <x:v>100.9430894308943</x:v>
      </x:c>
      <x:c r="G1124" s="42" t="n">
        <x:f>$B$11</x:f>
        <x:v>100.53096491487338</x:v>
      </x:c>
      <x:c r="I1124" t="n">
        <x:f>A1124</x:f>
        <x:v>1107</x:v>
      </x:c>
      <x:c r="J1124" t="n">
        <x:f>F1124</x:f>
        <x:v>100.9430894308943</x:v>
      </x:c>
      <x:c r="K1124" t="n">
        <x:f>G1124</x:f>
        <x:v>100.53096491487338</x:v>
      </x:c>
    </x:row>
    <x:row r="1125">
      <x:c r="A1125" t="n">
        <x:v>1108</x:v>
      </x:c>
      <x:c r="B1125" s="40" t="n">
        <x:v>-0.4397496393738831</x:v>
      </x:c>
      <x:c r="C1125" s="40" t="n">
        <x:v>0.878562228349693</x:v>
      </x:c>
      <x:c r="D1125" s="40" t="n">
        <x:v>-1.6953434165148726</x:v>
      </x:c>
      <x:c r="E1125" t="n">
        <x:f>--((B1125^2/$B$4^2+C1125^2/$B$5^2+D1125^2/$B$6^2)&lt;=1)</x:f>
        <x:v>1</x:v>
      </x:c>
      <x:c r="F1125" s="42" t="n">
        <x:f>$B$8*SUM($E$18:E1125)/A1125</x:f>
        <x:v>101.02527075812274</x:v>
      </x:c>
      <x:c r="G1125" s="42" t="n">
        <x:f>$B$11</x:f>
        <x:v>100.53096491487338</x:v>
      </x:c>
      <x:c r="I1125" t="n">
        <x:f>A1125</x:f>
        <x:v>1108</x:v>
      </x:c>
      <x:c r="J1125" t="n">
        <x:f>F1125</x:f>
        <x:v>101.02527075812274</x:v>
      </x:c>
      <x:c r="K1125" t="n">
        <x:f>G1125</x:f>
        <x:v>100.53096491487338</x:v>
      </x:c>
    </x:row>
    <x:row r="1126">
      <x:c r="A1126" t="n">
        <x:v>1109</x:v>
      </x:c>
      <x:c r="B1126" s="40" t="n">
        <x:v>1.9944380600476634</x:v>
      </x:c>
      <x:c r="C1126" s="40" t="n">
        <x:v>-1.8798472903124082</x:v>
      </x:c>
      <x:c r="D1126" s="40" t="n">
        <x:v>0.07991143609491669</x:v>
      </x:c>
      <x:c r="E1126" t="n">
        <x:f>--((B1126^2/$B$4^2+C1126^2/$B$5^2+D1126^2/$B$6^2)&lt;=1)</x:f>
        <x:v>0</x:v>
      </x:c>
      <x:c r="F1126" s="42" t="n">
        <x:f>$B$8*SUM($E$18:E1126)/A1126</x:f>
        <x:v>100.9341749323715</x:v>
      </x:c>
      <x:c r="G1126" s="42" t="n">
        <x:f>$B$11</x:f>
        <x:v>100.53096491487338</x:v>
      </x:c>
      <x:c r="I1126" t="n">
        <x:f>A1126</x:f>
        <x:v>1109</x:v>
      </x:c>
      <x:c r="J1126" t="n">
        <x:f>F1126</x:f>
        <x:v>100.9341749323715</x:v>
      </x:c>
      <x:c r="K1126" t="n">
        <x:f>G1126</x:f>
        <x:v>100.53096491487338</x:v>
      </x:c>
    </x:row>
    <x:row r="1127">
      <x:c r="A1127" t="n">
        <x:v>1110</x:v>
      </x:c>
      <x:c r="B1127" s="40" t="n">
        <x:v>-1.2296367070763607</x:v>
      </x:c>
      <x:c r="C1127" s="40" t="n">
        <x:v>2.6262325952158765</x:v>
      </x:c>
      <x:c r="D1127" s="40" t="n">
        <x:v>2.6934497518213325</x:v>
      </x:c>
      <x:c r="E1127" t="n">
        <x:f>--((B1127^2/$B$4^2+C1127^2/$B$5^2+D1127^2/$B$6^2)&lt;=1)</x:f>
        <x:v>0</x:v>
      </x:c>
      <x:c r="F1127" s="42" t="n">
        <x:f>$B$8*SUM($E$18:E1127)/A1127</x:f>
        <x:v>100.84324324324324</x:v>
      </x:c>
      <x:c r="G1127" s="42" t="n">
        <x:f>$B$11</x:f>
        <x:v>100.53096491487338</x:v>
      </x:c>
      <x:c r="I1127" t="n">
        <x:f>A1127</x:f>
        <x:v>1110</x:v>
      </x:c>
      <x:c r="J1127" t="n">
        <x:f>F1127</x:f>
        <x:v>100.84324324324324</x:v>
      </x:c>
      <x:c r="K1127" t="n">
        <x:f>G1127</x:f>
        <x:v>100.53096491487338</x:v>
      </x:c>
    </x:row>
    <x:row r="1128">
      <x:c r="A1128" t="n">
        <x:v>1111</x:v>
      </x:c>
      <x:c r="B1128" s="40" t="n">
        <x:v>-1.3841456696894943</x:v>
      </x:c>
      <x:c r="C1128" s="40" t="n">
        <x:v>-1.1892399602364387</x:v>
      </x:c>
      <x:c r="D1128" s="40" t="n">
        <x:v>-2.625974831452635</x:v>
      </x:c>
      <x:c r="E1128" t="n">
        <x:f>--((B1128^2/$B$4^2+C1128^2/$B$5^2+D1128^2/$B$6^2)&lt;=1)</x:f>
        <x:v>0</x:v>
      </x:c>
      <x:c r="F1128" s="42" t="n">
        <x:f>$B$8*SUM($E$18:E1128)/A1128</x:f>
        <x:v>100.75247524752476</x:v>
      </x:c>
      <x:c r="G1128" s="42" t="n">
        <x:f>$B$11</x:f>
        <x:v>100.53096491487338</x:v>
      </x:c>
      <x:c r="I1128" t="n">
        <x:f>A1128</x:f>
        <x:v>1111</x:v>
      </x:c>
      <x:c r="J1128" t="n">
        <x:f>F1128</x:f>
        <x:v>100.75247524752476</x:v>
      </x:c>
      <x:c r="K1128" t="n">
        <x:f>G1128</x:f>
        <x:v>100.53096491487338</x:v>
      </x:c>
    </x:row>
    <x:row r="1129">
      <x:c r="A1129" t="n">
        <x:v>1112</x:v>
      </x:c>
      <x:c r="B1129" s="40" t="n">
        <x:v>-0.308798669812826</x:v>
      </x:c>
      <x:c r="C1129" s="40" t="n">
        <x:v>-1.468880926238747</x:v>
      </x:c>
      <x:c r="D1129" s="40" t="n">
        <x:v>0.8971990056761134</x:v>
      </x:c>
      <x:c r="E1129" t="n">
        <x:f>--((B1129^2/$B$4^2+C1129^2/$B$5^2+D1129^2/$B$6^2)&lt;=1)</x:f>
        <x:v>1</x:v>
      </x:c>
      <x:c r="F1129" s="42" t="n">
        <x:f>$B$8*SUM($E$18:E1129)/A1129</x:f>
        <x:v>100.83453237410072</x:v>
      </x:c>
      <x:c r="G1129" s="42" t="n">
        <x:f>$B$11</x:f>
        <x:v>100.53096491487338</x:v>
      </x:c>
      <x:c r="I1129" t="n">
        <x:f>A1129</x:f>
        <x:v>1112</x:v>
      </x:c>
      <x:c r="J1129" t="n">
        <x:f>F1129</x:f>
        <x:v>100.83453237410072</x:v>
      </x:c>
      <x:c r="K1129" t="n">
        <x:f>G1129</x:f>
        <x:v>100.53096491487338</x:v>
      </x:c>
    </x:row>
    <x:row r="1130">
      <x:c r="A1130" t="n">
        <x:v>1113</x:v>
      </x:c>
      <x:c r="B1130" s="40" t="n">
        <x:v>0.47867410387944576</x:v>
      </x:c>
      <x:c r="C1130" s="40" t="n">
        <x:v>1.2669767891649446</x:v>
      </x:c>
      <x:c r="D1130" s="40" t="n">
        <x:v>2.0269489116043635</x:v>
      </x:c>
      <x:c r="E1130" t="n">
        <x:f>--((B1130^2/$B$4^2+C1130^2/$B$5^2+D1130^2/$B$6^2)&lt;=1)</x:f>
        <x:v>1</x:v>
      </x:c>
      <x:c r="F1130" s="42" t="n">
        <x:f>$B$8*SUM($E$18:E1130)/A1130</x:f>
        <x:v>100.91644204851752</x:v>
      </x:c>
      <x:c r="G1130" s="42" t="n">
        <x:f>$B$11</x:f>
        <x:v>100.53096491487338</x:v>
      </x:c>
      <x:c r="I1130" t="n">
        <x:f>A1130</x:f>
        <x:v>1113</x:v>
      </x:c>
      <x:c r="J1130" t="n">
        <x:f>F1130</x:f>
        <x:v>100.91644204851752</x:v>
      </x:c>
      <x:c r="K1130" t="n">
        <x:f>G1130</x:f>
        <x:v>100.53096491487338</x:v>
      </x:c>
    </x:row>
    <x:row r="1131">
      <x:c r="A1131" t="n">
        <x:v>1114</x:v>
      </x:c>
      <x:c r="B1131" s="40" t="n">
        <x:v>1.731603129653013</x:v>
      </x:c>
      <x:c r="C1131" s="40" t="n">
        <x:v>0.9386923083970915</x:v>
      </x:c>
      <x:c r="D1131" s="40" t="n">
        <x:v>3.4883801626785855</x:v>
      </x:c>
      <x:c r="E1131" t="n">
        <x:f>--((B1131^2/$B$4^2+C1131^2/$B$5^2+D1131^2/$B$6^2)&lt;=1)</x:f>
        <x:v>0</x:v>
      </x:c>
      <x:c r="F1131" s="42" t="n">
        <x:f>$B$8*SUM($E$18:E1131)/A1131</x:f>
        <x:v>100.82585278276481</x:v>
      </x:c>
      <x:c r="G1131" s="42" t="n">
        <x:f>$B$11</x:f>
        <x:v>100.53096491487338</x:v>
      </x:c>
      <x:c r="I1131" t="n">
        <x:f>A1131</x:f>
        <x:v>1114</x:v>
      </x:c>
      <x:c r="J1131" t="n">
        <x:f>F1131</x:f>
        <x:v>100.82585278276481</x:v>
      </x:c>
      <x:c r="K1131" t="n">
        <x:f>G1131</x:f>
        <x:v>100.53096491487338</x:v>
      </x:c>
    </x:row>
    <x:row r="1132">
      <x:c r="A1132" t="n">
        <x:v>1115</x:v>
      </x:c>
      <x:c r="B1132" s="40" t="n">
        <x:v>1.923284582132137</x:v>
      </x:c>
      <x:c r="C1132" s="40" t="n">
        <x:v>-0.2922064899401686</x:v>
      </x:c>
      <x:c r="D1132" s="40" t="n">
        <x:v>-3.0663704665691247</x:v>
      </x:c>
      <x:c r="E1132" t="n">
        <x:f>--((B1132^2/$B$4^2+C1132^2/$B$5^2+D1132^2/$B$6^2)&lt;=1)</x:f>
        <x:v>0</x:v>
      </x:c>
      <x:c r="F1132" s="42" t="n">
        <x:f>$B$8*SUM($E$18:E1132)/A1132</x:f>
        <x:v>100.73542600896862</x:v>
      </x:c>
      <x:c r="G1132" s="42" t="n">
        <x:f>$B$11</x:f>
        <x:v>100.53096491487338</x:v>
      </x:c>
      <x:c r="I1132" t="n">
        <x:f>A1132</x:f>
        <x:v>1115</x:v>
      </x:c>
      <x:c r="J1132" t="n">
        <x:f>F1132</x:f>
        <x:v>100.73542600896862</x:v>
      </x:c>
      <x:c r="K1132" t="n">
        <x:f>G1132</x:f>
        <x:v>100.53096491487338</x:v>
      </x:c>
    </x:row>
    <x:row r="1133">
      <x:c r="A1133" t="n">
        <x:v>1116</x:v>
      </x:c>
      <x:c r="B1133" s="40" t="n">
        <x:v>-1.7214374536344215</x:v>
      </x:c>
      <x:c r="C1133" s="40" t="n">
        <x:v>0.7946774081447181</x:v>
      </x:c>
      <x:c r="D1133" s="40" t="n">
        <x:v>3.411133073316459</x:v>
      </x:c>
      <x:c r="E1133" t="n">
        <x:f>--((B1133^2/$B$4^2+C1133^2/$B$5^2+D1133^2/$B$6^2)&lt;=1)</x:f>
        <x:v>0</x:v>
      </x:c>
      <x:c r="F1133" s="42" t="n">
        <x:f>$B$8*SUM($E$18:E1133)/A1133</x:f>
        <x:v>100.64516129032258</x:v>
      </x:c>
      <x:c r="G1133" s="42" t="n">
        <x:f>$B$11</x:f>
        <x:v>100.53096491487338</x:v>
      </x:c>
      <x:c r="I1133" t="n">
        <x:f>A1133</x:f>
        <x:v>1116</x:v>
      </x:c>
      <x:c r="J1133" t="n">
        <x:f>F1133</x:f>
        <x:v>100.64516129032258</x:v>
      </x:c>
      <x:c r="K1133" t="n">
        <x:f>G1133</x:f>
        <x:v>100.53096491487338</x:v>
      </x:c>
    </x:row>
    <x:row r="1134">
      <x:c r="A1134" t="n">
        <x:v>1117</x:v>
      </x:c>
      <x:c r="B1134" s="40" t="n">
        <x:v>-1.4480099306083787</x:v>
      </x:c>
      <x:c r="C1134" s="40" t="n">
        <x:v>-2.0430415694348634</x:v>
      </x:c>
      <x:c r="D1134" s="40" t="n">
        <x:v>0.8117402813958359</x:v>
      </x:c>
      <x:c r="E1134" t="n">
        <x:f>--((B1134^2/$B$4^2+C1134^2/$B$5^2+D1134^2/$B$6^2)&lt;=1)</x:f>
        <x:v>0</x:v>
      </x:c>
      <x:c r="F1134" s="42" t="n">
        <x:f>$B$8*SUM($E$18:E1134)/A1134</x:f>
        <x:v>100.5550581915846</x:v>
      </x:c>
      <x:c r="G1134" s="42" t="n">
        <x:f>$B$11</x:f>
        <x:v>100.53096491487338</x:v>
      </x:c>
      <x:c r="I1134" t="n">
        <x:f>A1134</x:f>
        <x:v>1117</x:v>
      </x:c>
      <x:c r="J1134" t="n">
        <x:f>F1134</x:f>
        <x:v>100.5550581915846</x:v>
      </x:c>
      <x:c r="K1134" t="n">
        <x:f>G1134</x:f>
        <x:v>100.53096491487338</x:v>
      </x:c>
    </x:row>
    <x:row r="1135">
      <x:c r="A1135" t="n">
        <x:v>1118</x:v>
      </x:c>
      <x:c r="B1135" s="40" t="n">
        <x:v>1.1629518955839755</x:v>
      </x:c>
      <x:c r="C1135" s="40" t="n">
        <x:v>1.03996984441173</x:v>
      </x:c>
      <x:c r="D1135" s="40" t="n">
        <x:v>2.133612699458288</x:v>
      </x:c>
      <x:c r="E1135" t="n">
        <x:f>--((B1135^2/$B$4^2+C1135^2/$B$5^2+D1135^2/$B$6^2)&lt;=1)</x:f>
        <x:v>1</x:v>
      </x:c>
      <x:c r="F1135" s="42" t="n">
        <x:f>$B$8*SUM($E$18:E1135)/A1135</x:f>
        <x:v>100.63685152057245</x:v>
      </x:c>
      <x:c r="G1135" s="42" t="n">
        <x:f>$B$11</x:f>
        <x:v>100.53096491487338</x:v>
      </x:c>
      <x:c r="I1135" t="n">
        <x:f>A1135</x:f>
        <x:v>1118</x:v>
      </x:c>
      <x:c r="J1135" t="n">
        <x:f>F1135</x:f>
        <x:v>100.63685152057245</x:v>
      </x:c>
      <x:c r="K1135" t="n">
        <x:f>G1135</x:f>
        <x:v>100.53096491487338</x:v>
      </x:c>
    </x:row>
    <x:row r="1136">
      <x:c r="A1136" t="n">
        <x:v>1119</x:v>
      </x:c>
      <x:c r="B1136" s="40" t="n">
        <x:v>-0.9174713909165582</x:v>
      </x:c>
      <x:c r="C1136" s="40" t="n">
        <x:v>-1.3763358288288368</x:v>
      </x:c>
      <x:c r="D1136" s="40" t="n">
        <x:v>-3.5698023234515563</x:v>
      </x:c>
      <x:c r="E1136" t="n">
        <x:f>--((B1136^2/$B$4^2+C1136^2/$B$5^2+D1136^2/$B$6^2)&lt;=1)</x:f>
        <x:v>0</x:v>
      </x:c>
      <x:c r="F1136" s="42" t="n">
        <x:f>$B$8*SUM($E$18:E1136)/A1136</x:f>
        <x:v>100.54691689008042</x:v>
      </x:c>
      <x:c r="G1136" s="42" t="n">
        <x:f>$B$11</x:f>
        <x:v>100.53096491487338</x:v>
      </x:c>
      <x:c r="I1136" t="n">
        <x:f>A1136</x:f>
        <x:v>1119</x:v>
      </x:c>
      <x:c r="J1136" t="n">
        <x:f>F1136</x:f>
        <x:v>100.54691689008042</x:v>
      </x:c>
      <x:c r="K1136" t="n">
        <x:f>G1136</x:f>
        <x:v>100.53096491487338</x:v>
      </x:c>
    </x:row>
    <x:row r="1137">
      <x:c r="A1137" t="n">
        <x:v>1120</x:v>
      </x:c>
      <x:c r="B1137" s="40" t="n">
        <x:v>1.5393962380254425</x:v>
      </x:c>
      <x:c r="C1137" s="40" t="n">
        <x:v>-1.3629841399412561</x:v>
      </x:c>
      <x:c r="D1137" s="40" t="n">
        <x:v>0.04918524512476097</x:v>
      </x:c>
      <x:c r="E1137" t="n">
        <x:f>--((B1137^2/$B$4^2+C1137^2/$B$5^2+D1137^2/$B$6^2)&lt;=1)</x:f>
        <x:v>1</x:v>
      </x:c>
      <x:c r="F1137" s="42" t="n">
        <x:f>$B$8*SUM($E$18:E1137)/A1137</x:f>
        <x:v>100.62857142857143</x:v>
      </x:c>
      <x:c r="G1137" s="42" t="n">
        <x:f>$B$11</x:f>
        <x:v>100.53096491487338</x:v>
      </x:c>
      <x:c r="I1137" t="n">
        <x:f>A1137</x:f>
        <x:v>1120</x:v>
      </x:c>
      <x:c r="J1137" t="n">
        <x:f>F1137</x:f>
        <x:v>100.62857142857143</x:v>
      </x:c>
      <x:c r="K1137" t="n">
        <x:f>G1137</x:f>
        <x:v>100.53096491487338</x:v>
      </x:c>
    </x:row>
    <x:row r="1138">
      <x:c r="A1138" t="n">
        <x:v>1121</x:v>
      </x:c>
      <x:c r="B1138" s="40" t="n">
        <x:v>0.6538130289163471</x:v>
      </x:c>
      <x:c r="C1138" s="40" t="n">
        <x:v>-2.0269203903372928</x:v>
      </x:c>
      <x:c r="D1138" s="40" t="n">
        <x:v>0.9810373926463498</x:v>
      </x:c>
      <x:c r="E1138" t="n">
        <x:f>--((B1138^2/$B$4^2+C1138^2/$B$5^2+D1138^2/$B$6^2)&lt;=1)</x:f>
        <x:v>1</x:v>
      </x:c>
      <x:c r="F1138" s="42" t="n">
        <x:f>$B$8*SUM($E$18:E1138)/A1138</x:f>
        <x:v>100.71008028545941</x:v>
      </x:c>
      <x:c r="G1138" s="42" t="n">
        <x:f>$B$11</x:f>
        <x:v>100.53096491487338</x:v>
      </x:c>
      <x:c r="I1138" t="n">
        <x:f>A1138</x:f>
        <x:v>1121</x:v>
      </x:c>
      <x:c r="J1138" t="n">
        <x:f>F1138</x:f>
        <x:v>100.71008028545941</x:v>
      </x:c>
      <x:c r="K1138" t="n">
        <x:f>G1138</x:f>
        <x:v>100.53096491487338</x:v>
      </x:c>
    </x:row>
    <x:row r="1139">
      <x:c r="A1139" t="n">
        <x:v>1122</x:v>
      </x:c>
      <x:c r="B1139" s="40" t="n">
        <x:v>-1.5526207904772913</x:v>
      </x:c>
      <x:c r="C1139" s="40" t="n">
        <x:v>-1.0057371897830123</x:v>
      </x:c>
      <x:c r="D1139" s="40" t="n">
        <x:v>-1.5453292810172785</x:v>
      </x:c>
      <x:c r="E1139" t="n">
        <x:f>--((B1139^2/$B$4^2+C1139^2/$B$5^2+D1139^2/$B$6^2)&lt;=1)</x:f>
        <x:v>1</x:v>
      </x:c>
      <x:c r="F1139" s="42" t="n">
        <x:f>$B$8*SUM($E$18:E1139)/A1139</x:f>
        <x:v>100.79144385026738</x:v>
      </x:c>
      <x:c r="G1139" s="42" t="n">
        <x:f>$B$11</x:f>
        <x:v>100.53096491487338</x:v>
      </x:c>
      <x:c r="I1139" t="n">
        <x:f>A1139</x:f>
        <x:v>1122</x:v>
      </x:c>
      <x:c r="J1139" t="n">
        <x:f>F1139</x:f>
        <x:v>100.79144385026738</x:v>
      </x:c>
      <x:c r="K1139" t="n">
        <x:f>G1139</x:f>
        <x:v>100.53096491487338</x:v>
      </x:c>
    </x:row>
    <x:row r="1140">
      <x:c r="A1140" t="n">
        <x:v>1123</x:v>
      </x:c>
      <x:c r="B1140" s="40" t="n">
        <x:v>1.3301171396960285</x:v>
      </x:c>
      <x:c r="C1140" s="40" t="n">
        <x:v>-1.0124936381320313</x:v>
      </x:c>
      <x:c r="D1140" s="40" t="n">
        <x:v>-0.5467983351899788</x:v>
      </x:c>
      <x:c r="E1140" t="n">
        <x:f>--((B1140^2/$B$4^2+C1140^2/$B$5^2+D1140^2/$B$6^2)&lt;=1)</x:f>
        <x:v>1</x:v>
      </x:c>
      <x:c r="F1140" s="42" t="n">
        <x:f>$B$8*SUM($E$18:E1140)/A1140</x:f>
        <x:v>100.8726625111309</x:v>
      </x:c>
      <x:c r="G1140" s="42" t="n">
        <x:f>$B$11</x:f>
        <x:v>100.53096491487338</x:v>
      </x:c>
      <x:c r="I1140" t="n">
        <x:f>A1140</x:f>
        <x:v>1123</x:v>
      </x:c>
      <x:c r="J1140" t="n">
        <x:f>F1140</x:f>
        <x:v>100.8726625111309</x:v>
      </x:c>
      <x:c r="K1140" t="n">
        <x:f>G1140</x:f>
        <x:v>100.53096491487338</x:v>
      </x:c>
    </x:row>
    <x:row r="1141">
      <x:c r="A1141" t="n">
        <x:v>1124</x:v>
      </x:c>
      <x:c r="B1141" s="40" t="n">
        <x:v>-1.2945744799676966</x:v>
      </x:c>
      <x:c r="C1141" s="40" t="n">
        <x:v>-0.2749259297863844</x:v>
      </x:c>
      <x:c r="D1141" s="40" t="n">
        <x:v>0.4343850822367843</x:v>
      </x:c>
      <x:c r="E1141" t="n">
        <x:f>--((B1141^2/$B$4^2+C1141^2/$B$5^2+D1141^2/$B$6^2)&lt;=1)</x:f>
        <x:v>1</x:v>
      </x:c>
      <x:c r="F1141" s="42" t="n">
        <x:f>$B$8*SUM($E$18:E1141)/A1141</x:f>
        <x:v>100.95373665480427</x:v>
      </x:c>
      <x:c r="G1141" s="42" t="n">
        <x:f>$B$11</x:f>
        <x:v>100.53096491487338</x:v>
      </x:c>
      <x:c r="I1141" t="n">
        <x:f>A1141</x:f>
        <x:v>1124</x:v>
      </x:c>
      <x:c r="J1141" t="n">
        <x:f>F1141</x:f>
        <x:v>100.95373665480427</x:v>
      </x:c>
      <x:c r="K1141" t="n">
        <x:f>G1141</x:f>
        <x:v>100.53096491487338</x:v>
      </x:c>
    </x:row>
    <x:row r="1142">
      <x:c r="A1142" t="n">
        <x:v>1125</x:v>
      </x:c>
      <x:c r="B1142" s="40" t="n">
        <x:v>-0.3060184212813848</x:v>
      </x:c>
      <x:c r="C1142" s="40" t="n">
        <x:v>-1.857482972001903</x:v>
      </x:c>
      <x:c r="D1142" s="40" t="n">
        <x:v>0.4203835181838391</x:v>
      </x:c>
      <x:c r="E1142" t="n">
        <x:f>--((B1142^2/$B$4^2+C1142^2/$B$5^2+D1142^2/$B$6^2)&lt;=1)</x:f>
        <x:v>1</x:v>
      </x:c>
      <x:c r="F1142" s="42" t="n">
        <x:f>$B$8*SUM($E$18:E1142)/A1142</x:f>
        <x:v>101.03466666666667</x:v>
      </x:c>
      <x:c r="G1142" s="42" t="n">
        <x:f>$B$11</x:f>
        <x:v>100.53096491487338</x:v>
      </x:c>
      <x:c r="I1142" t="n">
        <x:f>A1142</x:f>
        <x:v>1125</x:v>
      </x:c>
      <x:c r="J1142" t="n">
        <x:f>F1142</x:f>
        <x:v>101.03466666666667</x:v>
      </x:c>
      <x:c r="K1142" t="n">
        <x:f>G1142</x:f>
        <x:v>100.53096491487338</x:v>
      </x:c>
    </x:row>
    <x:row r="1143">
      <x:c r="A1143" t="n">
        <x:v>1126</x:v>
      </x:c>
      <x:c r="B1143" s="40" t="n">
        <x:v>0.20873971423731996</x:v>
      </x:c>
      <x:c r="C1143" s="40" t="n">
        <x:v>-1.8419547830474021</x:v>
      </x:c>
      <x:c r="D1143" s="40" t="n">
        <x:v>-3.6651077967452954</x:v>
      </x:c>
      <x:c r="E1143" t="n">
        <x:f>--((B1143^2/$B$4^2+C1143^2/$B$5^2+D1143^2/$B$6^2)&lt;=1)</x:f>
        <x:v>0</x:v>
      </x:c>
      <x:c r="F1143" s="42" t="n">
        <x:f>$B$8*SUM($E$18:E1143)/A1143</x:f>
        <x:v>100.9449378330373</x:v>
      </x:c>
      <x:c r="G1143" s="42" t="n">
        <x:f>$B$11</x:f>
        <x:v>100.53096491487338</x:v>
      </x:c>
      <x:c r="I1143" t="n">
        <x:f>A1143</x:f>
        <x:v>1126</x:v>
      </x:c>
      <x:c r="J1143" t="n">
        <x:f>F1143</x:f>
        <x:v>100.9449378330373</x:v>
      </x:c>
      <x:c r="K1143" t="n">
        <x:f>G1143</x:f>
        <x:v>100.53096491487338</x:v>
      </x:c>
    </x:row>
    <x:row r="1144">
      <x:c r="A1144" t="n">
        <x:v>1127</x:v>
      </x:c>
      <x:c r="B1144" s="40" t="n">
        <x:v>0.003064596321113111</x:v>
      </x:c>
      <x:c r="C1144" s="40" t="n">
        <x:v>0.2504314299793702</x:v>
      </x:c>
      <x:c r="D1144" s="40" t="n">
        <x:v>-0.484145867368861</x:v>
      </x:c>
      <x:c r="E1144" t="n">
        <x:f>--((B1144^2/$B$4^2+C1144^2/$B$5^2+D1144^2/$B$6^2)&lt;=1)</x:f>
        <x:v>1</x:v>
      </x:c>
      <x:c r="F1144" s="42" t="n">
        <x:f>$B$8*SUM($E$18:E1144)/A1144</x:f>
        <x:v>101.0257320319432</x:v>
      </x:c>
      <x:c r="G1144" s="42" t="n">
        <x:f>$B$11</x:f>
        <x:v>100.53096491487338</x:v>
      </x:c>
      <x:c r="I1144" t="n">
        <x:f>A1144</x:f>
        <x:v>1127</x:v>
      </x:c>
      <x:c r="J1144" t="n">
        <x:f>F1144</x:f>
        <x:v>101.0257320319432</x:v>
      </x:c>
      <x:c r="K1144" t="n">
        <x:f>G1144</x:f>
        <x:v>100.53096491487338</x:v>
      </x:c>
    </x:row>
    <x:row r="1145">
      <x:c r="A1145" t="n">
        <x:v>1128</x:v>
      </x:c>
      <x:c r="B1145" s="40" t="n">
        <x:v>0.7446516624606017</x:v>
      </x:c>
      <x:c r="C1145" s="40" t="n">
        <x:v>-2.226735571977149</x:v>
      </x:c>
      <x:c r="D1145" s="40" t="n">
        <x:v>-2.289454761662153</x:v>
      </x:c>
      <x:c r="E1145" t="n">
        <x:f>--((B1145^2/$B$4^2+C1145^2/$B$5^2+D1145^2/$B$6^2)&lt;=1)</x:f>
        <x:v>0</x:v>
      </x:c>
      <x:c r="F1145" s="42" t="n">
        <x:f>$B$8*SUM($E$18:E1145)/A1145</x:f>
        <x:v>100.93617021276596</x:v>
      </x:c>
      <x:c r="G1145" s="42" t="n">
        <x:f>$B$11</x:f>
        <x:v>100.53096491487338</x:v>
      </x:c>
      <x:c r="I1145" t="n">
        <x:f>A1145</x:f>
        <x:v>1128</x:v>
      </x:c>
      <x:c r="J1145" t="n">
        <x:f>F1145</x:f>
        <x:v>100.93617021276596</x:v>
      </x:c>
      <x:c r="K1145" t="n">
        <x:f>G1145</x:f>
        <x:v>100.53096491487338</x:v>
      </x:c>
    </x:row>
    <x:row r="1146">
      <x:c r="A1146" t="n">
        <x:v>1129</x:v>
      </x:c>
      <x:c r="B1146" s="40" t="n">
        <x:v>0.6107469394770209</x:v>
      </x:c>
      <x:c r="C1146" s="40" t="n">
        <x:v>1.1333820479330106</x:v>
      </x:c>
      <x:c r="D1146" s="40" t="n">
        <x:v>3.3335606246827982</x:v>
      </x:c>
      <x:c r="E1146" t="n">
        <x:f>--((B1146^2/$B$4^2+C1146^2/$B$5^2+D1146^2/$B$6^2)&lt;=1)</x:f>
        <x:v>1</x:v>
      </x:c>
      <x:c r="F1146" s="42" t="n">
        <x:f>$B$8*SUM($E$18:E1146)/A1146</x:f>
        <x:v>101.01682905225863</x:v>
      </x:c>
      <x:c r="G1146" s="42" t="n">
        <x:f>$B$11</x:f>
        <x:v>100.53096491487338</x:v>
      </x:c>
      <x:c r="I1146" t="n">
        <x:f>A1146</x:f>
        <x:v>1129</x:v>
      </x:c>
      <x:c r="J1146" t="n">
        <x:f>F1146</x:f>
        <x:v>101.01682905225863</x:v>
      </x:c>
      <x:c r="K1146" t="n">
        <x:f>G1146</x:f>
        <x:v>100.53096491487338</x:v>
      </x:c>
    </x:row>
    <x:row r="1147">
      <x:c r="A1147" t="n">
        <x:v>1130</x:v>
      </x:c>
      <x:c r="B1147" s="40" t="n">
        <x:v>1.9681680221122195</x:v>
      </x:c>
      <x:c r="C1147" s="40" t="n">
        <x:v>2.6636827551755795</x:v>
      </x:c>
      <x:c r="D1147" s="40" t="n">
        <x:v>3.8126399209866726</x:v>
      </x:c>
      <x:c r="E1147" t="n">
        <x:f>--((B1147^2/$B$4^2+C1147^2/$B$5^2+D1147^2/$B$6^2)&lt;=1)</x:f>
        <x:v>0</x:v>
      </x:c>
      <x:c r="F1147" s="42" t="n">
        <x:f>$B$8*SUM($E$18:E1147)/A1147</x:f>
        <x:v>100.92743362831858</x:v>
      </x:c>
      <x:c r="G1147" s="42" t="n">
        <x:f>$B$11</x:f>
        <x:v>100.53096491487338</x:v>
      </x:c>
      <x:c r="I1147" t="n">
        <x:f>A1147</x:f>
        <x:v>1130</x:v>
      </x:c>
      <x:c r="J1147" t="n">
        <x:f>F1147</x:f>
        <x:v>100.92743362831858</x:v>
      </x:c>
      <x:c r="K1147" t="n">
        <x:f>G1147</x:f>
        <x:v>100.53096491487338</x:v>
      </x:c>
    </x:row>
    <x:row r="1148">
      <x:c r="A1148" t="n">
        <x:v>1131</x:v>
      </x:c>
      <x:c r="B1148" s="40" t="n">
        <x:v>1.9976876368967513</x:v>
      </x:c>
      <x:c r="C1148" s="40" t="n">
        <x:v>-0.4392262700137306</x:v>
      </x:c>
      <x:c r="D1148" s="40" t="n">
        <x:v>-1.6028248291834473</x:v>
      </x:c>
      <x:c r="E1148" t="n">
        <x:f>--((B1148^2/$B$4^2+C1148^2/$B$5^2+D1148^2/$B$6^2)&lt;=1)</x:f>
        <x:v>0</x:v>
      </x:c>
      <x:c r="F1148" s="42" t="n">
        <x:f>$B$8*SUM($E$18:E1148)/A1148</x:f>
        <x:v>100.83819628647215</x:v>
      </x:c>
      <x:c r="G1148" s="42" t="n">
        <x:f>$B$11</x:f>
        <x:v>100.53096491487338</x:v>
      </x:c>
      <x:c r="I1148" t="n">
        <x:f>A1148</x:f>
        <x:v>1131</x:v>
      </x:c>
      <x:c r="J1148" t="n">
        <x:f>F1148</x:f>
        <x:v>100.83819628647215</x:v>
      </x:c>
      <x:c r="K1148" t="n">
        <x:f>G1148</x:f>
        <x:v>100.53096491487338</x:v>
      </x:c>
    </x:row>
    <x:row r="1149">
      <x:c r="A1149" t="n">
        <x:v>1132</x:v>
      </x:c>
      <x:c r="B1149" s="40" t="n">
        <x:v>0.06583761054256376</x:v>
      </x:c>
      <x:c r="C1149" s="40" t="n">
        <x:v>2.4066318789040606</x:v>
      </x:c>
      <x:c r="D1149" s="40" t="n">
        <x:v>-2.59851682199153</x:v>
      </x:c>
      <x:c r="E1149" t="n">
        <x:f>--((B1149^2/$B$4^2+C1149^2/$B$5^2+D1149^2/$B$6^2)&lt;=1)</x:f>
        <x:v>0</x:v>
      </x:c>
      <x:c r="F1149" s="42" t="n">
        <x:f>$B$8*SUM($E$18:E1149)/A1149</x:f>
        <x:v>100.74911660777386</x:v>
      </x:c>
      <x:c r="G1149" s="42" t="n">
        <x:f>$B$11</x:f>
        <x:v>100.53096491487338</x:v>
      </x:c>
      <x:c r="I1149" t="n">
        <x:f>A1149</x:f>
        <x:v>1132</x:v>
      </x:c>
      <x:c r="J1149" t="n">
        <x:f>F1149</x:f>
        <x:v>100.74911660777386</x:v>
      </x:c>
      <x:c r="K1149" t="n">
        <x:f>G1149</x:f>
        <x:v>100.53096491487338</x:v>
      </x:c>
    </x:row>
    <x:row r="1150">
      <x:c r="A1150" t="n">
        <x:v>1133</x:v>
      </x:c>
      <x:c r="B1150" s="40" t="n">
        <x:v>-1.619203652156544</x:v>
      </x:c>
      <x:c r="C1150" s="40" t="n">
        <x:v>-2.410100453244813</x:v>
      </x:c>
      <x:c r="D1150" s="40" t="n">
        <x:v>-2.2439667924132554</x:v>
      </x:c>
      <x:c r="E1150" t="n">
        <x:f>--((B1150^2/$B$4^2+C1150^2/$B$5^2+D1150^2/$B$6^2)&lt;=1)</x:f>
        <x:v>0</x:v>
      </x:c>
      <x:c r="F1150" s="42" t="n">
        <x:f>$B$8*SUM($E$18:E1150)/A1150</x:f>
        <x:v>100.66019417475728</x:v>
      </x:c>
      <x:c r="G1150" s="42" t="n">
        <x:f>$B$11</x:f>
        <x:v>100.53096491487338</x:v>
      </x:c>
      <x:c r="I1150" t="n">
        <x:f>A1150</x:f>
        <x:v>1133</x:v>
      </x:c>
      <x:c r="J1150" t="n">
        <x:f>F1150</x:f>
        <x:v>100.66019417475728</x:v>
      </x:c>
      <x:c r="K1150" t="n">
        <x:f>G1150</x:f>
        <x:v>100.53096491487338</x:v>
      </x:c>
    </x:row>
    <x:row r="1151">
      <x:c r="A1151" t="n">
        <x:v>1134</x:v>
      </x:c>
      <x:c r="B1151" s="40" t="n">
        <x:v>0.9113731958748734</x:v>
      </x:c>
      <x:c r="C1151" s="40" t="n">
        <x:v>-2.742254235746133</x:v>
      </x:c>
      <x:c r="D1151" s="40" t="n">
        <x:v>-0.1779819571763701</x:v>
      </x:c>
      <x:c r="E1151" t="n">
        <x:f>--((B1151^2/$B$4^2+C1151^2/$B$5^2+D1151^2/$B$6^2)&lt;=1)</x:f>
        <x:v>0</x:v>
      </x:c>
      <x:c r="F1151" s="42" t="n">
        <x:f>$B$8*SUM($E$18:E1151)/A1151</x:f>
        <x:v>100.57142857142857</x:v>
      </x:c>
      <x:c r="G1151" s="42" t="n">
        <x:f>$B$11</x:f>
        <x:v>100.53096491487338</x:v>
      </x:c>
      <x:c r="I1151" t="n">
        <x:f>A1151</x:f>
        <x:v>1134</x:v>
      </x:c>
      <x:c r="J1151" t="n">
        <x:f>F1151</x:f>
        <x:v>100.57142857142857</x:v>
      </x:c>
      <x:c r="K1151" t="n">
        <x:f>G1151</x:f>
        <x:v>100.53096491487338</x:v>
      </x:c>
    </x:row>
    <x:row r="1152">
      <x:c r="A1152" t="n">
        <x:v>1135</x:v>
      </x:c>
      <x:c r="B1152" s="40" t="n">
        <x:v>1.9066563128663567</x:v>
      </x:c>
      <x:c r="C1152" s="40" t="n">
        <x:v>1.3282132650830398</x:v>
      </x:c>
      <x:c r="D1152" s="40" t="n">
        <x:v>2.996044792905427</x:v>
      </x:c>
      <x:c r="E1152" t="n">
        <x:f>--((B1152^2/$B$4^2+C1152^2/$B$5^2+D1152^2/$B$6^2)&lt;=1)</x:f>
        <x:v>0</x:v>
      </x:c>
      <x:c r="F1152" s="42" t="n">
        <x:f>$B$8*SUM($E$18:E1152)/A1152</x:f>
        <x:v>100.48281938325991</x:v>
      </x:c>
      <x:c r="G1152" s="42" t="n">
        <x:f>$B$11</x:f>
        <x:v>100.53096491487338</x:v>
      </x:c>
      <x:c r="I1152" t="n">
        <x:f>A1152</x:f>
        <x:v>1135</x:v>
      </x:c>
      <x:c r="J1152" t="n">
        <x:f>F1152</x:f>
        <x:v>100.48281938325991</x:v>
      </x:c>
      <x:c r="K1152" t="n">
        <x:f>G1152</x:f>
        <x:v>100.53096491487338</x:v>
      </x:c>
    </x:row>
    <x:row r="1153">
      <x:c r="A1153" t="n">
        <x:v>1136</x:v>
      </x:c>
      <x:c r="B1153" s="40" t="n">
        <x:v>-0.7266944494839187</x:v>
      </x:c>
      <x:c r="C1153" s="40" t="n">
        <x:v>1.5661294378889794</x:v>
      </x:c>
      <x:c r="D1153" s="40" t="n">
        <x:v>0.0002897195011168918</x:v>
      </x:c>
      <x:c r="E1153" t="n">
        <x:f>--((B1153^2/$B$4^2+C1153^2/$B$5^2+D1153^2/$B$6^2)&lt;=1)</x:f>
        <x:v>1</x:v>
      </x:c>
      <x:c r="F1153" s="42" t="n">
        <x:f>$B$8*SUM($E$18:E1153)/A1153</x:f>
        <x:v>100.56338028169014</x:v>
      </x:c>
      <x:c r="G1153" s="42" t="n">
        <x:f>$B$11</x:f>
        <x:v>100.53096491487338</x:v>
      </x:c>
      <x:c r="I1153" t="n">
        <x:f>A1153</x:f>
        <x:v>1136</x:v>
      </x:c>
      <x:c r="J1153" t="n">
        <x:f>F1153</x:f>
        <x:v>100.56338028169014</x:v>
      </x:c>
      <x:c r="K1153" t="n">
        <x:f>G1153</x:f>
        <x:v>100.53096491487338</x:v>
      </x:c>
    </x:row>
    <x:row r="1154">
      <x:c r="A1154" t="n">
        <x:v>1137</x:v>
      </x:c>
      <x:c r="B1154" s="40" t="n">
        <x:v>-0.1551644566497048</x:v>
      </x:c>
      <x:c r="C1154" s="40" t="n">
        <x:v>2.0583494457945077</x:v>
      </x:c>
      <x:c r="D1154" s="40" t="n">
        <x:v>-3.556863506277619</x:v>
      </x:c>
      <x:c r="E1154" t="n">
        <x:f>--((B1154^2/$B$4^2+C1154^2/$B$5^2+D1154^2/$B$6^2)&lt;=1)</x:f>
        <x:v>0</x:v>
      </x:c>
      <x:c r="F1154" s="42" t="n">
        <x:f>$B$8*SUM($E$18:E1154)/A1154</x:f>
        <x:v>100.47493403693932</x:v>
      </x:c>
      <x:c r="G1154" s="42" t="n">
        <x:f>$B$11</x:f>
        <x:v>100.53096491487338</x:v>
      </x:c>
      <x:c r="I1154" t="n">
        <x:f>A1154</x:f>
        <x:v>1137</x:v>
      </x:c>
      <x:c r="J1154" t="n">
        <x:f>F1154</x:f>
        <x:v>100.47493403693932</x:v>
      </x:c>
      <x:c r="K1154" t="n">
        <x:f>G1154</x:f>
        <x:v>100.53096491487338</x:v>
      </x:c>
    </x:row>
    <x:row r="1155">
      <x:c r="A1155" t="n">
        <x:v>1138</x:v>
      </x:c>
      <x:c r="B1155" s="40" t="n">
        <x:v>-0.3008923007381763</x:v>
      </x:c>
      <x:c r="C1155" s="40" t="n">
        <x:v>-2.6590939296001115</x:v>
      </x:c>
      <x:c r="D1155" s="40" t="n">
        <x:v>-3.680915178294848</x:v>
      </x:c>
      <x:c r="E1155" t="n">
        <x:f>--((B1155^2/$B$4^2+C1155^2/$B$5^2+D1155^2/$B$6^2)&lt;=1)</x:f>
        <x:v>0</x:v>
      </x:c>
      <x:c r="F1155" s="42" t="n">
        <x:f>$B$8*SUM($E$18:E1155)/A1155</x:f>
        <x:v>100.38664323374341</x:v>
      </x:c>
      <x:c r="G1155" s="42" t="n">
        <x:f>$B$11</x:f>
        <x:v>100.53096491487338</x:v>
      </x:c>
      <x:c r="I1155" t="n">
        <x:f>A1155</x:f>
        <x:v>1138</x:v>
      </x:c>
      <x:c r="J1155" t="n">
        <x:f>F1155</x:f>
        <x:v>100.38664323374341</x:v>
      </x:c>
      <x:c r="K1155" t="n">
        <x:f>G1155</x:f>
        <x:v>100.53096491487338</x:v>
      </x:c>
    </x:row>
    <x:row r="1156">
      <x:c r="A1156" t="n">
        <x:v>1139</x:v>
      </x:c>
      <x:c r="B1156" s="40" t="n">
        <x:v>-1.7943233817722826</x:v>
      </x:c>
      <x:c r="C1156" s="40" t="n">
        <x:v>1.6614423297409822</x:v>
      </x:c>
      <x:c r="D1156" s="40" t="n">
        <x:v>-2.1808724350172115</x:v>
      </x:c>
      <x:c r="E1156" t="n">
        <x:f>--((B1156^2/$B$4^2+C1156^2/$B$5^2+D1156^2/$B$6^2)&lt;=1)</x:f>
        <x:v>0</x:v>
      </x:c>
      <x:c r="F1156" s="42" t="n">
        <x:f>$B$8*SUM($E$18:E1156)/A1156</x:f>
        <x:v>100.29850746268657</x:v>
      </x:c>
      <x:c r="G1156" s="42" t="n">
        <x:f>$B$11</x:f>
        <x:v>100.53096491487338</x:v>
      </x:c>
      <x:c r="I1156" t="n">
        <x:f>A1156</x:f>
        <x:v>1139</x:v>
      </x:c>
      <x:c r="J1156" t="n">
        <x:f>F1156</x:f>
        <x:v>100.29850746268657</x:v>
      </x:c>
      <x:c r="K1156" t="n">
        <x:f>G1156</x:f>
        <x:v>100.53096491487338</x:v>
      </x:c>
    </x:row>
    <x:row r="1157">
      <x:c r="A1157" t="n">
        <x:v>1140</x:v>
      </x:c>
      <x:c r="B1157" s="40" t="n">
        <x:v>0.6890577248937793</x:v>
      </x:c>
      <x:c r="C1157" s="40" t="n">
        <x:v>-0.740767603220509</x:v>
      </x:c>
      <x:c r="D1157" s="40" t="n">
        <x:v>2.7421702208754306</x:v>
      </x:c>
      <x:c r="E1157" t="n">
        <x:f>--((B1157^2/$B$4^2+C1157^2/$B$5^2+D1157^2/$B$6^2)&lt;=1)</x:f>
        <x:v>1</x:v>
      </x:c>
      <x:c r="F1157" s="42" t="n">
        <x:f>$B$8*SUM($E$18:E1157)/A1157</x:f>
        <x:v>100.37894736842105</x:v>
      </x:c>
      <x:c r="G1157" s="42" t="n">
        <x:f>$B$11</x:f>
        <x:v>100.53096491487338</x:v>
      </x:c>
      <x:c r="I1157" t="n">
        <x:f>A1157</x:f>
        <x:v>1140</x:v>
      </x:c>
      <x:c r="J1157" t="n">
        <x:f>F1157</x:f>
        <x:v>100.37894736842105</x:v>
      </x:c>
      <x:c r="K1157" t="n">
        <x:f>G1157</x:f>
        <x:v>100.53096491487338</x:v>
      </x:c>
    </x:row>
    <x:row r="1158">
      <x:c r="A1158" t="n">
        <x:v>1141</x:v>
      </x:c>
      <x:c r="B1158" s="40" t="n">
        <x:v>-0.5866492197261288</x:v>
      </x:c>
      <x:c r="C1158" s="40" t="n">
        <x:v>-1.1799742039068084</x:v>
      </x:c>
      <x:c r="D1158" s="40" t="n">
        <x:v>0.9718444602811518</x:v>
      </x:c>
      <x:c r="E1158" t="n">
        <x:f>--((B1158^2/$B$4^2+C1158^2/$B$5^2+D1158^2/$B$6^2)&lt;=1)</x:f>
        <x:v>1</x:v>
      </x:c>
      <x:c r="F1158" s="42" t="n">
        <x:f>$B$8*SUM($E$18:E1158)/A1158</x:f>
        <x:v>100.4592462751972</x:v>
      </x:c>
      <x:c r="G1158" s="42" t="n">
        <x:f>$B$11</x:f>
        <x:v>100.53096491487338</x:v>
      </x:c>
      <x:c r="I1158" t="n">
        <x:f>A1158</x:f>
        <x:v>1141</x:v>
      </x:c>
      <x:c r="J1158" t="n">
        <x:f>F1158</x:f>
        <x:v>100.4592462751972</x:v>
      </x:c>
      <x:c r="K1158" t="n">
        <x:f>G1158</x:f>
        <x:v>100.53096491487338</x:v>
      </x:c>
    </x:row>
    <x:row r="1159">
      <x:c r="A1159" t="n">
        <x:v>1142</x:v>
      </x:c>
      <x:c r="B1159" s="40" t="n">
        <x:v>1.149855498526009</x:v>
      </x:c>
      <x:c r="C1159" s="40" t="n">
        <x:v>-1.9618564719402185</x:v>
      </x:c>
      <x:c r="D1159" s="40" t="n">
        <x:v>0.5036628302903319</x:v>
      </x:c>
      <x:c r="E1159" t="n">
        <x:f>--((B1159^2/$B$4^2+C1159^2/$B$5^2+D1159^2/$B$6^2)&lt;=1)</x:f>
        <x:v>1</x:v>
      </x:c>
      <x:c r="F1159" s="42" t="n">
        <x:f>$B$8*SUM($E$18:E1159)/A1159</x:f>
        <x:v>100.53940455341507</x:v>
      </x:c>
      <x:c r="G1159" s="42" t="n">
        <x:f>$B$11</x:f>
        <x:v>100.53096491487338</x:v>
      </x:c>
      <x:c r="I1159" t="n">
        <x:f>A1159</x:f>
        <x:v>1142</x:v>
      </x:c>
      <x:c r="J1159" t="n">
        <x:f>F1159</x:f>
        <x:v>100.53940455341507</x:v>
      </x:c>
      <x:c r="K1159" t="n">
        <x:f>G1159</x:f>
        <x:v>100.53096491487338</x:v>
      </x:c>
    </x:row>
    <x:row r="1160">
      <x:c r="A1160" t="n">
        <x:v>1143</x:v>
      </x:c>
      <x:c r="B1160" s="40" t="n">
        <x:v>1.3284803011279442</x:v>
      </x:c>
      <x:c r="C1160" s="40" t="n">
        <x:v>2.9760945306151623</x:v>
      </x:c>
      <x:c r="D1160" s="40" t="n">
        <x:v>-1.448243259338863</x:v>
      </x:c>
      <x:c r="E1160" t="n">
        <x:f>--((B1160^2/$B$4^2+C1160^2/$B$5^2+D1160^2/$B$6^2)&lt;=1)</x:f>
        <x:v>0</x:v>
      </x:c>
      <x:c r="F1160" s="42" t="n">
        <x:f>$B$8*SUM($E$18:E1160)/A1160</x:f>
        <x:v>100.4514435695538</x:v>
      </x:c>
      <x:c r="G1160" s="42" t="n">
        <x:f>$B$11</x:f>
        <x:v>100.53096491487338</x:v>
      </x:c>
      <x:c r="I1160" t="n">
        <x:f>A1160</x:f>
        <x:v>1143</x:v>
      </x:c>
      <x:c r="J1160" t="n">
        <x:f>F1160</x:f>
        <x:v>100.4514435695538</x:v>
      </x:c>
      <x:c r="K1160" t="n">
        <x:f>G1160</x:f>
        <x:v>100.53096491487338</x:v>
      </x:c>
    </x:row>
    <x:row r="1161">
      <x:c r="A1161" t="n">
        <x:v>1144</x:v>
      </x:c>
      <x:c r="B1161" s="40" t="n">
        <x:v>1.2849231463913817</x:v>
      </x:c>
      <x:c r="C1161" s="40" t="n">
        <x:v>-2.618018464086818</x:v>
      </x:c>
      <x:c r="D1161" s="40" t="n">
        <x:v>3.4354032403694985</x:v>
      </x:c>
      <x:c r="E1161" t="n">
        <x:f>--((B1161^2/$B$4^2+C1161^2/$B$5^2+D1161^2/$B$6^2)&lt;=1)</x:f>
        <x:v>0</x:v>
      </x:c>
      <x:c r="F1161" s="42" t="n">
        <x:f>$B$8*SUM($E$18:E1161)/A1161</x:f>
        <x:v>100.36363636363636</x:v>
      </x:c>
      <x:c r="G1161" s="42" t="n">
        <x:f>$B$11</x:f>
        <x:v>100.53096491487338</x:v>
      </x:c>
      <x:c r="I1161" t="n">
        <x:f>A1161</x:f>
        <x:v>1144</x:v>
      </x:c>
      <x:c r="J1161" t="n">
        <x:f>F1161</x:f>
        <x:v>100.36363636363636</x:v>
      </x:c>
      <x:c r="K1161" t="n">
        <x:f>G1161</x:f>
        <x:v>100.53096491487338</x:v>
      </x:c>
    </x:row>
    <x:row r="1162">
      <x:c r="A1162" t="n">
        <x:v>1145</x:v>
      </x:c>
      <x:c r="B1162" s="40" t="n">
        <x:v>-0.33333600784047945</x:v>
      </x:c>
      <x:c r="C1162" s="40" t="n">
        <x:v>1.9620480876479967</x:v>
      </x:c>
      <x:c r="D1162" s="40" t="n">
        <x:v>-1.3505740403029405</x:v>
      </x:c>
      <x:c r="E1162" t="n">
        <x:f>--((B1162^2/$B$4^2+C1162^2/$B$5^2+D1162^2/$B$6^2)&lt;=1)</x:f>
        <x:v>1</x:v>
      </x:c>
      <x:c r="F1162" s="42" t="n">
        <x:f>$B$8*SUM($E$18:E1162)/A1162</x:f>
        <x:v>100.44366812227074</x:v>
      </x:c>
      <x:c r="G1162" s="42" t="n">
        <x:f>$B$11</x:f>
        <x:v>100.53096491487338</x:v>
      </x:c>
      <x:c r="I1162" t="n">
        <x:f>A1162</x:f>
        <x:v>1145</x:v>
      </x:c>
      <x:c r="J1162" t="n">
        <x:f>F1162</x:f>
        <x:v>100.44366812227074</x:v>
      </x:c>
      <x:c r="K1162" t="n">
        <x:f>G1162</x:f>
        <x:v>100.53096491487338</x:v>
      </x:c>
    </x:row>
    <x:row r="1163">
      <x:c r="A1163" t="n">
        <x:v>1146</x:v>
      </x:c>
      <x:c r="B1163" s="40" t="n">
        <x:v>-0.7138172710364019</x:v>
      </x:c>
      <x:c r="C1163" s="40" t="n">
        <x:v>0.836966612943165</x:v>
      </x:c>
      <x:c r="D1163" s="40" t="n">
        <x:v>2.6795553012235738</x:v>
      </x:c>
      <x:c r="E1163" t="n">
        <x:f>--((B1163^2/$B$4^2+C1163^2/$B$5^2+D1163^2/$B$6^2)&lt;=1)</x:f>
        <x:v>1</x:v>
      </x:c>
      <x:c r="F1163" s="42" t="n">
        <x:f>$B$8*SUM($E$18:E1163)/A1163</x:f>
        <x:v>100.52356020942409</x:v>
      </x:c>
      <x:c r="G1163" s="42" t="n">
        <x:f>$B$11</x:f>
        <x:v>100.53096491487338</x:v>
      </x:c>
      <x:c r="I1163" t="n">
        <x:f>A1163</x:f>
        <x:v>1146</x:v>
      </x:c>
      <x:c r="J1163" t="n">
        <x:f>F1163</x:f>
        <x:v>100.52356020942409</x:v>
      </x:c>
      <x:c r="K1163" t="n">
        <x:f>G1163</x:f>
        <x:v>100.53096491487338</x:v>
      </x:c>
    </x:row>
    <x:row r="1164">
      <x:c r="A1164" t="n">
        <x:v>1147</x:v>
      </x:c>
      <x:c r="B1164" s="40" t="n">
        <x:v>0.9952831186682194</x:v>
      </x:c>
      <x:c r="C1164" s="40" t="n">
        <x:v>1.4104826655712026</x:v>
      </x:c>
      <x:c r="D1164" s="40" t="n">
        <x:v>3.1672281438070726</x:v>
      </x:c>
      <x:c r="E1164" t="n">
        <x:f>--((B1164^2/$B$4^2+C1164^2/$B$5^2+D1164^2/$B$6^2)&lt;=1)</x:f>
        <x:v>0</x:v>
      </x:c>
      <x:c r="F1164" s="42" t="n">
        <x:f>$B$8*SUM($E$18:E1164)/A1164</x:f>
        <x:v>100.4359197907585</x:v>
      </x:c>
      <x:c r="G1164" s="42" t="n">
        <x:f>$B$11</x:f>
        <x:v>100.53096491487338</x:v>
      </x:c>
      <x:c r="I1164" t="n">
        <x:f>A1164</x:f>
        <x:v>1147</x:v>
      </x:c>
      <x:c r="J1164" t="n">
        <x:f>F1164</x:f>
        <x:v>100.4359197907585</x:v>
      </x:c>
      <x:c r="K1164" t="n">
        <x:f>G1164</x:f>
        <x:v>100.53096491487338</x:v>
      </x:c>
    </x:row>
    <x:row r="1165">
      <x:c r="A1165" t="n">
        <x:v>1148</x:v>
      </x:c>
      <x:c r="B1165" s="40" t="n">
        <x:v>1.205557735370892</x:v>
      </x:c>
      <x:c r="C1165" s="40" t="n">
        <x:v>1.270302719530779</x:v>
      </x:c>
      <x:c r="D1165" s="40" t="n">
        <x:v>-0.1333198942709064</x:v>
      </x:c>
      <x:c r="E1165" t="n">
        <x:f>--((B1165^2/$B$4^2+C1165^2/$B$5^2+D1165^2/$B$6^2)&lt;=1)</x:f>
        <x:v>1</x:v>
      </x:c>
      <x:c r="F1165" s="42" t="n">
        <x:f>$B$8*SUM($E$18:E1165)/A1165</x:f>
        <x:v>100.51567944250871</x:v>
      </x:c>
      <x:c r="G1165" s="42" t="n">
        <x:f>$B$11</x:f>
        <x:v>100.53096491487338</x:v>
      </x:c>
      <x:c r="I1165" t="n">
        <x:f>A1165</x:f>
        <x:v>1148</x:v>
      </x:c>
      <x:c r="J1165" t="n">
        <x:f>F1165</x:f>
        <x:v>100.51567944250871</x:v>
      </x:c>
      <x:c r="K1165" t="n">
        <x:f>G1165</x:f>
        <x:v>100.53096491487338</x:v>
      </x:c>
    </x:row>
    <x:row r="1166">
      <x:c r="A1166" t="n">
        <x:v>1149</x:v>
      </x:c>
      <x:c r="B1166" s="40" t="n">
        <x:v>-0.03497021443453541</x:v>
      </x:c>
      <x:c r="C1166" s="40" t="n">
        <x:v>2.1506069104390955</x:v>
      </x:c>
      <x:c r="D1166" s="40" t="n">
        <x:v>3.154314155845941</x:v>
      </x:c>
      <x:c r="E1166" t="n">
        <x:f>--((B1166^2/$B$4^2+C1166^2/$B$5^2+D1166^2/$B$6^2)&lt;=1)</x:f>
        <x:v>0</x:v>
      </x:c>
      <x:c r="F1166" s="42" t="n">
        <x:f>$B$8*SUM($E$18:E1166)/A1166</x:f>
        <x:v>100.42819843342036</x:v>
      </x:c>
      <x:c r="G1166" s="42" t="n">
        <x:f>$B$11</x:f>
        <x:v>100.53096491487338</x:v>
      </x:c>
      <x:c r="I1166" t="n">
        <x:f>A1166</x:f>
        <x:v>1149</x:v>
      </x:c>
      <x:c r="J1166" t="n">
        <x:f>F1166</x:f>
        <x:v>100.42819843342036</x:v>
      </x:c>
      <x:c r="K1166" t="n">
        <x:f>G1166</x:f>
        <x:v>100.53096491487338</x:v>
      </x:c>
    </x:row>
    <x:row r="1167">
      <x:c r="A1167" t="n">
        <x:v>1150</x:v>
      </x:c>
      <x:c r="B1167" s="40" t="n">
        <x:v>1.5721240781452122</x:v>
      </x:c>
      <x:c r="C1167" s="40" t="n">
        <x:v>-1.8972475808633502</x:v>
      </x:c>
      <x:c r="D1167" s="40" t="n">
        <x:v>-1.7855737008716233</x:v>
      </x:c>
      <x:c r="E1167" t="n">
        <x:f>--((B1167^2/$B$4^2+C1167^2/$B$5^2+D1167^2/$B$6^2)&lt;=1)</x:f>
        <x:v>0</x:v>
      </x:c>
      <x:c r="F1167" s="42" t="n">
        <x:f>$B$8*SUM($E$18:E1167)/A1167</x:f>
        <x:v>100.34086956521739</x:v>
      </x:c>
      <x:c r="G1167" s="42" t="n">
        <x:f>$B$11</x:f>
        <x:v>100.53096491487338</x:v>
      </x:c>
      <x:c r="I1167" t="n">
        <x:f>A1167</x:f>
        <x:v>1150</x:v>
      </x:c>
      <x:c r="J1167" t="n">
        <x:f>F1167</x:f>
        <x:v>100.34086956521739</x:v>
      </x:c>
      <x:c r="K1167" t="n">
        <x:f>G1167</x:f>
        <x:v>100.53096491487338</x:v>
      </x:c>
    </x:row>
    <x:row r="1168">
      <x:c r="A1168" t="n">
        <x:v>1151</x:v>
      </x:c>
      <x:c r="B1168" s="40" t="n">
        <x:v>-1.424365215685767</x:v>
      </x:c>
      <x:c r="C1168" s="40" t="n">
        <x:v>-2.9950522989918875</x:v>
      </x:c>
      <x:c r="D1168" s="40" t="n">
        <x:v>1.2674674094662066</x:v>
      </x:c>
      <x:c r="E1168" t="n">
        <x:f>--((B1168^2/$B$4^2+C1168^2/$B$5^2+D1168^2/$B$6^2)&lt;=1)</x:f>
        <x:v>0</x:v>
      </x:c>
      <x:c r="F1168" s="42" t="n">
        <x:f>$B$8*SUM($E$18:E1168)/A1168</x:f>
        <x:v>100.25369244135534</x:v>
      </x:c>
      <x:c r="G1168" s="42" t="n">
        <x:f>$B$11</x:f>
        <x:v>100.53096491487338</x:v>
      </x:c>
      <x:c r="I1168" t="n">
        <x:f>A1168</x:f>
        <x:v>1151</x:v>
      </x:c>
      <x:c r="J1168" t="n">
        <x:f>F1168</x:f>
        <x:v>100.25369244135534</x:v>
      </x:c>
      <x:c r="K1168" t="n">
        <x:f>G1168</x:f>
        <x:v>100.53096491487338</x:v>
      </x:c>
    </x:row>
    <x:row r="1169">
      <x:c r="A1169" t="n">
        <x:v>1152</x:v>
      </x:c>
      <x:c r="B1169" s="40" t="n">
        <x:v>1.5162751186358405</x:v>
      </x:c>
      <x:c r="C1169" s="40" t="n">
        <x:v>0.5911709342595968</x:v>
      </x:c>
      <x:c r="D1169" s="40" t="n">
        <x:v>-3.29629001180491</x:v>
      </x:c>
      <x:c r="E1169" t="n">
        <x:f>--((B1169^2/$B$4^2+C1169^2/$B$5^2+D1169^2/$B$6^2)&lt;=1)</x:f>
        <x:v>0</x:v>
      </x:c>
      <x:c r="F1169" s="42" t="n">
        <x:f>$B$8*SUM($E$18:E1169)/A1169</x:f>
        <x:v>100.16666666666667</x:v>
      </x:c>
      <x:c r="G1169" s="42" t="n">
        <x:f>$B$11</x:f>
        <x:v>100.53096491487338</x:v>
      </x:c>
      <x:c r="I1169" t="n">
        <x:f>A1169</x:f>
        <x:v>1152</x:v>
      </x:c>
      <x:c r="J1169" t="n">
        <x:f>F1169</x:f>
        <x:v>100.16666666666667</x:v>
      </x:c>
      <x:c r="K1169" t="n">
        <x:f>G1169</x:f>
        <x:v>100.53096491487338</x:v>
      </x:c>
    </x:row>
    <x:row r="1170">
      <x:c r="A1170" t="n">
        <x:v>1153</x:v>
      </x:c>
      <x:c r="B1170" s="40" t="n">
        <x:v>-1.615619068112475</x:v>
      </x:c>
      <x:c r="C1170" s="40" t="n">
        <x:v>-0.8768481640599965</x:v>
      </x:c>
      <x:c r="D1170" s="40" t="n">
        <x:v>-0.20852628726084887</x:v>
      </x:c>
      <x:c r="E1170" t="n">
        <x:f>--((B1170^2/$B$4^2+C1170^2/$B$5^2+D1170^2/$B$6^2)&lt;=1)</x:f>
        <x:v>1</x:v>
      </x:c>
      <x:c r="F1170" s="42" t="n">
        <x:f>$B$8*SUM($E$18:E1170)/A1170</x:f>
        <x:v>100.24631396357329</x:v>
      </x:c>
      <x:c r="G1170" s="42" t="n">
        <x:f>$B$11</x:f>
        <x:v>100.53096491487338</x:v>
      </x:c>
      <x:c r="I1170" t="n">
        <x:f>A1170</x:f>
        <x:v>1153</x:v>
      </x:c>
      <x:c r="J1170" t="n">
        <x:f>F1170</x:f>
        <x:v>100.24631396357329</x:v>
      </x:c>
      <x:c r="K1170" t="n">
        <x:f>G1170</x:f>
        <x:v>100.53096491487338</x:v>
      </x:c>
    </x:row>
    <x:row r="1171">
      <x:c r="A1171" t="n">
        <x:v>1154</x:v>
      </x:c>
      <x:c r="B1171" s="40" t="n">
        <x:v>-1.3858979117815444</x:v>
      </x:c>
      <x:c r="C1171" s="40" t="n">
        <x:v>-2.257276013297174</x:v>
      </x:c>
      <x:c r="D1171" s="40" t="n">
        <x:v>-2.2613455827332167</x:v>
      </x:c>
      <x:c r="E1171" t="n">
        <x:f>--((B1171^2/$B$4^2+C1171^2/$B$5^2+D1171^2/$B$6^2)&lt;=1)</x:f>
        <x:v>0</x:v>
      </x:c>
      <x:c r="F1171" s="42" t="n">
        <x:f>$B$8*SUM($E$18:E1171)/A1171</x:f>
        <x:v>100.15944540727902</x:v>
      </x:c>
      <x:c r="G1171" s="42" t="n">
        <x:f>$B$11</x:f>
        <x:v>100.53096491487338</x:v>
      </x:c>
      <x:c r="I1171" t="n">
        <x:f>A1171</x:f>
        <x:v>1154</x:v>
      </x:c>
      <x:c r="J1171" t="n">
        <x:f>F1171</x:f>
        <x:v>100.15944540727902</x:v>
      </x:c>
      <x:c r="K1171" t="n">
        <x:f>G1171</x:f>
        <x:v>100.53096491487338</x:v>
      </x:c>
    </x:row>
    <x:row r="1172">
      <x:c r="A1172" t="n">
        <x:v>1155</x:v>
      </x:c>
      <x:c r="B1172" s="40" t="n">
        <x:v>0.13536005309584143</x:v>
      </x:c>
      <x:c r="C1172" s="40" t="n">
        <x:v>-1.8831674753745669</x:v>
      </x:c>
      <x:c r="D1172" s="40" t="n">
        <x:v>-3.497893776555177</x:v>
      </x:c>
      <x:c r="E1172" t="n">
        <x:f>--((B1172^2/$B$4^2+C1172^2/$B$5^2+D1172^2/$B$6^2)&lt;=1)</x:f>
        <x:v>0</x:v>
      </x:c>
      <x:c r="F1172" s="42" t="n">
        <x:f>$B$8*SUM($E$18:E1172)/A1172</x:f>
        <x:v>100.07272727272728</x:v>
      </x:c>
      <x:c r="G1172" s="42" t="n">
        <x:f>$B$11</x:f>
        <x:v>100.53096491487338</x:v>
      </x:c>
      <x:c r="I1172" t="n">
        <x:f>A1172</x:f>
        <x:v>1155</x:v>
      </x:c>
      <x:c r="J1172" t="n">
        <x:f>F1172</x:f>
        <x:v>100.07272727272728</x:v>
      </x:c>
      <x:c r="K1172" t="n">
        <x:f>G1172</x:f>
        <x:v>100.53096491487338</x:v>
      </x:c>
    </x:row>
    <x:row r="1173">
      <x:c r="A1173" t="n">
        <x:v>1156</x:v>
      </x:c>
      <x:c r="B1173" s="40" t="n">
        <x:v>-1.72992607925034</x:v>
      </x:c>
      <x:c r="C1173" s="40" t="n">
        <x:v>-1.0095041252446626</x:v>
      </x:c>
      <x:c r="D1173" s="40" t="n">
        <x:v>-3.970195935379034</x:v>
      </x:c>
      <x:c r="E1173" t="n">
        <x:f>--((B1173^2/$B$4^2+C1173^2/$B$5^2+D1173^2/$B$6^2)&lt;=1)</x:f>
        <x:v>0</x:v>
      </x:c>
      <x:c r="F1173" s="42" t="n">
        <x:f>$B$8*SUM($E$18:E1173)/A1173</x:f>
        <x:v>99.98615916955018</x:v>
      </x:c>
      <x:c r="G1173" s="42" t="n">
        <x:f>$B$11</x:f>
        <x:v>100.53096491487338</x:v>
      </x:c>
      <x:c r="I1173" t="n">
        <x:f>A1173</x:f>
        <x:v>1156</x:v>
      </x:c>
      <x:c r="J1173" t="n">
        <x:f>F1173</x:f>
        <x:v>99.98615916955018</x:v>
      </x:c>
      <x:c r="K1173" t="n">
        <x:f>G1173</x:f>
        <x:v>100.53096491487338</x:v>
      </x:c>
    </x:row>
    <x:row r="1174">
      <x:c r="A1174" t="n">
        <x:v>1157</x:v>
      </x:c>
      <x:c r="B1174" s="40" t="n">
        <x:v>-1.7887715943995586</x:v>
      </x:c>
      <x:c r="C1174" s="40" t="n">
        <x:v>-2.5785997746797804</x:v>
      </x:c>
      <x:c r="D1174" s="40" t="n">
        <x:v>-1.401983068473533</x:v>
      </x:c>
      <x:c r="E1174" t="n">
        <x:f>--((B1174^2/$B$4^2+C1174^2/$B$5^2+D1174^2/$B$6^2)&lt;=1)</x:f>
        <x:v>0</x:v>
      </x:c>
      <x:c r="F1174" s="42" t="n">
        <x:f>$B$8*SUM($E$18:E1174)/A1174</x:f>
        <x:v>99.89974070872947</x:v>
      </x:c>
      <x:c r="G1174" s="42" t="n">
        <x:f>$B$11</x:f>
        <x:v>100.53096491487338</x:v>
      </x:c>
      <x:c r="I1174" t="n">
        <x:f>A1174</x:f>
        <x:v>1157</x:v>
      </x:c>
      <x:c r="J1174" t="n">
        <x:f>F1174</x:f>
        <x:v>99.89974070872947</x:v>
      </x:c>
      <x:c r="K1174" t="n">
        <x:f>G1174</x:f>
        <x:v>100.53096491487338</x:v>
      </x:c>
    </x:row>
    <x:row r="1175">
      <x:c r="A1175" t="n">
        <x:v>1158</x:v>
      </x:c>
      <x:c r="B1175" s="40" t="n">
        <x:v>-1.997925023337178</x:v>
      </x:c>
      <x:c r="C1175" s="40" t="n">
        <x:v>-2.658520787229295</x:v>
      </x:c>
      <x:c r="D1175" s="40" t="n">
        <x:v>0.7162447562941026</x:v>
      </x:c>
      <x:c r="E1175" t="n">
        <x:f>--((B1175^2/$B$4^2+C1175^2/$B$5^2+D1175^2/$B$6^2)&lt;=1)</x:f>
        <x:v>0</x:v>
      </x:c>
      <x:c r="F1175" s="42" t="n">
        <x:f>$B$8*SUM($E$18:E1175)/A1175</x:f>
        <x:v>99.81347150259067</x:v>
      </x:c>
      <x:c r="G1175" s="42" t="n">
        <x:f>$B$11</x:f>
        <x:v>100.53096491487338</x:v>
      </x:c>
      <x:c r="I1175" t="n">
        <x:f>A1175</x:f>
        <x:v>1158</x:v>
      </x:c>
      <x:c r="J1175" t="n">
        <x:f>F1175</x:f>
        <x:v>99.81347150259067</x:v>
      </x:c>
      <x:c r="K1175" t="n">
        <x:f>G1175</x:f>
        <x:v>100.53096491487338</x:v>
      </x:c>
    </x:row>
    <x:row r="1176">
      <x:c r="A1176" t="n">
        <x:v>1159</x:v>
      </x:c>
      <x:c r="B1176" s="40" t="n">
        <x:v>-0.25473336122294743</x:v>
      </x:c>
      <x:c r="C1176" s="40" t="n">
        <x:v>2.496157528994665</x:v>
      </x:c>
      <x:c r="D1176" s="40" t="n">
        <x:v>-0.35815721879074136</x:v>
      </x:c>
      <x:c r="E1176" t="n">
        <x:f>--((B1176^2/$B$4^2+C1176^2/$B$5^2+D1176^2/$B$6^2)&lt;=1)</x:f>
        <x:v>1</x:v>
      </x:c>
      <x:c r="F1176" s="42" t="n">
        <x:f>$B$8*SUM($E$18:E1176)/A1176</x:f>
        <x:v>99.89301121656601</x:v>
      </x:c>
      <x:c r="G1176" s="42" t="n">
        <x:f>$B$11</x:f>
        <x:v>100.53096491487338</x:v>
      </x:c>
      <x:c r="I1176" t="n">
        <x:f>A1176</x:f>
        <x:v>1159</x:v>
      </x:c>
      <x:c r="J1176" t="n">
        <x:f>F1176</x:f>
        <x:v>99.89301121656601</x:v>
      </x:c>
      <x:c r="K1176" t="n">
        <x:f>G1176</x:f>
        <x:v>100.53096491487338</x:v>
      </x:c>
    </x:row>
    <x:row r="1177">
      <x:c r="A1177" t="n">
        <x:v>1160</x:v>
      </x:c>
      <x:c r="B1177" s="40" t="n">
        <x:v>1.0984955251689192</x:v>
      </x:c>
      <x:c r="C1177" s="40" t="n">
        <x:v>-1.1273835038778228</x:v>
      </x:c>
      <x:c r="D1177" s="40" t="n">
        <x:v>-1.5858456118440314</x:v>
      </x:c>
      <x:c r="E1177" t="n">
        <x:f>--((B1177^2/$B$4^2+C1177^2/$B$5^2+D1177^2/$B$6^2)&lt;=1)</x:f>
        <x:v>1</x:v>
      </x:c>
      <x:c r="F1177" s="42" t="n">
        <x:f>$B$8*SUM($E$18:E1177)/A1177</x:f>
        <x:v>99.97241379310344</x:v>
      </x:c>
      <x:c r="G1177" s="42" t="n">
        <x:f>$B$11</x:f>
        <x:v>100.53096491487338</x:v>
      </x:c>
      <x:c r="I1177" t="n">
        <x:f>A1177</x:f>
        <x:v>1160</x:v>
      </x:c>
      <x:c r="J1177" t="n">
        <x:f>F1177</x:f>
        <x:v>99.97241379310344</x:v>
      </x:c>
      <x:c r="K1177" t="n">
        <x:f>G1177</x:f>
        <x:v>100.53096491487338</x:v>
      </x:c>
    </x:row>
    <x:row r="1178">
      <x:c r="A1178" t="n">
        <x:v>1161</x:v>
      </x:c>
      <x:c r="B1178" s="40" t="n">
        <x:v>-1.8606465988803373</x:v>
      </x:c>
      <x:c r="C1178" s="40" t="n">
        <x:v>2.8933841848415094</x:v>
      </x:c>
      <x:c r="D1178" s="40" t="n">
        <x:v>3.9296002462100086</x:v>
      </x:c>
      <x:c r="E1178" t="n">
        <x:f>--((B1178^2/$B$4^2+C1178^2/$B$5^2+D1178^2/$B$6^2)&lt;=1)</x:f>
        <x:v>0</x:v>
      </x:c>
      <x:c r="F1178" s="42" t="n">
        <x:f>$B$8*SUM($E$18:E1178)/A1178</x:f>
        <x:v>99.88630490956072</x:v>
      </x:c>
      <x:c r="G1178" s="42" t="n">
        <x:f>$B$11</x:f>
        <x:v>100.53096491487338</x:v>
      </x:c>
      <x:c r="I1178" t="n">
        <x:f>A1178</x:f>
        <x:v>1161</x:v>
      </x:c>
      <x:c r="J1178" t="n">
        <x:f>F1178</x:f>
        <x:v>99.88630490956072</x:v>
      </x:c>
      <x:c r="K1178" t="n">
        <x:f>G1178</x:f>
        <x:v>100.53096491487338</x:v>
      </x:c>
    </x:row>
    <x:row r="1179">
      <x:c r="A1179" t="n">
        <x:v>1162</x:v>
      </x:c>
      <x:c r="B1179" s="40" t="n">
        <x:v>0.6090304258634216</x:v>
      </x:c>
      <x:c r="C1179" s="40" t="n">
        <x:v>2.7862020499824</x:v>
      </x:c>
      <x:c r="D1179" s="40" t="n">
        <x:v>3.5162003198374228</x:v>
      </x:c>
      <x:c r="E1179" t="n">
        <x:f>--((B1179^2/$B$4^2+C1179^2/$B$5^2+D1179^2/$B$6^2)&lt;=1)</x:f>
        <x:v>0</x:v>
      </x:c>
      <x:c r="F1179" s="42" t="n">
        <x:f>$B$8*SUM($E$18:E1179)/A1179</x:f>
        <x:v>99.80034423407918</x:v>
      </x:c>
      <x:c r="G1179" s="42" t="n">
        <x:f>$B$11</x:f>
        <x:v>100.53096491487338</x:v>
      </x:c>
      <x:c r="I1179" t="n">
        <x:f>A1179</x:f>
        <x:v>1162</x:v>
      </x:c>
      <x:c r="J1179" t="n">
        <x:f>F1179</x:f>
        <x:v>99.80034423407918</x:v>
      </x:c>
      <x:c r="K1179" t="n">
        <x:f>G1179</x:f>
        <x:v>100.53096491487338</x:v>
      </x:c>
    </x:row>
    <x:row r="1180">
      <x:c r="A1180" t="n">
        <x:v>1163</x:v>
      </x:c>
      <x:c r="B1180" s="40" t="n">
        <x:v>1.292509269664746</x:v>
      </x:c>
      <x:c r="C1180" s="40" t="n">
        <x:v>-2.1445723060373174</x:v>
      </x:c>
      <x:c r="D1180" s="40" t="n">
        <x:v>-2.994773545300025</x:v>
      </x:c>
      <x:c r="E1180" t="n">
        <x:f>--((B1180^2/$B$4^2+C1180^2/$B$5^2+D1180^2/$B$6^2)&lt;=1)</x:f>
        <x:v>0</x:v>
      </x:c>
      <x:c r="F1180" s="42" t="n">
        <x:f>$B$8*SUM($E$18:E1180)/A1180</x:f>
        <x:v>99.71453138435082</x:v>
      </x:c>
      <x:c r="G1180" s="42" t="n">
        <x:f>$B$11</x:f>
        <x:v>100.53096491487338</x:v>
      </x:c>
      <x:c r="I1180" t="n">
        <x:f>A1180</x:f>
        <x:v>1163</x:v>
      </x:c>
      <x:c r="J1180" t="n">
        <x:f>F1180</x:f>
        <x:v>99.71453138435082</x:v>
      </x:c>
      <x:c r="K1180" t="n">
        <x:f>G1180</x:f>
        <x:v>100.53096491487338</x:v>
      </x:c>
    </x:row>
    <x:row r="1181">
      <x:c r="A1181" t="n">
        <x:v>1164</x:v>
      </x:c>
      <x:c r="B1181" s="40" t="n">
        <x:v>-1.3279966056885155</x:v>
      </x:c>
      <x:c r="C1181" s="40" t="n">
        <x:v>1.289545817377146</x:v>
      </x:c>
      <x:c r="D1181" s="40" t="n">
        <x:v>-0.6791405866520419</x:v>
      </x:c>
      <x:c r="E1181" t="n">
        <x:f>--((B1181^2/$B$4^2+C1181^2/$B$5^2+D1181^2/$B$6^2)&lt;=1)</x:f>
        <x:v>1</x:v>
      </x:c>
      <x:c r="F1181" s="42" t="n">
        <x:f>$B$8*SUM($E$18:E1181)/A1181</x:f>
        <x:v>99.79381443298969</x:v>
      </x:c>
      <x:c r="G1181" s="42" t="n">
        <x:f>$B$11</x:f>
        <x:v>100.53096491487338</x:v>
      </x:c>
      <x:c r="I1181" t="n">
        <x:f>A1181</x:f>
        <x:v>1164</x:v>
      </x:c>
      <x:c r="J1181" t="n">
        <x:f>F1181</x:f>
        <x:v>99.79381443298969</x:v>
      </x:c>
      <x:c r="K1181" t="n">
        <x:f>G1181</x:f>
        <x:v>100.53096491487338</x:v>
      </x:c>
    </x:row>
    <x:row r="1182">
      <x:c r="A1182" t="n">
        <x:v>1165</x:v>
      </x:c>
      <x:c r="B1182" s="40" t="n">
        <x:v>-1.412545060714383</x:v>
      </x:c>
      <x:c r="C1182" s="40" t="n">
        <x:v>0.6048293347624152</x:v>
      </x:c>
      <x:c r="D1182" s="40" t="n">
        <x:v>1.1907754719488866</x:v>
      </x:c>
      <x:c r="E1182" t="n">
        <x:f>--((B1182^2/$B$4^2+C1182^2/$B$5^2+D1182^2/$B$6^2)&lt;=1)</x:f>
        <x:v>1</x:v>
      </x:c>
      <x:c r="F1182" s="42" t="n">
        <x:f>$B$8*SUM($E$18:E1182)/A1182</x:f>
        <x:v>99.87296137339055</x:v>
      </x:c>
      <x:c r="G1182" s="42" t="n">
        <x:f>$B$11</x:f>
        <x:v>100.53096491487338</x:v>
      </x:c>
      <x:c r="I1182" t="n">
        <x:f>A1182</x:f>
        <x:v>1165</x:v>
      </x:c>
      <x:c r="J1182" t="n">
        <x:f>F1182</x:f>
        <x:v>99.87296137339055</x:v>
      </x:c>
      <x:c r="K1182" t="n">
        <x:f>G1182</x:f>
        <x:v>100.53096491487338</x:v>
      </x:c>
    </x:row>
    <x:row r="1183">
      <x:c r="A1183" t="n">
        <x:v>1166</x:v>
      </x:c>
      <x:c r="B1183" s="40" t="n">
        <x:v>1.4432038944821444</x:v>
      </x:c>
      <x:c r="C1183" s="40" t="n">
        <x:v>1.1438824386309214</x:v>
      </x:c>
      <x:c r="D1183" s="40" t="n">
        <x:v>1.8679263802394939</x:v>
      </x:c>
      <x:c r="E1183" t="n">
        <x:f>--((B1183^2/$B$4^2+C1183^2/$B$5^2+D1183^2/$B$6^2)&lt;=1)</x:f>
        <x:v>1</x:v>
      </x:c>
      <x:c r="F1183" s="42" t="n">
        <x:f>$B$8*SUM($E$18:E1183)/A1183</x:f>
        <x:v>99.95197255574614</x:v>
      </x:c>
      <x:c r="G1183" s="42" t="n">
        <x:f>$B$11</x:f>
        <x:v>100.53096491487338</x:v>
      </x:c>
      <x:c r="I1183" t="n">
        <x:f>A1183</x:f>
        <x:v>1166</x:v>
      </x:c>
      <x:c r="J1183" t="n">
        <x:f>F1183</x:f>
        <x:v>99.95197255574614</x:v>
      </x:c>
      <x:c r="K1183" t="n">
        <x:f>G1183</x:f>
        <x:v>100.53096491487338</x:v>
      </x:c>
    </x:row>
    <x:row r="1184">
      <x:c r="A1184" t="n">
        <x:v>1167</x:v>
      </x:c>
      <x:c r="B1184" s="40" t="n">
        <x:v>1.292498439800379</x:v>
      </x:c>
      <x:c r="C1184" s="40" t="n">
        <x:v>-2.4228539999131513</x:v>
      </x:c>
      <x:c r="D1184" s="40" t="n">
        <x:v>-1.069022760724077</x:v>
      </x:c>
      <x:c r="E1184" t="n">
        <x:f>--((B1184^2/$B$4^2+C1184^2/$B$5^2+D1184^2/$B$6^2)&lt;=1)</x:f>
        <x:v>0</x:v>
      </x:c>
      <x:c r="F1184" s="42" t="n">
        <x:f>$B$8*SUM($E$18:E1184)/A1184</x:f>
        <x:v>99.86632390745501</x:v>
      </x:c>
      <x:c r="G1184" s="42" t="n">
        <x:f>$B$11</x:f>
        <x:v>100.53096491487338</x:v>
      </x:c>
      <x:c r="I1184" t="n">
        <x:f>A1184</x:f>
        <x:v>1167</x:v>
      </x:c>
      <x:c r="J1184" t="n">
        <x:f>F1184</x:f>
        <x:v>99.86632390745501</x:v>
      </x:c>
      <x:c r="K1184" t="n">
        <x:f>G1184</x:f>
        <x:v>100.53096491487338</x:v>
      </x:c>
    </x:row>
    <x:row r="1185">
      <x:c r="A1185" t="n">
        <x:v>1168</x:v>
      </x:c>
      <x:c r="B1185" s="40" t="n">
        <x:v>0.15576706505674753</x:v>
      </x:c>
      <x:c r="C1185" s="40" t="n">
        <x:v>-1.8686395281926518</x:v>
      </x:c>
      <x:c r="D1185" s="40" t="n">
        <x:v>1.9702545018827813</x:v>
      </x:c>
      <x:c r="E1185" t="n">
        <x:f>--((B1185^2/$B$4^2+C1185^2/$B$5^2+D1185^2/$B$6^2)&lt;=1)</x:f>
        <x:v>1</x:v>
      </x:c>
      <x:c r="F1185" s="42" t="n">
        <x:f>$B$8*SUM($E$18:E1185)/A1185</x:f>
        <x:v>99.94520547945206</x:v>
      </x:c>
      <x:c r="G1185" s="42" t="n">
        <x:f>$B$11</x:f>
        <x:v>100.53096491487338</x:v>
      </x:c>
      <x:c r="I1185" t="n">
        <x:f>A1185</x:f>
        <x:v>1168</x:v>
      </x:c>
      <x:c r="J1185" t="n">
        <x:f>F1185</x:f>
        <x:v>99.94520547945206</x:v>
      </x:c>
      <x:c r="K1185" t="n">
        <x:f>G1185</x:f>
        <x:v>100.53096491487338</x:v>
      </x:c>
    </x:row>
    <x:row r="1186">
      <x:c r="A1186" t="n">
        <x:v>1169</x:v>
      </x:c>
      <x:c r="B1186" s="40" t="n">
        <x:v>1.2767995171759212</x:v>
      </x:c>
      <x:c r="C1186" s="40" t="n">
        <x:v>-2.5401680312947112</x:v>
      </x:c>
      <x:c r="D1186" s="40" t="n">
        <x:v>-3.0067998967145737</x:v>
      </x:c>
      <x:c r="E1186" t="n">
        <x:f>--((B1186^2/$B$4^2+C1186^2/$B$5^2+D1186^2/$B$6^2)&lt;=1)</x:f>
        <x:v>0</x:v>
      </x:c>
      <x:c r="F1186" s="42" t="n">
        <x:f>$B$8*SUM($E$18:E1186)/A1186</x:f>
        <x:v>99.85970915312232</x:v>
      </x:c>
      <x:c r="G1186" s="42" t="n">
        <x:f>$B$11</x:f>
        <x:v>100.53096491487338</x:v>
      </x:c>
      <x:c r="I1186" t="n">
        <x:f>A1186</x:f>
        <x:v>1169</x:v>
      </x:c>
      <x:c r="J1186" t="n">
        <x:f>F1186</x:f>
        <x:v>99.85970915312232</x:v>
      </x:c>
      <x:c r="K1186" t="n">
        <x:f>G1186</x:f>
        <x:v>100.53096491487338</x:v>
      </x:c>
    </x:row>
    <x:row r="1187">
      <x:c r="A1187" t="n">
        <x:v>1170</x:v>
      </x:c>
      <x:c r="B1187" s="40" t="n">
        <x:v>-1.628975690302021</x:v>
      </x:c>
      <x:c r="C1187" s="40" t="n">
        <x:v>0.6248052313024273</x:v>
      </x:c>
      <x:c r="D1187" s="40" t="n">
        <x:v>-1.3454989979383623</x:v>
      </x:c>
      <x:c r="E1187" t="n">
        <x:f>--((B1187^2/$B$4^2+C1187^2/$B$5^2+D1187^2/$B$6^2)&lt;=1)</x:f>
        <x:v>1</x:v>
      </x:c>
      <x:c r="F1187" s="42" t="n">
        <x:f>$B$8*SUM($E$18:E1187)/A1187</x:f>
        <x:v>99.93846153846154</x:v>
      </x:c>
      <x:c r="G1187" s="42" t="n">
        <x:f>$B$11</x:f>
        <x:v>100.53096491487338</x:v>
      </x:c>
      <x:c r="I1187" t="n">
        <x:f>A1187</x:f>
        <x:v>1170</x:v>
      </x:c>
      <x:c r="J1187" t="n">
        <x:f>F1187</x:f>
        <x:v>99.93846153846154</x:v>
      </x:c>
      <x:c r="K1187" t="n">
        <x:f>G1187</x:f>
        <x:v>100.53096491487338</x:v>
      </x:c>
    </x:row>
    <x:row r="1188">
      <x:c r="A1188" t="n">
        <x:v>1171</x:v>
      </x:c>
      <x:c r="B1188" s="40" t="n">
        <x:v>-0.42207392824498235</x:v>
      </x:c>
      <x:c r="C1188" s="40" t="n">
        <x:v>2.9195464550945465</x:v>
      </x:c>
      <x:c r="D1188" s="40" t="n">
        <x:v>1.7314654060472403</x:v>
      </x:c>
      <x:c r="E1188" t="n">
        <x:f>--((B1188^2/$B$4^2+C1188^2/$B$5^2+D1188^2/$B$6^2)&lt;=1)</x:f>
        <x:v>0</x:v>
      </x:c>
      <x:c r="F1188" s="42" t="n">
        <x:f>$B$8*SUM($E$18:E1188)/A1188</x:f>
        <x:v>99.8531169940222</x:v>
      </x:c>
      <x:c r="G1188" s="42" t="n">
        <x:f>$B$11</x:f>
        <x:v>100.53096491487338</x:v>
      </x:c>
      <x:c r="I1188" t="n">
        <x:f>A1188</x:f>
        <x:v>1171</x:v>
      </x:c>
      <x:c r="J1188" t="n">
        <x:f>F1188</x:f>
        <x:v>99.8531169940222</x:v>
      </x:c>
      <x:c r="K1188" t="n">
        <x:f>G1188</x:f>
        <x:v>100.53096491487338</x:v>
      </x:c>
    </x:row>
    <x:row r="1189">
      <x:c r="A1189" t="n">
        <x:v>1172</x:v>
      </x:c>
      <x:c r="B1189" s="40" t="n">
        <x:v>0.9511902244254915</x:v>
      </x:c>
      <x:c r="C1189" s="40" t="n">
        <x:v>1.0319072259476485</x:v>
      </x:c>
      <x:c r="D1189" s="40" t="n">
        <x:v>1.0054623220830008</x:v>
      </x:c>
      <x:c r="E1189" t="n">
        <x:f>--((B1189^2/$B$4^2+C1189^2/$B$5^2+D1189^2/$B$6^2)&lt;=1)</x:f>
        <x:v>1</x:v>
      </x:c>
      <x:c r="F1189" s="42" t="n">
        <x:f>$B$8*SUM($E$18:E1189)/A1189</x:f>
        <x:v>99.93174061433447</x:v>
      </x:c>
      <x:c r="G1189" s="42" t="n">
        <x:f>$B$11</x:f>
        <x:v>100.53096491487338</x:v>
      </x:c>
      <x:c r="I1189" t="n">
        <x:f>A1189</x:f>
        <x:v>1172</x:v>
      </x:c>
      <x:c r="J1189" t="n">
        <x:f>F1189</x:f>
        <x:v>99.93174061433447</x:v>
      </x:c>
      <x:c r="K1189" t="n">
        <x:f>G1189</x:f>
        <x:v>100.53096491487338</x:v>
      </x:c>
    </x:row>
    <x:row r="1190">
      <x:c r="A1190" t="n">
        <x:v>1173</x:v>
      </x:c>
      <x:c r="B1190" s="40" t="n">
        <x:v>-0.9701921627041465</x:v>
      </x:c>
      <x:c r="C1190" s="40" t="n">
        <x:v>1.2645692101315777</x:v>
      </x:c>
      <x:c r="D1190" s="40" t="n">
        <x:v>2.6976817188932394</x:v>
      </x:c>
      <x:c r="E1190" t="n">
        <x:f>--((B1190^2/$B$4^2+C1190^2/$B$5^2+D1190^2/$B$6^2)&lt;=1)</x:f>
        <x:v>1</x:v>
      </x:c>
      <x:c r="F1190" s="42" t="n">
        <x:f>$B$8*SUM($E$18:E1190)/A1190</x:f>
        <x:v>100.01023017902813</x:v>
      </x:c>
      <x:c r="G1190" s="42" t="n">
        <x:f>$B$11</x:f>
        <x:v>100.53096491487338</x:v>
      </x:c>
      <x:c r="I1190" t="n">
        <x:f>A1190</x:f>
        <x:v>1173</x:v>
      </x:c>
      <x:c r="J1190" t="n">
        <x:f>F1190</x:f>
        <x:v>100.01023017902813</x:v>
      </x:c>
      <x:c r="K1190" t="n">
        <x:f>G1190</x:f>
        <x:v>100.53096491487338</x:v>
      </x:c>
    </x:row>
    <x:row r="1191">
      <x:c r="A1191" t="n">
        <x:v>1174</x:v>
      </x:c>
      <x:c r="B1191" s="40" t="n">
        <x:v>1.009315657734211</x:v>
      </x:c>
      <x:c r="C1191" s="40" t="n">
        <x:v>2.907510249259687</x:v>
      </x:c>
      <x:c r="D1191" s="40" t="n">
        <x:v>-3.6251438186627594</x:v>
      </x:c>
      <x:c r="E1191" t="n">
        <x:f>--((B1191^2/$B$4^2+C1191^2/$B$5^2+D1191^2/$B$6^2)&lt;=1)</x:f>
        <x:v>0</x:v>
      </x:c>
      <x:c r="F1191" s="42" t="n">
        <x:f>$B$8*SUM($E$18:E1191)/A1191</x:f>
        <x:v>99.92504258943782</x:v>
      </x:c>
      <x:c r="G1191" s="42" t="n">
        <x:f>$B$11</x:f>
        <x:v>100.53096491487338</x:v>
      </x:c>
      <x:c r="I1191" t="n">
        <x:f>A1191</x:f>
        <x:v>1174</x:v>
      </x:c>
      <x:c r="J1191" t="n">
        <x:f>F1191</x:f>
        <x:v>99.92504258943782</x:v>
      </x:c>
      <x:c r="K1191" t="n">
        <x:f>G1191</x:f>
        <x:v>100.53096491487338</x:v>
      </x:c>
    </x:row>
    <x:row r="1192">
      <x:c r="A1192" t="n">
        <x:v>1175</x:v>
      </x:c>
      <x:c r="B1192" s="40" t="n">
        <x:v>0.016714417563255424</x:v>
      </x:c>
      <x:c r="C1192" s="40" t="n">
        <x:v>1.068069325030777</x:v>
      </x:c>
      <x:c r="D1192" s="40" t="n">
        <x:v>-2.604866257415612</x:v>
      </x:c>
      <x:c r="E1192" t="n">
        <x:f>--((B1192^2/$B$4^2+C1192^2/$B$5^2+D1192^2/$B$6^2)&lt;=1)</x:f>
        <x:v>1</x:v>
      </x:c>
      <x:c r="F1192" s="42" t="n">
        <x:f>$B$8*SUM($E$18:E1192)/A1192</x:f>
        <x:v>100.00340425531915</x:v>
      </x:c>
      <x:c r="G1192" s="42" t="n">
        <x:f>$B$11</x:f>
        <x:v>100.53096491487338</x:v>
      </x:c>
      <x:c r="I1192" t="n">
        <x:f>A1192</x:f>
        <x:v>1175</x:v>
      </x:c>
      <x:c r="J1192" t="n">
        <x:f>F1192</x:f>
        <x:v>100.00340425531915</x:v>
      </x:c>
      <x:c r="K1192" t="n">
        <x:f>G1192</x:f>
        <x:v>100.53096491487338</x:v>
      </x:c>
    </x:row>
    <x:row r="1193">
      <x:c r="A1193" t="n">
        <x:v>1176</x:v>
      </x:c>
      <x:c r="B1193" s="40" t="n">
        <x:v>1.0010639517929323</x:v>
      </x:c>
      <x:c r="C1193" s="40" t="n">
        <x:v>-2.7589105642291782</x:v>
      </x:c>
      <x:c r="D1193" s="40" t="n">
        <x:v>-3.6120433418242683</x:v>
      </x:c>
      <x:c r="E1193" t="n">
        <x:f>--((B1193^2/$B$4^2+C1193^2/$B$5^2+D1193^2/$B$6^2)&lt;=1)</x:f>
        <x:v>0</x:v>
      </x:c>
      <x:c r="F1193" s="42" t="n">
        <x:f>$B$8*SUM($E$18:E1193)/A1193</x:f>
        <x:v>99.91836734693878</x:v>
      </x:c>
      <x:c r="G1193" s="42" t="n">
        <x:f>$B$11</x:f>
        <x:v>100.53096491487338</x:v>
      </x:c>
      <x:c r="I1193" t="n">
        <x:f>A1193</x:f>
        <x:v>1176</x:v>
      </x:c>
      <x:c r="J1193" t="n">
        <x:f>F1193</x:f>
        <x:v>99.91836734693878</x:v>
      </x:c>
      <x:c r="K1193" t="n">
        <x:f>G1193</x:f>
        <x:v>100.53096491487338</x:v>
      </x:c>
    </x:row>
    <x:row r="1194">
      <x:c r="A1194" t="n">
        <x:v>1177</x:v>
      </x:c>
      <x:c r="B1194" s="40" t="n">
        <x:v>-0.1412814485706817</x:v>
      </x:c>
      <x:c r="C1194" s="40" t="n">
        <x:v>2.2020336051395857</x:v>
      </x:c>
      <x:c r="D1194" s="40" t="n">
        <x:v>-2.4630862060063095</x:v>
      </x:c>
      <x:c r="E1194" t="n">
        <x:f>--((B1194^2/$B$4^2+C1194^2/$B$5^2+D1194^2/$B$6^2)&lt;=1)</x:f>
        <x:v>1</x:v>
      </x:c>
      <x:c r="F1194" s="42" t="n">
        <x:f>$B$8*SUM($E$18:E1194)/A1194</x:f>
        <x:v>99.9966015293118</x:v>
      </x:c>
      <x:c r="G1194" s="42" t="n">
        <x:f>$B$11</x:f>
        <x:v>100.53096491487338</x:v>
      </x:c>
      <x:c r="I1194" t="n">
        <x:f>A1194</x:f>
        <x:v>1177</x:v>
      </x:c>
      <x:c r="J1194" t="n">
        <x:f>F1194</x:f>
        <x:v>99.9966015293118</x:v>
      </x:c>
      <x:c r="K1194" t="n">
        <x:f>G1194</x:f>
        <x:v>100.53096491487338</x:v>
      </x:c>
    </x:row>
    <x:row r="1195">
      <x:c r="A1195" t="n">
        <x:v>1178</x:v>
      </x:c>
      <x:c r="B1195" s="40" t="n">
        <x:v>-0.5283826391127295</x:v>
      </x:c>
      <x:c r="C1195" s="40" t="n">
        <x:v>-0.811930257727222</x:v>
      </x:c>
      <x:c r="D1195" s="40" t="n">
        <x:v>-3.96573751493652</x:v>
      </x:c>
      <x:c r="E1195" t="n">
        <x:f>--((B1195^2/$B$4^2+C1195^2/$B$5^2+D1195^2/$B$6^2)&lt;=1)</x:f>
        <x:v>0</x:v>
      </x:c>
      <x:c r="F1195" s="42" t="n">
        <x:f>$B$8*SUM($E$18:E1195)/A1195</x:f>
        <x:v>99.91171477079796</x:v>
      </x:c>
      <x:c r="G1195" s="42" t="n">
        <x:f>$B$11</x:f>
        <x:v>100.53096491487338</x:v>
      </x:c>
      <x:c r="I1195" t="n">
        <x:f>A1195</x:f>
        <x:v>1178</x:v>
      </x:c>
      <x:c r="J1195" t="n">
        <x:f>F1195</x:f>
        <x:v>99.91171477079796</x:v>
      </x:c>
      <x:c r="K1195" t="n">
        <x:f>G1195</x:f>
        <x:v>100.53096491487338</x:v>
      </x:c>
    </x:row>
    <x:row r="1196">
      <x:c r="A1196" t="n">
        <x:v>1179</x:v>
      </x:c>
      <x:c r="B1196" s="40" t="n">
        <x:v>-1.1232431340854707</x:v>
      </x:c>
      <x:c r="C1196" s="40" t="n">
        <x:v>-2.973818270911708</x:v>
      </x:c>
      <x:c r="D1196" s="40" t="n">
        <x:v>0.03368241343093015</x:v>
      </x:c>
      <x:c r="E1196" t="n">
        <x:f>--((B1196^2/$B$4^2+C1196^2/$B$5^2+D1196^2/$B$6^2)&lt;=1)</x:f>
        <x:v>0</x:v>
      </x:c>
      <x:c r="F1196" s="42" t="n">
        <x:f>$B$8*SUM($E$18:E1196)/A1196</x:f>
        <x:v>99.82697201017811</x:v>
      </x:c>
      <x:c r="G1196" s="42" t="n">
        <x:f>$B$11</x:f>
        <x:v>100.53096491487338</x:v>
      </x:c>
      <x:c r="I1196" t="n">
        <x:f>A1196</x:f>
        <x:v>1179</x:v>
      </x:c>
      <x:c r="J1196" t="n">
        <x:f>F1196</x:f>
        <x:v>99.82697201017811</x:v>
      </x:c>
      <x:c r="K1196" t="n">
        <x:f>G1196</x:f>
        <x:v>100.53096491487338</x:v>
      </x:c>
    </x:row>
    <x:row r="1197">
      <x:c r="A1197" t="n">
        <x:v>1180</x:v>
      </x:c>
      <x:c r="B1197" s="40" t="n">
        <x:v>-1.16648263425994</x:v>
      </x:c>
      <x:c r="C1197" s="40" t="n">
        <x:v>0.04340506536492317</x:v>
      </x:c>
      <x:c r="D1197" s="40" t="n">
        <x:v>0.22651516454604348</x:v>
      </x:c>
      <x:c r="E1197" t="n">
        <x:f>--((B1197^2/$B$4^2+C1197^2/$B$5^2+D1197^2/$B$6^2)&lt;=1)</x:f>
        <x:v>1</x:v>
      </x:c>
      <x:c r="F1197" s="42" t="n">
        <x:f>$B$8*SUM($E$18:E1197)/A1197</x:f>
        <x:v>99.90508474576271</x:v>
      </x:c>
      <x:c r="G1197" s="42" t="n">
        <x:f>$B$11</x:f>
        <x:v>100.53096491487338</x:v>
      </x:c>
      <x:c r="I1197" t="n">
        <x:f>A1197</x:f>
        <x:v>1180</x:v>
      </x:c>
      <x:c r="J1197" t="n">
        <x:f>F1197</x:f>
        <x:v>99.90508474576271</x:v>
      </x:c>
      <x:c r="K1197" t="n">
        <x:f>G1197</x:f>
        <x:v>100.53096491487338</x:v>
      </x:c>
    </x:row>
    <x:row r="1198">
      <x:c r="A1198" t="n">
        <x:v>1181</x:v>
      </x:c>
      <x:c r="B1198" s="40" t="n">
        <x:v>1.005963242285584</x:v>
      </x:c>
      <x:c r="C1198" s="40" t="n">
        <x:v>2.622090005257582</x:v>
      </x:c>
      <x:c r="D1198" s="40" t="n">
        <x:v>1.2631342512479584</x:v>
      </x:c>
      <x:c r="E1198" t="n">
        <x:f>--((B1198^2/$B$4^2+C1198^2/$B$5^2+D1198^2/$B$6^2)&lt;=1)</x:f>
        <x:v>0</x:v>
      </x:c>
      <x:c r="F1198" s="42" t="n">
        <x:f>$B$8*SUM($E$18:E1198)/A1198</x:f>
        <x:v>99.82049110922947</x:v>
      </x:c>
      <x:c r="G1198" s="42" t="n">
        <x:f>$B$11</x:f>
        <x:v>100.53096491487338</x:v>
      </x:c>
      <x:c r="I1198" t="n">
        <x:f>A1198</x:f>
        <x:v>1181</x:v>
      </x:c>
      <x:c r="J1198" t="n">
        <x:f>F1198</x:f>
        <x:v>99.82049110922947</x:v>
      </x:c>
      <x:c r="K1198" t="n">
        <x:f>G1198</x:f>
        <x:v>100.53096491487338</x:v>
      </x:c>
    </x:row>
    <x:row r="1199">
      <x:c r="A1199" t="n">
        <x:v>1182</x:v>
      </x:c>
      <x:c r="B1199" s="40" t="n">
        <x:v>-1.524358607864158</x:v>
      </x:c>
      <x:c r="C1199" s="40" t="n">
        <x:v>-1.4560158768301008</x:v>
      </x:c>
      <x:c r="D1199" s="40" t="n">
        <x:v>-0.9207004223916524</x:v>
      </x:c>
      <x:c r="E1199" t="n">
        <x:f>--((B1199^2/$B$4^2+C1199^2/$B$5^2+D1199^2/$B$6^2)&lt;=1)</x:f>
        <x:v>1</x:v>
      </x:c>
      <x:c r="F1199" s="42" t="n">
        <x:f>$B$8*SUM($E$18:E1199)/A1199</x:f>
        <x:v>99.8984771573604</x:v>
      </x:c>
      <x:c r="G1199" s="42" t="n">
        <x:f>$B$11</x:f>
        <x:v>100.53096491487338</x:v>
      </x:c>
      <x:c r="I1199" t="n">
        <x:f>A1199</x:f>
        <x:v>1182</x:v>
      </x:c>
      <x:c r="J1199" t="n">
        <x:f>F1199</x:f>
        <x:v>99.8984771573604</x:v>
      </x:c>
      <x:c r="K1199" t="n">
        <x:f>G1199</x:f>
        <x:v>100.53096491487338</x:v>
      </x:c>
    </x:row>
    <x:row r="1200">
      <x:c r="A1200" t="n">
        <x:v>1183</x:v>
      </x:c>
      <x:c r="B1200" s="40" t="n">
        <x:v>-1.6560705995562195</x:v>
      </x:c>
      <x:c r="C1200" s="40" t="n">
        <x:v>-0.05092096168296045</x:v>
      </x:c>
      <x:c r="D1200" s="40" t="n">
        <x:v>-3.974338474518528</x:v>
      </x:c>
      <x:c r="E1200" t="n">
        <x:f>--((B1200^2/$B$4^2+C1200^2/$B$5^2+D1200^2/$B$6^2)&lt;=1)</x:f>
        <x:v>0</x:v>
      </x:c>
      <x:c r="F1200" s="42" t="n">
        <x:f>$B$8*SUM($E$18:E1200)/A1200</x:f>
        <x:v>99.81403212172442</x:v>
      </x:c>
      <x:c r="G1200" s="42" t="n">
        <x:f>$B$11</x:f>
        <x:v>100.53096491487338</x:v>
      </x:c>
      <x:c r="I1200" t="n">
        <x:f>A1200</x:f>
        <x:v>1183</x:v>
      </x:c>
      <x:c r="J1200" t="n">
        <x:f>F1200</x:f>
        <x:v>99.81403212172442</x:v>
      </x:c>
      <x:c r="K1200" t="n">
        <x:f>G1200</x:f>
        <x:v>100.53096491487338</x:v>
      </x:c>
    </x:row>
    <x:row r="1201">
      <x:c r="A1201" t="n">
        <x:v>1184</x:v>
      </x:c>
      <x:c r="B1201" s="40" t="n">
        <x:v>-1.2948345399114793</x:v>
      </x:c>
      <x:c r="C1201" s="40" t="n">
        <x:v>-1.9573386733056555</x:v>
      </x:c>
      <x:c r="D1201" s="40" t="n">
        <x:v>1.391129235261097</x:v>
      </x:c>
      <x:c r="E1201" t="n">
        <x:f>--((B1201^2/$B$4^2+C1201^2/$B$5^2+D1201^2/$B$6^2)&lt;=1)</x:f>
        <x:v>1</x:v>
      </x:c>
      <x:c r="F1201" s="42" t="n">
        <x:f>$B$8*SUM($E$18:E1201)/A1201</x:f>
        <x:v>99.89189189189189</x:v>
      </x:c>
      <x:c r="G1201" s="42" t="n">
        <x:f>$B$11</x:f>
        <x:v>100.53096491487338</x:v>
      </x:c>
      <x:c r="I1201" t="n">
        <x:f>A1201</x:f>
        <x:v>1184</x:v>
      </x:c>
      <x:c r="J1201" t="n">
        <x:f>F1201</x:f>
        <x:v>99.89189189189189</x:v>
      </x:c>
      <x:c r="K1201" t="n">
        <x:f>G1201</x:f>
        <x:v>100.53096491487338</x:v>
      </x:c>
    </x:row>
    <x:row r="1202">
      <x:c r="A1202" t="n">
        <x:v>1185</x:v>
      </x:c>
      <x:c r="B1202" s="40" t="n">
        <x:v>-1.2986139541843125</x:v>
      </x:c>
      <x:c r="C1202" s="40" t="n">
        <x:v>-2.6538439700013594</x:v>
      </x:c>
      <x:c r="D1202" s="40" t="n">
        <x:v>-3.5656712980166994</x:v>
      </x:c>
      <x:c r="E1202" t="n">
        <x:f>--((B1202^2/$B$4^2+C1202^2/$B$5^2+D1202^2/$B$6^2)&lt;=1)</x:f>
        <x:v>0</x:v>
      </x:c>
      <x:c r="F1202" s="42" t="n">
        <x:f>$B$8*SUM($E$18:E1202)/A1202</x:f>
        <x:v>99.80759493670887</x:v>
      </x:c>
      <x:c r="G1202" s="42" t="n">
        <x:f>$B$11</x:f>
        <x:v>100.53096491487338</x:v>
      </x:c>
      <x:c r="I1202" t="n">
        <x:f>A1202</x:f>
        <x:v>1185</x:v>
      </x:c>
      <x:c r="J1202" t="n">
        <x:f>F1202</x:f>
        <x:v>99.80759493670887</x:v>
      </x:c>
      <x:c r="K1202" t="n">
        <x:f>G1202</x:f>
        <x:v>100.53096491487338</x:v>
      </x:c>
    </x:row>
    <x:row r="1203">
      <x:c r="A1203" t="n">
        <x:v>1186</x:v>
      </x:c>
      <x:c r="B1203" s="40" t="n">
        <x:v>1.292430491227599</x:v>
      </x:c>
      <x:c r="C1203" s="40" t="n">
        <x:v>-2.516730319721321</x:v>
      </x:c>
      <x:c r="D1203" s="40" t="n">
        <x:v>2.9293634465419514</x:v>
      </x:c>
      <x:c r="E1203" t="n">
        <x:f>--((B1203^2/$B$4^2+C1203^2/$B$5^2+D1203^2/$B$6^2)&lt;=1)</x:f>
        <x:v>0</x:v>
      </x:c>
      <x:c r="F1203" s="42" t="n">
        <x:f>$B$8*SUM($E$18:E1203)/A1203</x:f>
        <x:v>99.72344013490725</x:v>
      </x:c>
      <x:c r="G1203" s="42" t="n">
        <x:f>$B$11</x:f>
        <x:v>100.53096491487338</x:v>
      </x:c>
      <x:c r="I1203" t="n">
        <x:f>A1203</x:f>
        <x:v>1186</x:v>
      </x:c>
      <x:c r="J1203" t="n">
        <x:f>F1203</x:f>
        <x:v>99.72344013490725</x:v>
      </x:c>
      <x:c r="K1203" t="n">
        <x:f>G1203</x:f>
        <x:v>100.53096491487338</x:v>
      </x:c>
    </x:row>
    <x:row r="1204">
      <x:c r="A1204" t="n">
        <x:v>1187</x:v>
      </x:c>
      <x:c r="B1204" s="40" t="n">
        <x:v>-0.4059735061031504</x:v>
      </x:c>
      <x:c r="C1204" s="40" t="n">
        <x:v>1.362065435768132</x:v>
      </x:c>
      <x:c r="D1204" s="40" t="n">
        <x:v>-3.818768098336501</x:v>
      </x:c>
      <x:c r="E1204" t="n">
        <x:f>--((B1204^2/$B$4^2+C1204^2/$B$5^2+D1204^2/$B$6^2)&lt;=1)</x:f>
        <x:v>0</x:v>
      </x:c>
      <x:c r="F1204" s="42" t="n">
        <x:f>$B$8*SUM($E$18:E1204)/A1204</x:f>
        <x:v>99.63942712721146</x:v>
      </x:c>
      <x:c r="G1204" s="42" t="n">
        <x:f>$B$11</x:f>
        <x:v>100.53096491487338</x:v>
      </x:c>
      <x:c r="I1204" t="n">
        <x:f>A1204</x:f>
        <x:v>1187</x:v>
      </x:c>
      <x:c r="J1204" t="n">
        <x:f>F1204</x:f>
        <x:v>99.63942712721146</x:v>
      </x:c>
      <x:c r="K1204" t="n">
        <x:f>G1204</x:f>
        <x:v>100.53096491487338</x:v>
      </x:c>
    </x:row>
    <x:row r="1205">
      <x:c r="A1205" t="n">
        <x:v>1188</x:v>
      </x:c>
      <x:c r="B1205" s="40" t="n">
        <x:v>1.9615538294419297</x:v>
      </x:c>
      <x:c r="C1205" s="40" t="n">
        <x:v>2.1844468244528947</x:v>
      </x:c>
      <x:c r="D1205" s="40" t="n">
        <x:v>0.2438009860530599</x:v>
      </x:c>
      <x:c r="E1205" t="n">
        <x:f>--((B1205^2/$B$4^2+C1205^2/$B$5^2+D1205^2/$B$6^2)&lt;=1)</x:f>
        <x:v>0</x:v>
      </x:c>
      <x:c r="F1205" s="42" t="n">
        <x:f>$B$8*SUM($E$18:E1205)/A1205</x:f>
        <x:v>99.55555555555556</x:v>
      </x:c>
      <x:c r="G1205" s="42" t="n">
        <x:f>$B$11</x:f>
        <x:v>100.53096491487338</x:v>
      </x:c>
      <x:c r="I1205" t="n">
        <x:f>A1205</x:f>
        <x:v>1188</x:v>
      </x:c>
      <x:c r="J1205" t="n">
        <x:f>F1205</x:f>
        <x:v>99.55555555555556</x:v>
      </x:c>
      <x:c r="K1205" t="n">
        <x:f>G1205</x:f>
        <x:v>100.53096491487338</x:v>
      </x:c>
    </x:row>
    <x:row r="1206">
      <x:c r="A1206" t="n">
        <x:v>1189</x:v>
      </x:c>
      <x:c r="B1206" s="40" t="n">
        <x:v>-1.4511549688375505</x:v>
      </x:c>
      <x:c r="C1206" s="40" t="n">
        <x:v>-2.1402069644850537</x:v>
      </x:c>
      <x:c r="D1206" s="40" t="n">
        <x:v>3.159343059084166</x:v>
      </x:c>
      <x:c r="E1206" t="n">
        <x:f>--((B1206^2/$B$4^2+C1206^2/$B$5^2+D1206^2/$B$6^2)&lt;=1)</x:f>
        <x:v>0</x:v>
      </x:c>
      <x:c r="F1206" s="42" t="n">
        <x:f>$B$8*SUM($E$18:E1206)/A1206</x:f>
        <x:v>99.47182506307821</x:v>
      </x:c>
      <x:c r="G1206" s="42" t="n">
        <x:f>$B$11</x:f>
        <x:v>100.53096491487338</x:v>
      </x:c>
      <x:c r="I1206" t="n">
        <x:f>A1206</x:f>
        <x:v>1189</x:v>
      </x:c>
      <x:c r="J1206" t="n">
        <x:f>F1206</x:f>
        <x:v>99.47182506307821</x:v>
      </x:c>
      <x:c r="K1206" t="n">
        <x:f>G1206</x:f>
        <x:v>100.53096491487338</x:v>
      </x:c>
    </x:row>
    <x:row r="1207">
      <x:c r="A1207" t="n">
        <x:v>1190</x:v>
      </x:c>
      <x:c r="B1207" s="40" t="n">
        <x:v>0.6141593027745733</x:v>
      </x:c>
      <x:c r="C1207" s="40" t="n">
        <x:v>-1.2700885931371877</x:v>
      </x:c>
      <x:c r="D1207" s="40" t="n">
        <x:v>0.579916606310241</x:v>
      </x:c>
      <x:c r="E1207" t="n">
        <x:f>--((B1207^2/$B$4^2+C1207^2/$B$5^2+D1207^2/$B$6^2)&lt;=1)</x:f>
        <x:v>1</x:v>
      </x:c>
      <x:c r="F1207" s="42" t="n">
        <x:f>$B$8*SUM($E$18:E1207)/A1207</x:f>
        <x:v>99.54957983193277</x:v>
      </x:c>
      <x:c r="G1207" s="42" t="n">
        <x:f>$B$11</x:f>
        <x:v>100.53096491487338</x:v>
      </x:c>
      <x:c r="I1207" t="n">
        <x:f>A1207</x:f>
        <x:v>1190</x:v>
      </x:c>
      <x:c r="J1207" t="n">
        <x:f>F1207</x:f>
        <x:v>99.54957983193277</x:v>
      </x:c>
      <x:c r="K1207" t="n">
        <x:f>G1207</x:f>
        <x:v>100.53096491487338</x:v>
      </x:c>
    </x:row>
    <x:row r="1208">
      <x:c r="A1208" t="n">
        <x:v>1191</x:v>
      </x:c>
      <x:c r="B1208" s="40" t="n">
        <x:v>-0.2050819711949976</x:v>
      </x:c>
      <x:c r="C1208" s="40" t="n">
        <x:v>-1.8298231941310361</x:v>
      </x:c>
      <x:c r="D1208" s="40" t="n">
        <x:v>0.8673339723514397</x:v>
      </x:c>
      <x:c r="E1208" t="n">
        <x:f>--((B1208^2/$B$4^2+C1208^2/$B$5^2+D1208^2/$B$6^2)&lt;=1)</x:f>
        <x:v>1</x:v>
      </x:c>
      <x:c r="F1208" s="42" t="n">
        <x:f>$B$8*SUM($E$18:E1208)/A1208</x:f>
        <x:v>99.62720403022671</x:v>
      </x:c>
      <x:c r="G1208" s="42" t="n">
        <x:f>$B$11</x:f>
        <x:v>100.53096491487338</x:v>
      </x:c>
      <x:c r="I1208" t="n">
        <x:f>A1208</x:f>
        <x:v>1191</x:v>
      </x:c>
      <x:c r="J1208" t="n">
        <x:f>F1208</x:f>
        <x:v>99.62720403022671</x:v>
      </x:c>
      <x:c r="K1208" t="n">
        <x:f>G1208</x:f>
        <x:v>100.53096491487338</x:v>
      </x:c>
    </x:row>
    <x:row r="1209">
      <x:c r="A1209" t="n">
        <x:v>1192</x:v>
      </x:c>
      <x:c r="B1209" s="40" t="n">
        <x:v>-0.42832729321170415</x:v>
      </x:c>
      <x:c r="C1209" s="40" t="n">
        <x:v>-2.8388653384414324</x:v>
      </x:c>
      <x:c r="D1209" s="40" t="n">
        <x:v>1.4528867866992456</x:v>
      </x:c>
      <x:c r="E1209" t="n">
        <x:f>--((B1209^2/$B$4^2+C1209^2/$B$5^2+D1209^2/$B$6^2)&lt;=1)</x:f>
        <x:v>0</x:v>
      </x:c>
      <x:c r="F1209" s="42" t="n">
        <x:f>$B$8*SUM($E$18:E1209)/A1209</x:f>
        <x:v>99.54362416107382</x:v>
      </x:c>
      <x:c r="G1209" s="42" t="n">
        <x:f>$B$11</x:f>
        <x:v>100.53096491487338</x:v>
      </x:c>
      <x:c r="I1209" t="n">
        <x:f>A1209</x:f>
        <x:v>1192</x:v>
      </x:c>
      <x:c r="J1209" t="n">
        <x:f>F1209</x:f>
        <x:v>99.54362416107382</x:v>
      </x:c>
      <x:c r="K1209" t="n">
        <x:f>G1209</x:f>
        <x:v>100.53096491487338</x:v>
      </x:c>
    </x:row>
    <x:row r="1210">
      <x:c r="A1210" t="n">
        <x:v>1193</x:v>
      </x:c>
      <x:c r="B1210" s="40" t="n">
        <x:v>1.5003367962163292</x:v>
      </x:c>
      <x:c r="C1210" s="40" t="n">
        <x:v>0.32058821932190185</x:v>
      </x:c>
      <x:c r="D1210" s="40" t="n">
        <x:v>-3.020729218156264</x:v>
      </x:c>
      <x:c r="E1210" t="n">
        <x:f>--((B1210^2/$B$4^2+C1210^2/$B$5^2+D1210^2/$B$6^2)&lt;=1)</x:f>
        <x:v>0</x:v>
      </x:c>
      <x:c r="F1210" s="42" t="n">
        <x:f>$B$8*SUM($E$18:E1210)/A1210</x:f>
        <x:v>99.46018440905281</x:v>
      </x:c>
      <x:c r="G1210" s="42" t="n">
        <x:f>$B$11</x:f>
        <x:v>100.53096491487338</x:v>
      </x:c>
      <x:c r="I1210" t="n">
        <x:f>A1210</x:f>
        <x:v>1193</x:v>
      </x:c>
      <x:c r="J1210" t="n">
        <x:f>F1210</x:f>
        <x:v>99.46018440905281</x:v>
      </x:c>
      <x:c r="K1210" t="n">
        <x:f>G1210</x:f>
        <x:v>100.53096491487338</x:v>
      </x:c>
    </x:row>
    <x:row r="1211">
      <x:c r="A1211" t="n">
        <x:v>1194</x:v>
      </x:c>
      <x:c r="B1211" s="40" t="n">
        <x:v>1.9023825833135986</x:v>
      </x:c>
      <x:c r="C1211" s="40" t="n">
        <x:v>1.1995330208258856</x:v>
      </x:c>
      <x:c r="D1211" s="40" t="n">
        <x:v>1.399416806484476</x:v>
      </x:c>
      <x:c r="E1211" t="n">
        <x:f>--((B1211^2/$B$4^2+C1211^2/$B$5^2+D1211^2/$B$6^2)&lt;=1)</x:f>
        <x:v>0</x:v>
      </x:c>
      <x:c r="F1211" s="42" t="n">
        <x:f>$B$8*SUM($E$18:E1211)/A1211</x:f>
        <x:v>99.37688442211055</x:v>
      </x:c>
      <x:c r="G1211" s="42" t="n">
        <x:f>$B$11</x:f>
        <x:v>100.53096491487338</x:v>
      </x:c>
      <x:c r="I1211" t="n">
        <x:f>A1211</x:f>
        <x:v>1194</x:v>
      </x:c>
      <x:c r="J1211" t="n">
        <x:f>F1211</x:f>
        <x:v>99.37688442211055</x:v>
      </x:c>
      <x:c r="K1211" t="n">
        <x:f>G1211</x:f>
        <x:v>100.53096491487338</x:v>
      </x:c>
    </x:row>
    <x:row r="1212">
      <x:c r="A1212" t="n">
        <x:v>1195</x:v>
      </x:c>
      <x:c r="B1212" s="40" t="n">
        <x:v>1.491435835096715</x:v>
      </x:c>
      <x:c r="C1212" s="40" t="n">
        <x:v>0.8872648853104228</x:v>
      </x:c>
      <x:c r="D1212" s="40" t="n">
        <x:v>3.0428390561025216</x:v>
      </x:c>
      <x:c r="E1212" t="n">
        <x:f>--((B1212^2/$B$4^2+C1212^2/$B$5^2+D1212^2/$B$6^2)&lt;=1)</x:f>
        <x:v>0</x:v>
      </x:c>
      <x:c r="F1212" s="42" t="n">
        <x:f>$B$8*SUM($E$18:E1212)/A1212</x:f>
        <x:v>99.29372384937238</x:v>
      </x:c>
      <x:c r="G1212" s="42" t="n">
        <x:f>$B$11</x:f>
        <x:v>100.53096491487338</x:v>
      </x:c>
      <x:c r="I1212" t="n">
        <x:f>A1212</x:f>
        <x:v>1195</x:v>
      </x:c>
      <x:c r="J1212" t="n">
        <x:f>F1212</x:f>
        <x:v>99.29372384937238</x:v>
      </x:c>
      <x:c r="K1212" t="n">
        <x:f>G1212</x:f>
        <x:v>100.53096491487338</x:v>
      </x:c>
    </x:row>
    <x:row r="1213">
      <x:c r="A1213" t="n">
        <x:v>1196</x:v>
      </x:c>
      <x:c r="B1213" s="40" t="n">
        <x:v>-1.2307972838594678</x:v>
      </x:c>
      <x:c r="C1213" s="40" t="n">
        <x:v>-0.6716787161865145</x:v>
      </x:c>
      <x:c r="D1213" s="40" t="n">
        <x:v>3.7937666626825317</x:v>
      </x:c>
      <x:c r="E1213" t="n">
        <x:f>--((B1213^2/$B$4^2+C1213^2/$B$5^2+D1213^2/$B$6^2)&lt;=1)</x:f>
        <x:v>0</x:v>
      </x:c>
      <x:c r="F1213" s="42" t="n">
        <x:f>$B$8*SUM($E$18:E1213)/A1213</x:f>
        <x:v>99.21070234113712</x:v>
      </x:c>
      <x:c r="G1213" s="42" t="n">
        <x:f>$B$11</x:f>
        <x:v>100.53096491487338</x:v>
      </x:c>
      <x:c r="I1213" t="n">
        <x:f>A1213</x:f>
        <x:v>1196</x:v>
      </x:c>
      <x:c r="J1213" t="n">
        <x:f>F1213</x:f>
        <x:v>99.21070234113712</x:v>
      </x:c>
      <x:c r="K1213" t="n">
        <x:f>G1213</x:f>
        <x:v>100.53096491487338</x:v>
      </x:c>
    </x:row>
    <x:row r="1214">
      <x:c r="A1214" t="n">
        <x:v>1197</x:v>
      </x:c>
      <x:c r="B1214" s="40" t="n">
        <x:v>-1.1168083151642638</x:v>
      </x:c>
      <x:c r="C1214" s="40" t="n">
        <x:v>0.330061475639432</x:v>
      </x:c>
      <x:c r="D1214" s="40" t="n">
        <x:v>-0.4555840051332236</x:v>
      </x:c>
      <x:c r="E1214" t="n">
        <x:f>--((B1214^2/$B$4^2+C1214^2/$B$5^2+D1214^2/$B$6^2)&lt;=1)</x:f>
        <x:v>1</x:v>
      </x:c>
      <x:c r="F1214" s="42" t="n">
        <x:f>$B$8*SUM($E$18:E1214)/A1214</x:f>
        <x:v>99.28822055137844</x:v>
      </x:c>
      <x:c r="G1214" s="42" t="n">
        <x:f>$B$11</x:f>
        <x:v>100.53096491487338</x:v>
      </x:c>
      <x:c r="I1214" t="n">
        <x:f>A1214</x:f>
        <x:v>1197</x:v>
      </x:c>
      <x:c r="J1214" t="n">
        <x:f>F1214</x:f>
        <x:v>99.28822055137844</x:v>
      </x:c>
      <x:c r="K1214" t="n">
        <x:f>G1214</x:f>
        <x:v>100.53096491487338</x:v>
      </x:c>
    </x:row>
    <x:row r="1215">
      <x:c r="A1215" t="n">
        <x:v>1198</x:v>
      </x:c>
      <x:c r="B1215" s="40" t="n">
        <x:v>0.6242955163802533</x:v>
      </x:c>
      <x:c r="C1215" s="40" t="n">
        <x:v>-2.435404160182652</x:v>
      </x:c>
      <x:c r="D1215" s="40" t="n">
        <x:v>-1.2439611865796252</x:v>
      </x:c>
      <x:c r="E1215" t="n">
        <x:f>--((B1215^2/$B$4^2+C1215^2/$B$5^2+D1215^2/$B$6^2)&lt;=1)</x:f>
        <x:v>1</x:v>
      </x:c>
      <x:c r="F1215" s="42" t="n">
        <x:f>$B$8*SUM($E$18:E1215)/A1215</x:f>
        <x:v>99.36560934891486</x:v>
      </x:c>
      <x:c r="G1215" s="42" t="n">
        <x:f>$B$11</x:f>
        <x:v>100.53096491487338</x:v>
      </x:c>
      <x:c r="I1215" t="n">
        <x:f>A1215</x:f>
        <x:v>1198</x:v>
      </x:c>
      <x:c r="J1215" t="n">
        <x:f>F1215</x:f>
        <x:v>99.36560934891486</x:v>
      </x:c>
      <x:c r="K1215" t="n">
        <x:f>G1215</x:f>
        <x:v>100.53096491487338</x:v>
      </x:c>
    </x:row>
    <x:row r="1216">
      <x:c r="A1216" t="n">
        <x:v>1199</x:v>
      </x:c>
      <x:c r="B1216" s="40" t="n">
        <x:v>-0.8436656734472332</x:v>
      </x:c>
      <x:c r="C1216" s="40" t="n">
        <x:v>-2.0741776876638935</x:v>
      </x:c>
      <x:c r="D1216" s="40" t="n">
        <x:v>2.0264769247705363</x:v>
      </x:c>
      <x:c r="E1216" t="n">
        <x:f>--((B1216^2/$B$4^2+C1216^2/$B$5^2+D1216^2/$B$6^2)&lt;=1)</x:f>
        <x:v>1</x:v>
      </x:c>
      <x:c r="F1216" s="42" t="n">
        <x:f>$B$8*SUM($E$18:E1216)/A1216</x:f>
        <x:v>99.44286905754795</x:v>
      </x:c>
      <x:c r="G1216" s="42" t="n">
        <x:f>$B$11</x:f>
        <x:v>100.53096491487338</x:v>
      </x:c>
      <x:c r="I1216" t="n">
        <x:f>A1216</x:f>
        <x:v>1199</x:v>
      </x:c>
      <x:c r="J1216" t="n">
        <x:f>F1216</x:f>
        <x:v>99.44286905754795</x:v>
      </x:c>
      <x:c r="K1216" t="n">
        <x:f>G1216</x:f>
        <x:v>100.53096491487338</x:v>
      </x:c>
    </x:row>
    <x:row r="1217">
      <x:c r="A1217" t="n">
        <x:v>1200</x:v>
      </x:c>
      <x:c r="B1217" s="40" t="n">
        <x:v>0.9389005231223195</x:v>
      </x:c>
      <x:c r="C1217" s="40" t="n">
        <x:v>2.5907677173179007</x:v>
      </x:c>
      <x:c r="D1217" s="40" t="n">
        <x:v>0.3429943047625166</x:v>
      </x:c>
      <x:c r="E1217" t="n">
        <x:f>--((B1217^2/$B$4^2+C1217^2/$B$5^2+D1217^2/$B$6^2)&lt;=1)</x:f>
        <x:v>1</x:v>
      </x:c>
      <x:c r="F1217" s="42" t="n">
        <x:f>$B$8*SUM($E$18:E1217)/A1217</x:f>
        <x:v>99.52</x:v>
      </x:c>
      <x:c r="G1217" s="42" t="n">
        <x:f>$B$11</x:f>
        <x:v>100.53096491487338</x:v>
      </x:c>
      <x:c r="I1217" t="n">
        <x:f>A1217</x:f>
        <x:v>1200</x:v>
      </x:c>
      <x:c r="J1217" t="n">
        <x:f>F1217</x:f>
        <x:v>99.52</x:v>
      </x:c>
      <x:c r="K1217" t="n">
        <x:f>G1217</x:f>
        <x:v>100.53096491487338</x:v>
      </x:c>
    </x:row>
    <x:row r="1218">
      <x:c r="A1218" t="n">
        <x:v>1201</x:v>
      </x:c>
      <x:c r="B1218" s="40" t="n">
        <x:v>0.2656826032385786</x:v>
      </x:c>
      <x:c r="C1218" s="40" t="n">
        <x:v>1.5690464869193814</x:v>
      </x:c>
      <x:c r="D1218" s="40" t="n">
        <x:v>-1.9415627643597562</x:v>
      </x:c>
      <x:c r="E1218" t="n">
        <x:f>--((B1218^2/$B$4^2+C1218^2/$B$5^2+D1218^2/$B$6^2)&lt;=1)</x:f>
        <x:v>1</x:v>
      </x:c>
      <x:c r="F1218" s="42" t="n">
        <x:f>$B$8*SUM($E$18:E1218)/A1218</x:f>
        <x:v>99.5970024979184</x:v>
      </x:c>
      <x:c r="G1218" s="42" t="n">
        <x:f>$B$11</x:f>
        <x:v>100.53096491487338</x:v>
      </x:c>
      <x:c r="I1218" t="n">
        <x:f>A1218</x:f>
        <x:v>1201</x:v>
      </x:c>
      <x:c r="J1218" t="n">
        <x:f>F1218</x:f>
        <x:v>99.5970024979184</x:v>
      </x:c>
      <x:c r="K1218" t="n">
        <x:f>G1218</x:f>
        <x:v>100.53096491487338</x:v>
      </x:c>
    </x:row>
    <x:row r="1219">
      <x:c r="A1219" t="n">
        <x:v>1202</x:v>
      </x:c>
      <x:c r="B1219" s="40" t="n">
        <x:v>0.20363507396161173</x:v>
      </x:c>
      <x:c r="C1219" s="40" t="n">
        <x:v>2.536434574951004</x:v>
      </x:c>
      <x:c r="D1219" s="40" t="n">
        <x:v>-2.6227369202423763</x:v>
      </x:c>
      <x:c r="E1219" t="n">
        <x:f>--((B1219^2/$B$4^2+C1219^2/$B$5^2+D1219^2/$B$6^2)&lt;=1)</x:f>
        <x:v>0</x:v>
      </x:c>
      <x:c r="F1219" s="42" t="n">
        <x:f>$B$8*SUM($E$18:E1219)/A1219</x:f>
        <x:v>99.51414309484193</x:v>
      </x:c>
      <x:c r="G1219" s="42" t="n">
        <x:f>$B$11</x:f>
        <x:v>100.53096491487338</x:v>
      </x:c>
      <x:c r="I1219" t="n">
        <x:f>A1219</x:f>
        <x:v>1202</x:v>
      </x:c>
      <x:c r="J1219" t="n">
        <x:f>F1219</x:f>
        <x:v>99.51414309484193</x:v>
      </x:c>
      <x:c r="K1219" t="n">
        <x:f>G1219</x:f>
        <x:v>100.53096491487338</x:v>
      </x:c>
    </x:row>
    <x:row r="1220">
      <x:c r="A1220" t="n">
        <x:v>1203</x:v>
      </x:c>
      <x:c r="B1220" s="40" t="n">
        <x:v>1.3141876993551431</x:v>
      </x:c>
      <x:c r="C1220" s="40" t="n">
        <x:v>2.5000817069962036</x:v>
      </x:c>
      <x:c r="D1220" s="40" t="n">
        <x:v>-2.6381575952580505</x:v>
      </x:c>
      <x:c r="E1220" t="n">
        <x:f>--((B1220^2/$B$4^2+C1220^2/$B$5^2+D1220^2/$B$6^2)&lt;=1)</x:f>
        <x:v>0</x:v>
      </x:c>
      <x:c r="F1220" s="42" t="n">
        <x:f>$B$8*SUM($E$18:E1220)/A1220</x:f>
        <x:v>99.43142144638404</x:v>
      </x:c>
      <x:c r="G1220" s="42" t="n">
        <x:f>$B$11</x:f>
        <x:v>100.53096491487338</x:v>
      </x:c>
      <x:c r="I1220" t="n">
        <x:f>A1220</x:f>
        <x:v>1203</x:v>
      </x:c>
      <x:c r="J1220" t="n">
        <x:f>F1220</x:f>
        <x:v>99.43142144638404</x:v>
      </x:c>
      <x:c r="K1220" t="n">
        <x:f>G1220</x:f>
        <x:v>100.53096491487338</x:v>
      </x:c>
    </x:row>
    <x:row r="1221">
      <x:c r="A1221" t="n">
        <x:v>1204</x:v>
      </x:c>
      <x:c r="B1221" s="40" t="n">
        <x:v>0.8421310869707113</x:v>
      </x:c>
      <x:c r="C1221" s="40" t="n">
        <x:v>0.8963557026464439</x:v>
      </x:c>
      <x:c r="D1221" s="40" t="n">
        <x:v>-0.32658370715078355</x:v>
      </x:c>
      <x:c r="E1221" t="n">
        <x:f>--((B1221^2/$B$4^2+C1221^2/$B$5^2+D1221^2/$B$6^2)&lt;=1)</x:f>
        <x:v>1</x:v>
      </x:c>
      <x:c r="F1221" s="42" t="n">
        <x:f>$B$8*SUM($E$18:E1221)/A1221</x:f>
        <x:v>99.50830564784053</x:v>
      </x:c>
      <x:c r="G1221" s="42" t="n">
        <x:f>$B$11</x:f>
        <x:v>100.53096491487338</x:v>
      </x:c>
      <x:c r="I1221" t="n">
        <x:f>A1221</x:f>
        <x:v>1204</x:v>
      </x:c>
      <x:c r="J1221" t="n">
        <x:f>F1221</x:f>
        <x:v>99.50830564784053</x:v>
      </x:c>
      <x:c r="K1221" t="n">
        <x:f>G1221</x:f>
        <x:v>100.53096491487338</x:v>
      </x:c>
    </x:row>
    <x:row r="1222">
      <x:c r="A1222" t="n">
        <x:v>1205</x:v>
      </x:c>
      <x:c r="B1222" s="40" t="n">
        <x:v>-1.8936889400108332</x:v>
      </x:c>
      <x:c r="C1222" s="40" t="n">
        <x:v>2.569431888672991</x:v>
      </x:c>
      <x:c r="D1222" s="40" t="n">
        <x:v>-2.639004755074799</x:v>
      </x:c>
      <x:c r="E1222" t="n">
        <x:f>--((B1222^2/$B$4^2+C1222^2/$B$5^2+D1222^2/$B$6^2)&lt;=1)</x:f>
        <x:v>0</x:v>
      </x:c>
      <x:c r="F1222" s="42" t="n">
        <x:f>$B$8*SUM($E$18:E1222)/A1222</x:f>
        <x:v>99.42572614107884</x:v>
      </x:c>
      <x:c r="G1222" s="42" t="n">
        <x:f>$B$11</x:f>
        <x:v>100.53096491487338</x:v>
      </x:c>
      <x:c r="I1222" t="n">
        <x:f>A1222</x:f>
        <x:v>1205</x:v>
      </x:c>
      <x:c r="J1222" t="n">
        <x:f>F1222</x:f>
        <x:v>99.42572614107884</x:v>
      </x:c>
      <x:c r="K1222" t="n">
        <x:f>G1222</x:f>
        <x:v>100.53096491487338</x:v>
      </x:c>
    </x:row>
    <x:row r="1223">
      <x:c r="A1223" t="n">
        <x:v>1206</x:v>
      </x:c>
      <x:c r="B1223" s="40" t="n">
        <x:v>-1.8021634514159373</x:v>
      </x:c>
      <x:c r="C1223" s="40" t="n">
        <x:v>-0.49977538150522083</x:v>
      </x:c>
      <x:c r="D1223" s="40" t="n">
        <x:v>-3.842248447908114</x:v>
      </x:c>
      <x:c r="E1223" t="n">
        <x:f>--((B1223^2/$B$4^2+C1223^2/$B$5^2+D1223^2/$B$6^2)&lt;=1)</x:f>
        <x:v>0</x:v>
      </x:c>
      <x:c r="F1223" s="42" t="n">
        <x:f>$B$8*SUM($E$18:E1223)/A1223</x:f>
        <x:v>99.34328358208955</x:v>
      </x:c>
      <x:c r="G1223" s="42" t="n">
        <x:f>$B$11</x:f>
        <x:v>100.53096491487338</x:v>
      </x:c>
      <x:c r="I1223" t="n">
        <x:f>A1223</x:f>
        <x:v>1206</x:v>
      </x:c>
      <x:c r="J1223" t="n">
        <x:f>F1223</x:f>
        <x:v>99.34328358208955</x:v>
      </x:c>
      <x:c r="K1223" t="n">
        <x:f>G1223</x:f>
        <x:v>100.53096491487338</x:v>
      </x:c>
    </x:row>
    <x:row r="1224">
      <x:c r="A1224" t="n">
        <x:v>1207</x:v>
      </x:c>
      <x:c r="B1224" s="40" t="n">
        <x:v>0.40623380982406276</x:v>
      </x:c>
      <x:c r="C1224" s="40" t="n">
        <x:v>-2.978302531290354</x:v>
      </x:c>
      <x:c r="D1224" s="40" t="n">
        <x:v>-3.58328980024248</x:v>
      </x:c>
      <x:c r="E1224" t="n">
        <x:f>--((B1224^2/$B$4^2+C1224^2/$B$5^2+D1224^2/$B$6^2)&lt;=1)</x:f>
        <x:v>0</x:v>
      </x:c>
      <x:c r="F1224" s="42" t="n">
        <x:f>$B$8*SUM($E$18:E1224)/A1224</x:f>
        <x:v>99.26097763048881</x:v>
      </x:c>
      <x:c r="G1224" s="42" t="n">
        <x:f>$B$11</x:f>
        <x:v>100.53096491487338</x:v>
      </x:c>
      <x:c r="I1224" t="n">
        <x:f>A1224</x:f>
        <x:v>1207</x:v>
      </x:c>
      <x:c r="J1224" t="n">
        <x:f>F1224</x:f>
        <x:v>99.26097763048881</x:v>
      </x:c>
      <x:c r="K1224" t="n">
        <x:f>G1224</x:f>
        <x:v>100.53096491487338</x:v>
      </x:c>
    </x:row>
    <x:row r="1225">
      <x:c r="A1225" t="n">
        <x:v>1208</x:v>
      </x:c>
      <x:c r="B1225" s="40" t="n">
        <x:v>-0.05523169751089796</x:v>
      </x:c>
      <x:c r="C1225" s="40" t="n">
        <x:v>-2.624573304923044</x:v>
      </x:c>
      <x:c r="D1225" s="40" t="n">
        <x:v>3.4390763516237257</x:v>
      </x:c>
      <x:c r="E1225" t="n">
        <x:f>--((B1225^2/$B$4^2+C1225^2/$B$5^2+D1225^2/$B$6^2)&lt;=1)</x:f>
        <x:v>0</x:v>
      </x:c>
      <x:c r="F1225" s="42" t="n">
        <x:f>$B$8*SUM($E$18:E1225)/A1225</x:f>
        <x:v>99.17880794701986</x:v>
      </x:c>
      <x:c r="G1225" s="42" t="n">
        <x:f>$B$11</x:f>
        <x:v>100.53096491487338</x:v>
      </x:c>
      <x:c r="I1225" t="n">
        <x:f>A1225</x:f>
        <x:v>1208</x:v>
      </x:c>
      <x:c r="J1225" t="n">
        <x:f>F1225</x:f>
        <x:v>99.17880794701986</x:v>
      </x:c>
      <x:c r="K1225" t="n">
        <x:f>G1225</x:f>
        <x:v>100.53096491487338</x:v>
      </x:c>
    </x:row>
    <x:row r="1226">
      <x:c r="A1226" t="n">
        <x:v>1209</x:v>
      </x:c>
      <x:c r="B1226" s="40" t="n">
        <x:v>-0.9592613786280344</x:v>
      </x:c>
      <x:c r="C1226" s="40" t="n">
        <x:v>-2.343076045795109</x:v>
      </x:c>
      <x:c r="D1226" s="40" t="n">
        <x:v>-3.416309270718914</x:v>
      </x:c>
      <x:c r="E1226" t="n">
        <x:f>--((B1226^2/$B$4^2+C1226^2/$B$5^2+D1226^2/$B$6^2)&lt;=1)</x:f>
        <x:v>0</x:v>
      </x:c>
      <x:c r="F1226" s="42" t="n">
        <x:f>$B$8*SUM($E$18:E1226)/A1226</x:f>
        <x:v>99.09677419354838</x:v>
      </x:c>
      <x:c r="G1226" s="42" t="n">
        <x:f>$B$11</x:f>
        <x:v>100.53096491487338</x:v>
      </x:c>
      <x:c r="I1226" t="n">
        <x:f>A1226</x:f>
        <x:v>1209</x:v>
      </x:c>
      <x:c r="J1226" t="n">
        <x:f>F1226</x:f>
        <x:v>99.09677419354838</x:v>
      </x:c>
      <x:c r="K1226" t="n">
        <x:f>G1226</x:f>
        <x:v>100.53096491487338</x:v>
      </x:c>
    </x:row>
    <x:row r="1227">
      <x:c r="A1227" t="n">
        <x:v>1210</x:v>
      </x:c>
      <x:c r="B1227" s="40" t="n">
        <x:v>-0.32537565074079344</x:v>
      </x:c>
      <x:c r="C1227" s="40" t="n">
        <x:v>-2.4278792809028387</x:v>
      </x:c>
      <x:c r="D1227" s="40" t="n">
        <x:v>-3.4145544753523236</x:v>
      </x:c>
      <x:c r="E1227" t="n">
        <x:f>--((B1227^2/$B$4^2+C1227^2/$B$5^2+D1227^2/$B$6^2)&lt;=1)</x:f>
        <x:v>0</x:v>
      </x:c>
      <x:c r="F1227" s="42" t="n">
        <x:f>$B$8*SUM($E$18:E1227)/A1227</x:f>
        <x:v>99.01487603305785</x:v>
      </x:c>
      <x:c r="G1227" s="42" t="n">
        <x:f>$B$11</x:f>
        <x:v>100.53096491487338</x:v>
      </x:c>
      <x:c r="I1227" t="n">
        <x:f>A1227</x:f>
        <x:v>1210</x:v>
      </x:c>
      <x:c r="J1227" t="n">
        <x:f>F1227</x:f>
        <x:v>99.01487603305785</x:v>
      </x:c>
      <x:c r="K1227" t="n">
        <x:f>G1227</x:f>
        <x:v>100.53096491487338</x:v>
      </x:c>
    </x:row>
    <x:row r="1228">
      <x:c r="A1228" t="n">
        <x:v>1211</x:v>
      </x:c>
      <x:c r="B1228" s="40" t="n">
        <x:v>1.031641274931442</x:v>
      </x:c>
      <x:c r="C1228" s="40" t="n">
        <x:v>-0.8897856548984193</x:v>
      </x:c>
      <x:c r="D1228" s="40" t="n">
        <x:v>-0.39049243573174053</x:v>
      </x:c>
      <x:c r="E1228" t="n">
        <x:f>--((B1228^2/$B$4^2+C1228^2/$B$5^2+D1228^2/$B$6^2)&lt;=1)</x:f>
        <x:v>1</x:v>
      </x:c>
      <x:c r="F1228" s="42" t="n">
        <x:f>$B$8*SUM($E$18:E1228)/A1228</x:f>
        <x:v>99.0916597853014</x:v>
      </x:c>
      <x:c r="G1228" s="42" t="n">
        <x:f>$B$11</x:f>
        <x:v>100.53096491487338</x:v>
      </x:c>
      <x:c r="I1228" t="n">
        <x:f>A1228</x:f>
        <x:v>1211</x:v>
      </x:c>
      <x:c r="J1228" t="n">
        <x:f>F1228</x:f>
        <x:v>99.0916597853014</x:v>
      </x:c>
      <x:c r="K1228" t="n">
        <x:f>G1228</x:f>
        <x:v>100.53096491487338</x:v>
      </x:c>
    </x:row>
    <x:row r="1229">
      <x:c r="A1229" t="n">
        <x:v>1212</x:v>
      </x:c>
      <x:c r="B1229" s="40" t="n">
        <x:v>1.30644593863172</x:v>
      </x:c>
      <x:c r="C1229" s="40" t="n">
        <x:v>1.2076248426561458</x:v>
      </x:c>
      <x:c r="D1229" s="40" t="n">
        <x:v>-2.0391977413197395</x:v>
      </x:c>
      <x:c r="E1229" t="n">
        <x:f>--((B1229^2/$B$4^2+C1229^2/$B$5^2+D1229^2/$B$6^2)&lt;=1)</x:f>
        <x:v>1</x:v>
      </x:c>
      <x:c r="F1229" s="42" t="n">
        <x:f>$B$8*SUM($E$18:E1229)/A1229</x:f>
        <x:v>99.16831683168317</x:v>
      </x:c>
      <x:c r="G1229" s="42" t="n">
        <x:f>$B$11</x:f>
        <x:v>100.53096491487338</x:v>
      </x:c>
      <x:c r="I1229" t="n">
        <x:f>A1229</x:f>
        <x:v>1212</x:v>
      </x:c>
      <x:c r="J1229" t="n">
        <x:f>F1229</x:f>
        <x:v>99.16831683168317</x:v>
      </x:c>
      <x:c r="K1229" t="n">
        <x:f>G1229</x:f>
        <x:v>100.53096491487338</x:v>
      </x:c>
    </x:row>
    <x:row r="1230">
      <x:c r="A1230" t="n">
        <x:v>1213</x:v>
      </x:c>
      <x:c r="B1230" s="40" t="n">
        <x:v>0.24489227156017668</x:v>
      </x:c>
      <x:c r="C1230" s="40" t="n">
        <x:v>1.74389283960297</x:v>
      </x:c>
      <x:c r="D1230" s="40" t="n">
        <x:v>3.7015508173799816</x:v>
      </x:c>
      <x:c r="E1230" t="n">
        <x:f>--((B1230^2/$B$4^2+C1230^2/$B$5^2+D1230^2/$B$6^2)&lt;=1)</x:f>
        <x:v>0</x:v>
      </x:c>
      <x:c r="F1230" s="42" t="n">
        <x:f>$B$8*SUM($E$18:E1230)/A1230</x:f>
        <x:v>99.08656224237428</x:v>
      </x:c>
      <x:c r="G1230" s="42" t="n">
        <x:f>$B$11</x:f>
        <x:v>100.53096491487338</x:v>
      </x:c>
      <x:c r="I1230" t="n">
        <x:f>A1230</x:f>
        <x:v>1213</x:v>
      </x:c>
      <x:c r="J1230" t="n">
        <x:f>F1230</x:f>
        <x:v>99.08656224237428</x:v>
      </x:c>
      <x:c r="K1230" t="n">
        <x:f>G1230</x:f>
        <x:v>100.53096491487338</x:v>
      </x:c>
    </x:row>
    <x:row r="1231">
      <x:c r="A1231" t="n">
        <x:v>1214</x:v>
      </x:c>
      <x:c r="B1231" s="40" t="n">
        <x:v>-0.45852207657158806</x:v>
      </x:c>
      <x:c r="C1231" s="40" t="n">
        <x:v>0.541279646067748</x:v>
      </x:c>
      <x:c r="D1231" s="40" t="n">
        <x:v>3.2878867159824336</x:v>
      </x:c>
      <x:c r="E1231" t="n">
        <x:f>--((B1231^2/$B$4^2+C1231^2/$B$5^2+D1231^2/$B$6^2)&lt;=1)</x:f>
        <x:v>1</x:v>
      </x:c>
      <x:c r="F1231" s="42" t="n">
        <x:f>$B$8*SUM($E$18:E1231)/A1231</x:f>
        <x:v>99.16309719934102</x:v>
      </x:c>
      <x:c r="G1231" s="42" t="n">
        <x:f>$B$11</x:f>
        <x:v>100.53096491487338</x:v>
      </x:c>
      <x:c r="I1231" t="n">
        <x:f>A1231</x:f>
        <x:v>1214</x:v>
      </x:c>
      <x:c r="J1231" t="n">
        <x:f>F1231</x:f>
        <x:v>99.16309719934102</x:v>
      </x:c>
      <x:c r="K1231" t="n">
        <x:f>G1231</x:f>
        <x:v>100.53096491487338</x:v>
      </x:c>
    </x:row>
    <x:row r="1232">
      <x:c r="A1232" t="n">
        <x:v>1215</x:v>
      </x:c>
      <x:c r="B1232" s="40" t="n">
        <x:v>-0.9172129540195719</x:v>
      </x:c>
      <x:c r="C1232" s="40" t="n">
        <x:v>-2.1213829526581227</x:v>
      </x:c>
      <x:c r="D1232" s="40" t="n">
        <x:v>-0.7620540106298632</x:v>
      </x:c>
      <x:c r="E1232" t="n">
        <x:f>--((B1232^2/$B$4^2+C1232^2/$B$5^2+D1232^2/$B$6^2)&lt;=1)</x:f>
        <x:v>1</x:v>
      </x:c>
      <x:c r="F1232" s="42" t="n">
        <x:f>$B$8*SUM($E$18:E1232)/A1232</x:f>
        <x:v>99.23950617283951</x:v>
      </x:c>
      <x:c r="G1232" s="42" t="n">
        <x:f>$B$11</x:f>
        <x:v>100.53096491487338</x:v>
      </x:c>
      <x:c r="I1232" t="n">
        <x:f>A1232</x:f>
        <x:v>1215</x:v>
      </x:c>
      <x:c r="J1232" t="n">
        <x:f>F1232</x:f>
        <x:v>99.23950617283951</x:v>
      </x:c>
      <x:c r="K1232" t="n">
        <x:f>G1232</x:f>
        <x:v>100.53096491487338</x:v>
      </x:c>
    </x:row>
    <x:row r="1233">
      <x:c r="A1233" t="n">
        <x:v>1216</x:v>
      </x:c>
      <x:c r="B1233" s="40" t="n">
        <x:v>0.08767388307701385</x:v>
      </x:c>
      <x:c r="C1233" s="40" t="n">
        <x:v>1.487409612889051</x:v>
      </x:c>
      <x:c r="D1233" s="40" t="n">
        <x:v>-0.41014784466992626</x:v>
      </x:c>
      <x:c r="E1233" t="n">
        <x:f>--((B1233^2/$B$4^2+C1233^2/$B$5^2+D1233^2/$B$6^2)&lt;=1)</x:f>
        <x:v>1</x:v>
      </x:c>
      <x:c r="F1233" s="42" t="n">
        <x:f>$B$8*SUM($E$18:E1233)/A1233</x:f>
        <x:v>99.3157894736842</x:v>
      </x:c>
      <x:c r="G1233" s="42" t="n">
        <x:f>$B$11</x:f>
        <x:v>100.53096491487338</x:v>
      </x:c>
      <x:c r="I1233" t="n">
        <x:f>A1233</x:f>
        <x:v>1216</x:v>
      </x:c>
      <x:c r="J1233" t="n">
        <x:f>F1233</x:f>
        <x:v>99.3157894736842</x:v>
      </x:c>
      <x:c r="K1233" t="n">
        <x:f>G1233</x:f>
        <x:v>100.53096491487338</x:v>
      </x:c>
    </x:row>
    <x:row r="1234">
      <x:c r="A1234" t="n">
        <x:v>1217</x:v>
      </x:c>
      <x:c r="B1234" s="40" t="n">
        <x:v>-0.741001525742476</x:v>
      </x:c>
      <x:c r="C1234" s="40" t="n">
        <x:v>-0.8711884851744065</x:v>
      </x:c>
      <x:c r="D1234" s="40" t="n">
        <x:v>-0.9990907753954383</x:v>
      </x:c>
      <x:c r="E1234" t="n">
        <x:f>--((B1234^2/$B$4^2+C1234^2/$B$5^2+D1234^2/$B$6^2)&lt;=1)</x:f>
        <x:v>1</x:v>
      </x:c>
      <x:c r="F1234" s="42" t="n">
        <x:f>$B$8*SUM($E$18:E1234)/A1234</x:f>
        <x:v>99.39194741166804</x:v>
      </x:c>
      <x:c r="G1234" s="42" t="n">
        <x:f>$B$11</x:f>
        <x:v>100.53096491487338</x:v>
      </x:c>
      <x:c r="I1234" t="n">
        <x:f>A1234</x:f>
        <x:v>1217</x:v>
      </x:c>
      <x:c r="J1234" t="n">
        <x:f>F1234</x:f>
        <x:v>99.39194741166804</x:v>
      </x:c>
      <x:c r="K1234" t="n">
        <x:f>G1234</x:f>
        <x:v>100.53096491487338</x:v>
      </x:c>
    </x:row>
    <x:row r="1235">
      <x:c r="A1235" t="n">
        <x:v>1218</x:v>
      </x:c>
      <x:c r="B1235" s="40" t="n">
        <x:v>0.25638054818889167</x:v>
      </x:c>
      <x:c r="C1235" s="40" t="n">
        <x:v>-2.9220399079692223</x:v>
      </x:c>
      <x:c r="D1235" s="40" t="n">
        <x:v>-3.697071066854974</x:v>
      </x:c>
      <x:c r="E1235" t="n">
        <x:f>--((B1235^2/$B$4^2+C1235^2/$B$5^2+D1235^2/$B$6^2)&lt;=1)</x:f>
        <x:v>0</x:v>
      </x:c>
      <x:c r="F1235" s="42" t="n">
        <x:f>$B$8*SUM($E$18:E1235)/A1235</x:f>
        <x:v>99.3103448275862</x:v>
      </x:c>
      <x:c r="G1235" s="42" t="n">
        <x:f>$B$11</x:f>
        <x:v>100.53096491487338</x:v>
      </x:c>
      <x:c r="I1235" t="n">
        <x:f>A1235</x:f>
        <x:v>1218</x:v>
      </x:c>
      <x:c r="J1235" t="n">
        <x:f>F1235</x:f>
        <x:v>99.3103448275862</x:v>
      </x:c>
      <x:c r="K1235" t="n">
        <x:f>G1235</x:f>
        <x:v>100.53096491487338</x:v>
      </x:c>
    </x:row>
    <x:row r="1236">
      <x:c r="A1236" t="n">
        <x:v>1219</x:v>
      </x:c>
      <x:c r="B1236" s="40" t="n">
        <x:v>0.7066095300385506</x:v>
      </x:c>
      <x:c r="C1236" s="40" t="n">
        <x:v>-1.3164682768035039</x:v>
      </x:c>
      <x:c r="D1236" s="40" t="n">
        <x:v>-1.6572252859623307</x:v>
      </x:c>
      <x:c r="E1236" t="n">
        <x:f>--((B1236^2/$B$4^2+C1236^2/$B$5^2+D1236^2/$B$6^2)&lt;=1)</x:f>
        <x:v>1</x:v>
      </x:c>
      <x:c r="F1236" s="42" t="n">
        <x:f>$B$8*SUM($E$18:E1236)/A1236</x:f>
        <x:v>99.38638228055784</x:v>
      </x:c>
      <x:c r="G1236" s="42" t="n">
        <x:f>$B$11</x:f>
        <x:v>100.53096491487338</x:v>
      </x:c>
      <x:c r="I1236" t="n">
        <x:f>A1236</x:f>
        <x:v>1219</x:v>
      </x:c>
      <x:c r="J1236" t="n">
        <x:f>F1236</x:f>
        <x:v>99.38638228055784</x:v>
      </x:c>
      <x:c r="K1236" t="n">
        <x:f>G1236</x:f>
        <x:v>100.53096491487338</x:v>
      </x:c>
    </x:row>
    <x:row r="1237">
      <x:c r="A1237" t="n">
        <x:v>1220</x:v>
      </x:c>
      <x:c r="B1237" s="40" t="n">
        <x:v>-1.7356831563224207</x:v>
      </x:c>
      <x:c r="C1237" s="40" t="n">
        <x:v>-1.0163966751541327</x:v>
      </x:c>
      <x:c r="D1237" s="40" t="n">
        <x:v>-3.018612243104127</x:v>
      </x:c>
      <x:c r="E1237" t="n">
        <x:f>--((B1237^2/$B$4^2+C1237^2/$B$5^2+D1237^2/$B$6^2)&lt;=1)</x:f>
        <x:v>0</x:v>
      </x:c>
      <x:c r="F1237" s="42" t="n">
        <x:f>$B$8*SUM($E$18:E1237)/A1237</x:f>
        <x:v>99.30491803278689</x:v>
      </x:c>
      <x:c r="G1237" s="42" t="n">
        <x:f>$B$11</x:f>
        <x:v>100.53096491487338</x:v>
      </x:c>
      <x:c r="I1237" t="n">
        <x:f>A1237</x:f>
        <x:v>1220</x:v>
      </x:c>
      <x:c r="J1237" t="n">
        <x:f>F1237</x:f>
        <x:v>99.30491803278689</x:v>
      </x:c>
      <x:c r="K1237" t="n">
        <x:f>G1237</x:f>
        <x:v>100.53096491487338</x:v>
      </x:c>
    </x:row>
    <x:row r="1238">
      <x:c r="A1238" t="n">
        <x:v>1221</x:v>
      </x:c>
      <x:c r="B1238" s="40" t="n">
        <x:v>-1.995730139909011</x:v>
      </x:c>
      <x:c r="C1238" s="40" t="n">
        <x:v>-1.3545267886913825</x:v>
      </x:c>
      <x:c r="D1238" s="40" t="n">
        <x:v>-3.181037359879018</x:v>
      </x:c>
      <x:c r="E1238" t="n">
        <x:f>--((B1238^2/$B$4^2+C1238^2/$B$5^2+D1238^2/$B$6^2)&lt;=1)</x:f>
        <x:v>0</x:v>
      </x:c>
      <x:c r="F1238" s="42" t="n">
        <x:f>$B$8*SUM($E$18:E1238)/A1238</x:f>
        <x:v>99.22358722358722</x:v>
      </x:c>
      <x:c r="G1238" s="42" t="n">
        <x:f>$B$11</x:f>
        <x:v>100.53096491487338</x:v>
      </x:c>
      <x:c r="I1238" t="n">
        <x:f>A1238</x:f>
        <x:v>1221</x:v>
      </x:c>
      <x:c r="J1238" t="n">
        <x:f>F1238</x:f>
        <x:v>99.22358722358722</x:v>
      </x:c>
      <x:c r="K1238" t="n">
        <x:f>G1238</x:f>
        <x:v>100.53096491487338</x:v>
      </x:c>
    </x:row>
    <x:row r="1239">
      <x:c r="A1239" t="n">
        <x:v>1222</x:v>
      </x:c>
      <x:c r="B1239" s="40" t="n">
        <x:v>-1.1508914446370282</x:v>
      </x:c>
      <x:c r="C1239" s="40" t="n">
        <x:v>1.8712209191255136</x:v>
      </x:c>
      <x:c r="D1239" s="40" t="n">
        <x:v>0.48689258349110265</x:v>
      </x:c>
      <x:c r="E1239" t="n">
        <x:f>--((B1239^2/$B$4^2+C1239^2/$B$5^2+D1239^2/$B$6^2)&lt;=1)</x:f>
        <x:v>1</x:v>
      </x:c>
      <x:c r="F1239" s="42" t="n">
        <x:f>$B$8*SUM($E$18:E1239)/A1239</x:f>
        <x:v>99.29950900163666</x:v>
      </x:c>
      <x:c r="G1239" s="42" t="n">
        <x:f>$B$11</x:f>
        <x:v>100.53096491487338</x:v>
      </x:c>
      <x:c r="I1239" t="n">
        <x:f>A1239</x:f>
        <x:v>1222</x:v>
      </x:c>
      <x:c r="J1239" t="n">
        <x:f>F1239</x:f>
        <x:v>99.29950900163666</x:v>
      </x:c>
      <x:c r="K1239" t="n">
        <x:f>G1239</x:f>
        <x:v>100.53096491487338</x:v>
      </x:c>
    </x:row>
    <x:row r="1240">
      <x:c r="A1240" t="n">
        <x:v>1223</x:v>
      </x:c>
      <x:c r="B1240" s="40" t="n">
        <x:v>1.578045990875124</x:v>
      </x:c>
      <x:c r="C1240" s="40" t="n">
        <x:v>1.559558385564542</x:v>
      </x:c>
      <x:c r="D1240" s="40" t="n">
        <x:v>-3.209881138291502</x:v>
      </x:c>
      <x:c r="E1240" t="n">
        <x:f>--((B1240^2/$B$4^2+C1240^2/$B$5^2+D1240^2/$B$6^2)&lt;=1)</x:f>
        <x:v>0</x:v>
      </x:c>
      <x:c r="F1240" s="42" t="n">
        <x:f>$B$8*SUM($E$18:E1240)/A1240</x:f>
        <x:v>99.21831561733443</x:v>
      </x:c>
      <x:c r="G1240" s="42" t="n">
        <x:f>$B$11</x:f>
        <x:v>100.53096491487338</x:v>
      </x:c>
      <x:c r="I1240" t="n">
        <x:f>A1240</x:f>
        <x:v>1223</x:v>
      </x:c>
      <x:c r="J1240" t="n">
        <x:f>F1240</x:f>
        <x:v>99.21831561733443</x:v>
      </x:c>
      <x:c r="K1240" t="n">
        <x:f>G1240</x:f>
        <x:v>100.53096491487338</x:v>
      </x:c>
    </x:row>
    <x:row r="1241">
      <x:c r="A1241" t="n">
        <x:v>1224</x:v>
      </x:c>
      <x:c r="B1241" s="40" t="n">
        <x:v>0.5851630529142366</x:v>
      </x:c>
      <x:c r="C1241" s="40" t="n">
        <x:v>1.1733121824758488</x:v>
      </x:c>
      <x:c r="D1241" s="40" t="n">
        <x:v>-3.1765494096378912</x:v>
      </x:c>
      <x:c r="E1241" t="n">
        <x:f>--((B1241^2/$B$4^2+C1241^2/$B$5^2+D1241^2/$B$6^2)&lt;=1)</x:f>
        <x:v>1</x:v>
      </x:c>
      <x:c r="F1241" s="42" t="n">
        <x:f>$B$8*SUM($E$18:E1241)/A1241</x:f>
        <x:v>99.29411764705883</x:v>
      </x:c>
      <x:c r="G1241" s="42" t="n">
        <x:f>$B$11</x:f>
        <x:v>100.53096491487338</x:v>
      </x:c>
      <x:c r="I1241" t="n">
        <x:f>A1241</x:f>
        <x:v>1224</x:v>
      </x:c>
      <x:c r="J1241" t="n">
        <x:f>F1241</x:f>
        <x:v>99.29411764705883</x:v>
      </x:c>
      <x:c r="K1241" t="n">
        <x:f>G1241</x:f>
        <x:v>100.53096491487338</x:v>
      </x:c>
    </x:row>
    <x:row r="1242">
      <x:c r="A1242" t="n">
        <x:v>1225</x:v>
      </x:c>
      <x:c r="B1242" s="40" t="n">
        <x:v>-1.3121585922519086</x:v>
      </x:c>
      <x:c r="C1242" s="40" t="n">
        <x:v>-2.165969528926408</x:v>
      </x:c>
      <x:c r="D1242" s="40" t="n">
        <x:v>-0.15589028144521144</x:v>
      </x:c>
      <x:c r="E1242" t="n">
        <x:f>--((B1242^2/$B$4^2+C1242^2/$B$5^2+D1242^2/$B$6^2)&lt;=1)</x:f>
        <x:v>1</x:v>
      </x:c>
      <x:c r="F1242" s="42" t="n">
        <x:f>$B$8*SUM($E$18:E1242)/A1242</x:f>
        <x:v>99.36979591836734</x:v>
      </x:c>
      <x:c r="G1242" s="42" t="n">
        <x:f>$B$11</x:f>
        <x:v>100.53096491487338</x:v>
      </x:c>
      <x:c r="I1242" t="n">
        <x:f>A1242</x:f>
        <x:v>1225</x:v>
      </x:c>
      <x:c r="J1242" t="n">
        <x:f>F1242</x:f>
        <x:v>99.36979591836734</x:v>
      </x:c>
      <x:c r="K1242" t="n">
        <x:f>G1242</x:f>
        <x:v>100.53096491487338</x:v>
      </x:c>
    </x:row>
    <x:row r="1243">
      <x:c r="A1243" t="n">
        <x:v>1226</x:v>
      </x:c>
      <x:c r="B1243" s="40" t="n">
        <x:v>1.561055847294475</x:v>
      </x:c>
      <x:c r="C1243" s="40" t="n">
        <x:v>1.8470034582376922</x:v>
      </x:c>
      <x:c r="D1243" s="40" t="n">
        <x:v>-0.46174107901889005</x:v>
      </x:c>
      <x:c r="E1243" t="n">
        <x:f>--((B1243^2/$B$4^2+C1243^2/$B$5^2+D1243^2/$B$6^2)&lt;=1)</x:f>
        <x:v>0</x:v>
      </x:c>
      <x:c r="F1243" s="42" t="n">
        <x:f>$B$8*SUM($E$18:E1243)/A1243</x:f>
        <x:v>99.28874388254486</x:v>
      </x:c>
      <x:c r="G1243" s="42" t="n">
        <x:f>$B$11</x:f>
        <x:v>100.53096491487338</x:v>
      </x:c>
      <x:c r="I1243" t="n">
        <x:f>A1243</x:f>
        <x:v>1226</x:v>
      </x:c>
      <x:c r="J1243" t="n">
        <x:f>F1243</x:f>
        <x:v>99.28874388254486</x:v>
      </x:c>
      <x:c r="K1243" t="n">
        <x:f>G1243</x:f>
        <x:v>100.53096491487338</x:v>
      </x:c>
    </x:row>
    <x:row r="1244">
      <x:c r="A1244" t="n">
        <x:v>1227</x:v>
      </x:c>
      <x:c r="B1244" s="40" t="n">
        <x:v>-0.12017623885064</x:v>
      </x:c>
      <x:c r="C1244" s="40" t="n">
        <x:v>1.0630557699799423</x:v>
      </x:c>
      <x:c r="D1244" s="40" t="n">
        <x:v>-2.898921718941045</x:v>
      </x:c>
      <x:c r="E1244" t="n">
        <x:f>--((B1244^2/$B$4^2+C1244^2/$B$5^2+D1244^2/$B$6^2)&lt;=1)</x:f>
        <x:v>1</x:v>
      </x:c>
      <x:c r="F1244" s="42" t="n">
        <x:f>$B$8*SUM($E$18:E1244)/A1244</x:f>
        <x:v>99.3643031784841</x:v>
      </x:c>
      <x:c r="G1244" s="42" t="n">
        <x:f>$B$11</x:f>
        <x:v>100.53096491487338</x:v>
      </x:c>
      <x:c r="I1244" t="n">
        <x:f>A1244</x:f>
        <x:v>1227</x:v>
      </x:c>
      <x:c r="J1244" t="n">
        <x:f>F1244</x:f>
        <x:v>99.3643031784841</x:v>
      </x:c>
      <x:c r="K1244" t="n">
        <x:f>G1244</x:f>
        <x:v>100.53096491487338</x:v>
      </x:c>
    </x:row>
    <x:row r="1245">
      <x:c r="A1245" t="n">
        <x:v>1228</x:v>
      </x:c>
      <x:c r="B1245" s="40" t="n">
        <x:v>-0.09563297328535736</x:v>
      </x:c>
      <x:c r="C1245" s="40" t="n">
        <x:v>-1.8309738811116487</x:v>
      </x:c>
      <x:c r="D1245" s="40" t="n">
        <x:v>-3.964407801529096</x:v>
      </x:c>
      <x:c r="E1245" t="n">
        <x:f>--((B1245^2/$B$4^2+C1245^2/$B$5^2+D1245^2/$B$6^2)&lt;=1)</x:f>
        <x:v>0</x:v>
      </x:c>
      <x:c r="F1245" s="42" t="n">
        <x:f>$B$8*SUM($E$18:E1245)/A1245</x:f>
        <x:v>99.28338762214983</x:v>
      </x:c>
      <x:c r="G1245" s="42" t="n">
        <x:f>$B$11</x:f>
        <x:v>100.53096491487338</x:v>
      </x:c>
      <x:c r="I1245" t="n">
        <x:f>A1245</x:f>
        <x:v>1228</x:v>
      </x:c>
      <x:c r="J1245" t="n">
        <x:f>F1245</x:f>
        <x:v>99.28338762214983</x:v>
      </x:c>
      <x:c r="K1245" t="n">
        <x:f>G1245</x:f>
        <x:v>100.53096491487338</x:v>
      </x:c>
    </x:row>
    <x:row r="1246">
      <x:c r="A1246" t="n">
        <x:v>1229</x:v>
      </x:c>
      <x:c r="B1246" s="40" t="n">
        <x:v>1.7421677753706204</x:v>
      </x:c>
      <x:c r="C1246" s="40" t="n">
        <x:v>0.8885635816890982</x:v>
      </x:c>
      <x:c r="D1246" s="40" t="n">
        <x:v>-2.4562044658572493</x:v>
      </x:c>
      <x:c r="E1246" t="n">
        <x:f>--((B1246^2/$B$4^2+C1246^2/$B$5^2+D1246^2/$B$6^2)&lt;=1)</x:f>
        <x:v>0</x:v>
      </x:c>
      <x:c r="F1246" s="42" t="n">
        <x:f>$B$8*SUM($E$18:E1246)/A1246</x:f>
        <x:v>99.20260374288038</x:v>
      </x:c>
      <x:c r="G1246" s="42" t="n">
        <x:f>$B$11</x:f>
        <x:v>100.53096491487338</x:v>
      </x:c>
      <x:c r="I1246" t="n">
        <x:f>A1246</x:f>
        <x:v>1229</x:v>
      </x:c>
      <x:c r="J1246" t="n">
        <x:f>F1246</x:f>
        <x:v>99.20260374288038</x:v>
      </x:c>
      <x:c r="K1246" t="n">
        <x:f>G1246</x:f>
        <x:v>100.53096491487338</x:v>
      </x:c>
    </x:row>
    <x:row r="1247">
      <x:c r="A1247" t="n">
        <x:v>1230</x:v>
      </x:c>
      <x:c r="B1247" s="40" t="n">
        <x:v>-1.76205323126664</x:v>
      </x:c>
      <x:c r="C1247" s="40" t="n">
        <x:v>-0.09893015397791372</x:v>
      </x:c>
      <x:c r="D1247" s="40" t="n">
        <x:v>-2.112861966543674</x:v>
      </x:c>
      <x:c r="E1247" t="n">
        <x:f>--((B1247^2/$B$4^2+C1247^2/$B$5^2+D1247^2/$B$6^2)&lt;=1)</x:f>
        <x:v>0</x:v>
      </x:c>
      <x:c r="F1247" s="42" t="n">
        <x:f>$B$8*SUM($E$18:E1247)/A1247</x:f>
        <x:v>99.1219512195122</x:v>
      </x:c>
      <x:c r="G1247" s="42" t="n">
        <x:f>$B$11</x:f>
        <x:v>100.53096491487338</x:v>
      </x:c>
      <x:c r="I1247" t="n">
        <x:f>A1247</x:f>
        <x:v>1230</x:v>
      </x:c>
      <x:c r="J1247" t="n">
        <x:f>F1247</x:f>
        <x:v>99.1219512195122</x:v>
      </x:c>
      <x:c r="K1247" t="n">
        <x:f>G1247</x:f>
        <x:v>100.53096491487338</x:v>
      </x:c>
    </x:row>
    <x:row r="1248">
      <x:c r="A1248" t="n">
        <x:v>1231</x:v>
      </x:c>
      <x:c r="B1248" s="40" t="n">
        <x:v>-1.139286901485126</x:v>
      </x:c>
      <x:c r="C1248" s="40" t="n">
        <x:v>-0.3638996288626499</x:v>
      </x:c>
      <x:c r="D1248" s="40" t="n">
        <x:v>2.401987548870941</x:v>
      </x:c>
      <x:c r="E1248" t="n">
        <x:f>--((B1248^2/$B$4^2+C1248^2/$B$5^2+D1248^2/$B$6^2)&lt;=1)</x:f>
        <x:v>1</x:v>
      </x:c>
      <x:c r="F1248" s="42" t="n">
        <x:f>$B$8*SUM($E$18:E1248)/A1248</x:f>
        <x:v>99.19740048740861</x:v>
      </x:c>
      <x:c r="G1248" s="42" t="n">
        <x:f>$B$11</x:f>
        <x:v>100.53096491487338</x:v>
      </x:c>
      <x:c r="I1248" t="n">
        <x:f>A1248</x:f>
        <x:v>1231</x:v>
      </x:c>
      <x:c r="J1248" t="n">
        <x:f>F1248</x:f>
        <x:v>99.19740048740861</x:v>
      </x:c>
      <x:c r="K1248" t="n">
        <x:f>G1248</x:f>
        <x:v>100.53096491487338</x:v>
      </x:c>
    </x:row>
    <x:row r="1249">
      <x:c r="A1249" t="n">
        <x:v>1232</x:v>
      </x:c>
      <x:c r="B1249" s="40" t="n">
        <x:v>0.34308530061888964</x:v>
      </x:c>
      <x:c r="C1249" s="40" t="n">
        <x:v>-2.3272610191656673</x:v>
      </x:c>
      <x:c r="D1249" s="40" t="n">
        <x:v>3.32350680421772</x:v>
      </x:c>
      <x:c r="E1249" t="n">
        <x:f>--((B1249^2/$B$4^2+C1249^2/$B$5^2+D1249^2/$B$6^2)&lt;=1)</x:f>
        <x:v>0</x:v>
      </x:c>
      <x:c r="F1249" s="42" t="n">
        <x:f>$B$8*SUM($E$18:E1249)/A1249</x:f>
        <x:v>99.11688311688312</x:v>
      </x:c>
      <x:c r="G1249" s="42" t="n">
        <x:f>$B$11</x:f>
        <x:v>100.53096491487338</x:v>
      </x:c>
      <x:c r="I1249" t="n">
        <x:f>A1249</x:f>
        <x:v>1232</x:v>
      </x:c>
      <x:c r="J1249" t="n">
        <x:f>F1249</x:f>
        <x:v>99.11688311688312</x:v>
      </x:c>
      <x:c r="K1249" t="n">
        <x:f>G1249</x:f>
        <x:v>100.53096491487338</x:v>
      </x:c>
    </x:row>
    <x:row r="1250">
      <x:c r="A1250" t="n">
        <x:v>1233</x:v>
      </x:c>
      <x:c r="B1250" s="40" t="n">
        <x:v>-1.2180539616719837</x:v>
      </x:c>
      <x:c r="C1250" s="40" t="n">
        <x:v>0.10982565507099196</x:v>
      </x:c>
      <x:c r="D1250" s="40" t="n">
        <x:v>-0.7524448200962421</x:v>
      </x:c>
      <x:c r="E1250" t="n">
        <x:f>--((B1250^2/$B$4^2+C1250^2/$B$5^2+D1250^2/$B$6^2)&lt;=1)</x:f>
        <x:v>1</x:v>
      </x:c>
      <x:c r="F1250" s="42" t="n">
        <x:f>$B$8*SUM($E$18:E1250)/A1250</x:f>
        <x:v>99.19221411192214</x:v>
      </x:c>
      <x:c r="G1250" s="42" t="n">
        <x:f>$B$11</x:f>
        <x:v>100.53096491487338</x:v>
      </x:c>
      <x:c r="I1250" t="n">
        <x:f>A1250</x:f>
        <x:v>1233</x:v>
      </x:c>
      <x:c r="J1250" t="n">
        <x:f>F1250</x:f>
        <x:v>99.19221411192214</x:v>
      </x:c>
      <x:c r="K1250" t="n">
        <x:f>G1250</x:f>
        <x:v>100.53096491487338</x:v>
      </x:c>
    </x:row>
    <x:row r="1251">
      <x:c r="A1251" t="n">
        <x:v>1234</x:v>
      </x:c>
      <x:c r="B1251" s="40" t="n">
        <x:v>0.7181080368358312</x:v>
      </x:c>
      <x:c r="C1251" s="40" t="n">
        <x:v>-2.400409146165818</x:v>
      </x:c>
      <x:c r="D1251" s="40" t="n">
        <x:v>-0.7597861879921775</x:v>
      </x:c>
      <x:c r="E1251" t="n">
        <x:f>--((B1251^2/$B$4^2+C1251^2/$B$5^2+D1251^2/$B$6^2)&lt;=1)</x:f>
        <x:v>1</x:v>
      </x:c>
      <x:c r="F1251" s="42" t="n">
        <x:f>$B$8*SUM($E$18:E1251)/A1251</x:f>
        <x:v>99.26742301458671</x:v>
      </x:c>
      <x:c r="G1251" s="42" t="n">
        <x:f>$B$11</x:f>
        <x:v>100.53096491487338</x:v>
      </x:c>
      <x:c r="I1251" t="n">
        <x:f>A1251</x:f>
        <x:v>1234</x:v>
      </x:c>
      <x:c r="J1251" t="n">
        <x:f>F1251</x:f>
        <x:v>99.26742301458671</x:v>
      </x:c>
      <x:c r="K1251" t="n">
        <x:f>G1251</x:f>
        <x:v>100.53096491487338</x:v>
      </x:c>
    </x:row>
    <x:row r="1252">
      <x:c r="A1252" t="n">
        <x:v>1235</x:v>
      </x:c>
      <x:c r="B1252" s="40" t="n">
        <x:v>-1.1436308426531192</x:v>
      </x:c>
      <x:c r="C1252" s="40" t="n">
        <x:v>-2.0144796764744</x:v>
      </x:c>
      <x:c r="D1252" s="40" t="n">
        <x:v>1.699850270078934</x:v>
      </x:c>
      <x:c r="E1252" t="n">
        <x:f>--((B1252^2/$B$4^2+C1252^2/$B$5^2+D1252^2/$B$6^2)&lt;=1)</x:f>
        <x:v>1</x:v>
      </x:c>
      <x:c r="F1252" s="42" t="n">
        <x:f>$B$8*SUM($E$18:E1252)/A1252</x:f>
        <x:v>99.3425101214575</x:v>
      </x:c>
      <x:c r="G1252" s="42" t="n">
        <x:f>$B$11</x:f>
        <x:v>100.53096491487338</x:v>
      </x:c>
      <x:c r="I1252" t="n">
        <x:f>A1252</x:f>
        <x:v>1235</x:v>
      </x:c>
      <x:c r="J1252" t="n">
        <x:f>F1252</x:f>
        <x:v>99.3425101214575</x:v>
      </x:c>
      <x:c r="K1252" t="n">
        <x:f>G1252</x:f>
        <x:v>100.53096491487338</x:v>
      </x:c>
    </x:row>
    <x:row r="1253">
      <x:c r="A1253" t="n">
        <x:v>1236</x:v>
      </x:c>
      <x:c r="B1253" s="40" t="n">
        <x:v>-1.6033721176047426</x:v>
      </x:c>
      <x:c r="C1253" s="40" t="n">
        <x:v>-2.2047221143514237</x:v>
      </x:c>
      <x:c r="D1253" s="40" t="n">
        <x:v>1.0153761256375118</x:v>
      </x:c>
      <x:c r="E1253" t="n">
        <x:f>--((B1253^2/$B$4^2+C1253^2/$B$5^2+D1253^2/$B$6^2)&lt;=1)</x:f>
        <x:v>0</x:v>
      </x:c>
      <x:c r="F1253" s="42" t="n">
        <x:f>$B$8*SUM($E$18:E1253)/A1253</x:f>
        <x:v>99.2621359223301</x:v>
      </x:c>
      <x:c r="G1253" s="42" t="n">
        <x:f>$B$11</x:f>
        <x:v>100.53096491487338</x:v>
      </x:c>
      <x:c r="I1253" t="n">
        <x:f>A1253</x:f>
        <x:v>1236</x:v>
      </x:c>
      <x:c r="J1253" t="n">
        <x:f>F1253</x:f>
        <x:v>99.2621359223301</x:v>
      </x:c>
      <x:c r="K1253" t="n">
        <x:f>G1253</x:f>
        <x:v>100.53096491487338</x:v>
      </x:c>
    </x:row>
    <x:row r="1254">
      <x:c r="A1254" t="n">
        <x:v>1237</x:v>
      </x:c>
      <x:c r="B1254" s="40" t="n">
        <x:v>-1.172059361436641</x:v>
      </x:c>
      <x:c r="C1254" s="40" t="n">
        <x:v>2.7246496744200455</x:v>
      </x:c>
      <x:c r="D1254" s="40" t="n">
        <x:v>-2.526878506452727</x:v>
      </x:c>
      <x:c r="E1254" t="n">
        <x:f>--((B1254^2/$B$4^2+C1254^2/$B$5^2+D1254^2/$B$6^2)&lt;=1)</x:f>
        <x:v>0</x:v>
      </x:c>
      <x:c r="F1254" s="42" t="n">
        <x:f>$B$8*SUM($E$18:E1254)/A1254</x:f>
        <x:v>99.1818916734034</x:v>
      </x:c>
      <x:c r="G1254" s="42" t="n">
        <x:f>$B$11</x:f>
        <x:v>100.53096491487338</x:v>
      </x:c>
      <x:c r="I1254" t="n">
        <x:f>A1254</x:f>
        <x:v>1237</x:v>
      </x:c>
      <x:c r="J1254" t="n">
        <x:f>F1254</x:f>
        <x:v>99.1818916734034</x:v>
      </x:c>
      <x:c r="K1254" t="n">
        <x:f>G1254</x:f>
        <x:v>100.53096491487338</x:v>
      </x:c>
    </x:row>
    <x:row r="1255">
      <x:c r="A1255" t="n">
        <x:v>1238</x:v>
      </x:c>
      <x:c r="B1255" s="40" t="n">
        <x:v>-0.30906386291175103</x:v>
      </x:c>
      <x:c r="C1255" s="40" t="n">
        <x:v>-1.2908118573366596</x:v>
      </x:c>
      <x:c r="D1255" s="40" t="n">
        <x:v>-3.138487021633109</x:v>
      </x:c>
      <x:c r="E1255" t="n">
        <x:f>--((B1255^2/$B$4^2+C1255^2/$B$5^2+D1255^2/$B$6^2)&lt;=1)</x:f>
        <x:v>1</x:v>
      </x:c>
      <x:c r="F1255" s="42" t="n">
        <x:f>$B$8*SUM($E$18:E1255)/A1255</x:f>
        <x:v>99.25686591276252</x:v>
      </x:c>
      <x:c r="G1255" s="42" t="n">
        <x:f>$B$11</x:f>
        <x:v>100.53096491487338</x:v>
      </x:c>
      <x:c r="I1255" t="n">
        <x:f>A1255</x:f>
        <x:v>1238</x:v>
      </x:c>
      <x:c r="J1255" t="n">
        <x:f>F1255</x:f>
        <x:v>99.25686591276252</x:v>
      </x:c>
      <x:c r="K1255" t="n">
        <x:f>G1255</x:f>
        <x:v>100.53096491487338</x:v>
      </x:c>
    </x:row>
    <x:row r="1256">
      <x:c r="A1256" t="n">
        <x:v>1239</x:v>
      </x:c>
      <x:c r="B1256" s="40" t="n">
        <x:v>-1.2954468033076805</x:v>
      </x:c>
      <x:c r="C1256" s="40" t="n">
        <x:v>-0.8687740584239538</x:v>
      </x:c>
      <x:c r="D1256" s="40" t="n">
        <x:v>-0.49910487475959364</x:v>
      </x:c>
      <x:c r="E1256" t="n">
        <x:f>--((B1256^2/$B$4^2+C1256^2/$B$5^2+D1256^2/$B$6^2)&lt;=1)</x:f>
        <x:v>1</x:v>
      </x:c>
      <x:c r="F1256" s="42" t="n">
        <x:f>$B$8*SUM($E$18:E1256)/A1256</x:f>
        <x:v>99.3317191283293</x:v>
      </x:c>
      <x:c r="G1256" s="42" t="n">
        <x:f>$B$11</x:f>
        <x:v>100.53096491487338</x:v>
      </x:c>
      <x:c r="I1256" t="n">
        <x:f>A1256</x:f>
        <x:v>1239</x:v>
      </x:c>
      <x:c r="J1256" t="n">
        <x:f>F1256</x:f>
        <x:v>99.3317191283293</x:v>
      </x:c>
      <x:c r="K1256" t="n">
        <x:f>G1256</x:f>
        <x:v>100.53096491487338</x:v>
      </x:c>
    </x:row>
    <x:row r="1257">
      <x:c r="A1257" t="n">
        <x:v>1240</x:v>
      </x:c>
      <x:c r="B1257" s="40" t="n">
        <x:v>-1.4612319003066108</x:v>
      </x:c>
      <x:c r="C1257" s="40" t="n">
        <x:v>-1.0675163622237835</x:v>
      </x:c>
      <x:c r="D1257" s="40" t="n">
        <x:v>0.5186269053021038</x:v>
      </x:c>
      <x:c r="E1257" t="n">
        <x:f>--((B1257^2/$B$4^2+C1257^2/$B$5^2+D1257^2/$B$6^2)&lt;=1)</x:f>
        <x:v>1</x:v>
      </x:c>
      <x:c r="F1257" s="42" t="n">
        <x:f>$B$8*SUM($E$18:E1257)/A1257</x:f>
        <x:v>99.40645161290323</x:v>
      </x:c>
      <x:c r="G1257" s="42" t="n">
        <x:f>$B$11</x:f>
        <x:v>100.53096491487338</x:v>
      </x:c>
      <x:c r="I1257" t="n">
        <x:f>A1257</x:f>
        <x:v>1240</x:v>
      </x:c>
      <x:c r="J1257" t="n">
        <x:f>F1257</x:f>
        <x:v>99.40645161290323</x:v>
      </x:c>
      <x:c r="K1257" t="n">
        <x:f>G1257</x:f>
        <x:v>100.53096491487338</x:v>
      </x:c>
    </x:row>
    <x:row r="1258">
      <x:c r="A1258" t="n">
        <x:v>1241</x:v>
      </x:c>
      <x:c r="B1258" s="40" t="n">
        <x:v>1.4411275448757634</x:v>
      </x:c>
      <x:c r="C1258" s="40" t="n">
        <x:v>2.389502671068863</x:v>
      </x:c>
      <x:c r="D1258" s="40" t="n">
        <x:v>-2.890339174729526</x:v>
      </x:c>
      <x:c r="E1258" t="n">
        <x:f>--((B1258^2/$B$4^2+C1258^2/$B$5^2+D1258^2/$B$6^2)&lt;=1)</x:f>
        <x:v>0</x:v>
      </x:c>
      <x:c r="F1258" s="42" t="n">
        <x:f>$B$8*SUM($E$18:E1258)/A1258</x:f>
        <x:v>99.32634971796938</x:v>
      </x:c>
      <x:c r="G1258" s="42" t="n">
        <x:f>$B$11</x:f>
        <x:v>100.53096491487338</x:v>
      </x:c>
      <x:c r="I1258" t="n">
        <x:f>A1258</x:f>
        <x:v>1241</x:v>
      </x:c>
      <x:c r="J1258" t="n">
        <x:f>F1258</x:f>
        <x:v>99.32634971796938</x:v>
      </x:c>
      <x:c r="K1258" t="n">
        <x:f>G1258</x:f>
        <x:v>100.53096491487338</x:v>
      </x:c>
    </x:row>
    <x:row r="1259">
      <x:c r="A1259" t="n">
        <x:v>1242</x:v>
      </x:c>
      <x:c r="B1259" s="40" t="n">
        <x:v>-0.7184111856107687</x:v>
      </x:c>
      <x:c r="C1259" s="40" t="n">
        <x:v>0.3777954680093307</x:v>
      </x:c>
      <x:c r="D1259" s="40" t="n">
        <x:v>-1.6538120527324436</x:v>
      </x:c>
      <x:c r="E1259" t="n">
        <x:f>--((B1259^2/$B$4^2+C1259^2/$B$5^2+D1259^2/$B$6^2)&lt;=1)</x:f>
        <x:v>1</x:v>
      </x:c>
      <x:c r="F1259" s="42" t="n">
        <x:f>$B$8*SUM($E$18:E1259)/A1259</x:f>
        <x:v>99.40096618357488</x:v>
      </x:c>
      <x:c r="G1259" s="42" t="n">
        <x:f>$B$11</x:f>
        <x:v>100.53096491487338</x:v>
      </x:c>
      <x:c r="I1259" t="n">
        <x:f>A1259</x:f>
        <x:v>1242</x:v>
      </x:c>
      <x:c r="J1259" t="n">
        <x:f>F1259</x:f>
        <x:v>99.40096618357488</x:v>
      </x:c>
      <x:c r="K1259" t="n">
        <x:f>G1259</x:f>
        <x:v>100.53096491487338</x:v>
      </x:c>
    </x:row>
    <x:row r="1260">
      <x:c r="A1260" t="n">
        <x:v>1243</x:v>
      </x:c>
      <x:c r="B1260" s="40" t="n">
        <x:v>-0.5569652539269856</x:v>
      </x:c>
      <x:c r="C1260" s="40" t="n">
        <x:v>2.51495939359987</x:v>
      </x:c>
      <x:c r="D1260" s="40" t="n">
        <x:v>-1.552456028555401</x:v>
      </x:c>
      <x:c r="E1260" t="n">
        <x:f>--((B1260^2/$B$4^2+C1260^2/$B$5^2+D1260^2/$B$6^2)&lt;=1)</x:f>
        <x:v>1</x:v>
      </x:c>
      <x:c r="F1260" s="42" t="n">
        <x:f>$B$8*SUM($E$18:E1260)/A1260</x:f>
        <x:v>99.47546259050684</x:v>
      </x:c>
      <x:c r="G1260" s="42" t="n">
        <x:f>$B$11</x:f>
        <x:v>100.53096491487338</x:v>
      </x:c>
      <x:c r="I1260" t="n">
        <x:f>A1260</x:f>
        <x:v>1243</x:v>
      </x:c>
      <x:c r="J1260" t="n">
        <x:f>F1260</x:f>
        <x:v>99.47546259050684</x:v>
      </x:c>
      <x:c r="K1260" t="n">
        <x:f>G1260</x:f>
        <x:v>100.53096491487338</x:v>
      </x:c>
    </x:row>
    <x:row r="1261">
      <x:c r="A1261" t="n">
        <x:v>1244</x:v>
      </x:c>
      <x:c r="B1261" s="40" t="n">
        <x:v>-1.7789183619950895</x:v>
      </x:c>
      <x:c r="C1261" s="40" t="n">
        <x:v>-1.2004505650326267</x:v>
      </x:c>
      <x:c r="D1261" s="40" t="n">
        <x:v>-1.909614391806688</x:v>
      </x:c>
      <x:c r="E1261" t="n">
        <x:f>--((B1261^2/$B$4^2+C1261^2/$B$5^2+D1261^2/$B$6^2)&lt;=1)</x:f>
        <x:v>0</x:v>
      </x:c>
      <x:c r="F1261" s="42" t="n">
        <x:f>$B$8*SUM($E$18:E1261)/A1261</x:f>
        <x:v>99.39549839228296</x:v>
      </x:c>
      <x:c r="G1261" s="42" t="n">
        <x:f>$B$11</x:f>
        <x:v>100.53096491487338</x:v>
      </x:c>
      <x:c r="I1261" t="n">
        <x:f>A1261</x:f>
        <x:v>1244</x:v>
      </x:c>
      <x:c r="J1261" t="n">
        <x:f>F1261</x:f>
        <x:v>99.39549839228296</x:v>
      </x:c>
      <x:c r="K1261" t="n">
        <x:f>G1261</x:f>
        <x:v>100.53096491487338</x:v>
      </x:c>
    </x:row>
    <x:row r="1262">
      <x:c r="A1262" t="n">
        <x:v>1245</x:v>
      </x:c>
      <x:c r="B1262" s="40" t="n">
        <x:v>-0.5705215059917834</x:v>
      </x:c>
      <x:c r="C1262" s="40" t="n">
        <x:v>-2.3109919534083065</x:v>
      </x:c>
      <x:c r="D1262" s="40" t="n">
        <x:v>-0.3139098696656717</x:v>
      </x:c>
      <x:c r="E1262" t="n">
        <x:f>--((B1262^2/$B$4^2+C1262^2/$B$5^2+D1262^2/$B$6^2)&lt;=1)</x:f>
        <x:v>1</x:v>
      </x:c>
      <x:c r="F1262" s="42" t="n">
        <x:f>$B$8*SUM($E$18:E1262)/A1262</x:f>
        <x:v>99.46987951807229</x:v>
      </x:c>
      <x:c r="G1262" s="42" t="n">
        <x:f>$B$11</x:f>
        <x:v>100.53096491487338</x:v>
      </x:c>
      <x:c r="I1262" t="n">
        <x:f>A1262</x:f>
        <x:v>1245</x:v>
      </x:c>
      <x:c r="J1262" t="n">
        <x:f>F1262</x:f>
        <x:v>99.46987951807229</x:v>
      </x:c>
      <x:c r="K1262" t="n">
        <x:f>G1262</x:f>
        <x:v>100.53096491487338</x:v>
      </x:c>
    </x:row>
    <x:row r="1263">
      <x:c r="A1263" t="n">
        <x:v>1246</x:v>
      </x:c>
      <x:c r="B1263" s="40" t="n">
        <x:v>-0.9407712907136814</x:v>
      </x:c>
      <x:c r="C1263" s="40" t="n">
        <x:v>0.3373107163450477</x:v>
      </x:c>
      <x:c r="D1263" s="40" t="n">
        <x:v>1.2245086745579083</x:v>
      </x:c>
      <x:c r="E1263" t="n">
        <x:f>--((B1263^2/$B$4^2+C1263^2/$B$5^2+D1263^2/$B$6^2)&lt;=1)</x:f>
        <x:v>1</x:v>
      </x:c>
      <x:c r="F1263" s="42" t="n">
        <x:f>$B$8*SUM($E$18:E1263)/A1263</x:f>
        <x:v>99.54414125200643</x:v>
      </x:c>
      <x:c r="G1263" s="42" t="n">
        <x:f>$B$11</x:f>
        <x:v>100.53096491487338</x:v>
      </x:c>
      <x:c r="I1263" t="n">
        <x:f>A1263</x:f>
        <x:v>1246</x:v>
      </x:c>
      <x:c r="J1263" t="n">
        <x:f>F1263</x:f>
        <x:v>99.54414125200643</x:v>
      </x:c>
      <x:c r="K1263" t="n">
        <x:f>G1263</x:f>
        <x:v>100.53096491487338</x:v>
      </x:c>
    </x:row>
    <x:row r="1264">
      <x:c r="A1264" t="n">
        <x:v>1247</x:v>
      </x:c>
      <x:c r="B1264" s="40" t="n">
        <x:v>0.44194026936715414</x:v>
      </x:c>
      <x:c r="C1264" s="40" t="n">
        <x:v>-0.9267780492598949</x:v>
      </x:c>
      <x:c r="D1264" s="40" t="n">
        <x:v>0.07511906892793885</x:v>
      </x:c>
      <x:c r="E1264" t="n">
        <x:f>--((B1264^2/$B$4^2+C1264^2/$B$5^2+D1264^2/$B$6^2)&lt;=1)</x:f>
        <x:v>1</x:v>
      </x:c>
      <x:c r="F1264" s="42" t="n">
        <x:f>$B$8*SUM($E$18:E1264)/A1264</x:f>
        <x:v>99.61828388131515</x:v>
      </x:c>
      <x:c r="G1264" s="42" t="n">
        <x:f>$B$11</x:f>
        <x:v>100.53096491487338</x:v>
      </x:c>
      <x:c r="I1264" t="n">
        <x:f>A1264</x:f>
        <x:v>1247</x:v>
      </x:c>
      <x:c r="J1264" t="n">
        <x:f>F1264</x:f>
        <x:v>99.61828388131515</x:v>
      </x:c>
      <x:c r="K1264" t="n">
        <x:f>G1264</x:f>
        <x:v>100.53096491487338</x:v>
      </x:c>
    </x:row>
    <x:row r="1265">
      <x:c r="A1265" t="n">
        <x:v>1248</x:v>
      </x:c>
      <x:c r="B1265" s="40" t="n">
        <x:v>-1.1784388093103733</x:v>
      </x:c>
      <x:c r="C1265" s="40" t="n">
        <x:v>1.8114410009444901</x:v>
      </x:c>
      <x:c r="D1265" s="40" t="n">
        <x:v>-2.3883475020212463</x:v>
      </x:c>
      <x:c r="E1265" t="n">
        <x:f>--((B1265^2/$B$4^2+C1265^2/$B$5^2+D1265^2/$B$6^2)&lt;=1)</x:f>
        <x:v>0</x:v>
      </x:c>
      <x:c r="F1265" s="42" t="n">
        <x:f>$B$8*SUM($E$18:E1265)/A1265</x:f>
        <x:v>99.53846153846153</x:v>
      </x:c>
      <x:c r="G1265" s="42" t="n">
        <x:f>$B$11</x:f>
        <x:v>100.53096491487338</x:v>
      </x:c>
      <x:c r="I1265" t="n">
        <x:f>A1265</x:f>
        <x:v>1248</x:v>
      </x:c>
      <x:c r="J1265" t="n">
        <x:f>F1265</x:f>
        <x:v>99.53846153846153</x:v>
      </x:c>
      <x:c r="K1265" t="n">
        <x:f>G1265</x:f>
        <x:v>100.53096491487338</x:v>
      </x:c>
    </x:row>
    <x:row r="1266">
      <x:c r="A1266" t="n">
        <x:v>1249</x:v>
      </x:c>
      <x:c r="B1266" s="40" t="n">
        <x:v>1.5534618122513622</x:v>
      </x:c>
      <x:c r="C1266" s="40" t="n">
        <x:v>2.276540453469952</x:v>
      </x:c>
      <x:c r="D1266" s="40" t="n">
        <x:v>-3.176487623620802</x:v>
      </x:c>
      <x:c r="E1266" t="n">
        <x:f>--((B1266^2/$B$4^2+C1266^2/$B$5^2+D1266^2/$B$6^2)&lt;=1)</x:f>
        <x:v>0</x:v>
      </x:c>
      <x:c r="F1266" s="42" t="n">
        <x:f>$B$8*SUM($E$18:E1266)/A1266</x:f>
        <x:v>99.4587670136109</x:v>
      </x:c>
      <x:c r="G1266" s="42" t="n">
        <x:f>$B$11</x:f>
        <x:v>100.53096491487338</x:v>
      </x:c>
      <x:c r="I1266" t="n">
        <x:f>A1266</x:f>
        <x:v>1249</x:v>
      </x:c>
      <x:c r="J1266" t="n">
        <x:f>F1266</x:f>
        <x:v>99.4587670136109</x:v>
      </x:c>
      <x:c r="K1266" t="n">
        <x:f>G1266</x:f>
        <x:v>100.53096491487338</x:v>
      </x:c>
    </x:row>
    <x:row r="1267">
      <x:c r="A1267" t="n">
        <x:v>1250</x:v>
      </x:c>
      <x:c r="B1267" s="40" t="n">
        <x:v>1.7186664836782204</x:v>
      </x:c>
      <x:c r="C1267" s="40" t="n">
        <x:v>-0.16455893455756954</x:v>
      </x:c>
      <x:c r="D1267" s="40" t="n">
        <x:v>2.574963703189603</x:v>
      </x:c>
      <x:c r="E1267" t="n">
        <x:f>--((B1267^2/$B$4^2+C1267^2/$B$5^2+D1267^2/$B$6^2)&lt;=1)</x:f>
        <x:v>0</x:v>
      </x:c>
      <x:c r="F1267" s="42" t="n">
        <x:f>$B$8*SUM($E$18:E1267)/A1267</x:f>
        <x:v>99.3792</x:v>
      </x:c>
      <x:c r="G1267" s="42" t="n">
        <x:f>$B$11</x:f>
        <x:v>100.53096491487338</x:v>
      </x:c>
      <x:c r="I1267" t="n">
        <x:f>A1267</x:f>
        <x:v>1250</x:v>
      </x:c>
      <x:c r="J1267" t="n">
        <x:f>F1267</x:f>
        <x:v>99.3792</x:v>
      </x:c>
      <x:c r="K1267" t="n">
        <x:f>G1267</x:f>
        <x:v>100.53096491487338</x:v>
      </x:c>
    </x:row>
    <x:row r="1268">
      <x:c r="A1268" t="n">
        <x:v>1251</x:v>
      </x:c>
      <x:c r="B1268" s="40" t="n">
        <x:v>-1.6006757712928392</x:v>
      </x:c>
      <x:c r="C1268" s="40" t="n">
        <x:v>2.82815414451305</x:v>
      </x:c>
      <x:c r="D1268" s="40" t="n">
        <x:v>-0.1655625382577144</x:v>
      </x:c>
      <x:c r="E1268" t="n">
        <x:f>--((B1268^2/$B$4^2+C1268^2/$B$5^2+D1268^2/$B$6^2)&lt;=1)</x:f>
        <x:v>0</x:v>
      </x:c>
      <x:c r="F1268" s="42" t="n">
        <x:f>$B$8*SUM($E$18:E1268)/A1268</x:f>
        <x:v>99.29976019184652</x:v>
      </x:c>
      <x:c r="G1268" s="42" t="n">
        <x:f>$B$11</x:f>
        <x:v>100.53096491487338</x:v>
      </x:c>
      <x:c r="I1268" t="n">
        <x:f>A1268</x:f>
        <x:v>1251</x:v>
      </x:c>
      <x:c r="J1268" t="n">
        <x:f>F1268</x:f>
        <x:v>99.29976019184652</x:v>
      </x:c>
      <x:c r="K1268" t="n">
        <x:f>G1268</x:f>
        <x:v>100.53096491487338</x:v>
      </x:c>
    </x:row>
    <x:row r="1269">
      <x:c r="A1269" t="n">
        <x:v>1252</x:v>
      </x:c>
      <x:c r="B1269" s="40" t="n">
        <x:v>-1.5703881748456912</x:v>
      </x:c>
      <x:c r="C1269" s="40" t="n">
        <x:v>0.3180780380664352</x:v>
      </x:c>
      <x:c r="D1269" s="40" t="n">
        <x:v>-3.5028865269289824</x:v>
      </x:c>
      <x:c r="E1269" t="n">
        <x:f>--((B1269^2/$B$4^2+C1269^2/$B$5^2+D1269^2/$B$6^2)&lt;=1)</x:f>
        <x:v>0</x:v>
      </x:c>
      <x:c r="F1269" s="42" t="n">
        <x:f>$B$8*SUM($E$18:E1269)/A1269</x:f>
        <x:v>99.22044728434504</x:v>
      </x:c>
      <x:c r="G1269" s="42" t="n">
        <x:f>$B$11</x:f>
        <x:v>100.53096491487338</x:v>
      </x:c>
      <x:c r="I1269" t="n">
        <x:f>A1269</x:f>
        <x:v>1252</x:v>
      </x:c>
      <x:c r="J1269" t="n">
        <x:f>F1269</x:f>
        <x:v>99.22044728434504</x:v>
      </x:c>
      <x:c r="K1269" t="n">
        <x:f>G1269</x:f>
        <x:v>100.53096491487338</x:v>
      </x:c>
    </x:row>
    <x:row r="1270">
      <x:c r="A1270" t="n">
        <x:v>1253</x:v>
      </x:c>
      <x:c r="B1270" s="40" t="n">
        <x:v>-1.5386942475560481</x:v>
      </x:c>
      <x:c r="C1270" s="40" t="n">
        <x:v>-1.3744776396821252</x:v>
      </x:c>
      <x:c r="D1270" s="40" t="n">
        <x:v>-1.935028002803536</x:v>
      </x:c>
      <x:c r="E1270" t="n">
        <x:f>--((B1270^2/$B$4^2+C1270^2/$B$5^2+D1270^2/$B$6^2)&lt;=1)</x:f>
        <x:v>0</x:v>
      </x:c>
      <x:c r="F1270" s="42" t="n">
        <x:f>$B$8*SUM($E$18:E1270)/A1270</x:f>
        <x:v>99.14126097366321</x:v>
      </x:c>
      <x:c r="G1270" s="42" t="n">
        <x:f>$B$11</x:f>
        <x:v>100.53096491487338</x:v>
      </x:c>
      <x:c r="I1270" t="n">
        <x:f>A1270</x:f>
        <x:v>1253</x:v>
      </x:c>
      <x:c r="J1270" t="n">
        <x:f>F1270</x:f>
        <x:v>99.14126097366321</x:v>
      </x:c>
      <x:c r="K1270" t="n">
        <x:f>G1270</x:f>
        <x:v>100.53096491487338</x:v>
      </x:c>
    </x:row>
    <x:row r="1271">
      <x:c r="A1271" t="n">
        <x:v>1254</x:v>
      </x:c>
      <x:c r="B1271" s="40" t="n">
        <x:v>0.47827702524124804</x:v>
      </x:c>
      <x:c r="C1271" s="40" t="n">
        <x:v>-0.06614690793435285</x:v>
      </x:c>
      <x:c r="D1271" s="40" t="n">
        <x:v>2.4322702270732384</x:v>
      </x:c>
      <x:c r="E1271" t="n">
        <x:f>--((B1271^2/$B$4^2+C1271^2/$B$5^2+D1271^2/$B$6^2)&lt;=1)</x:f>
        <x:v>1</x:v>
      </x:c>
      <x:c r="F1271" s="42" t="n">
        <x:f>$B$8*SUM($E$18:E1271)/A1271</x:f>
        <x:v>99.2153110047847</x:v>
      </x:c>
      <x:c r="G1271" s="42" t="n">
        <x:f>$B$11</x:f>
        <x:v>100.53096491487338</x:v>
      </x:c>
      <x:c r="I1271" t="n">
        <x:f>A1271</x:f>
        <x:v>1254</x:v>
      </x:c>
      <x:c r="J1271" t="n">
        <x:f>F1271</x:f>
        <x:v>99.2153110047847</x:v>
      </x:c>
      <x:c r="K1271" t="n">
        <x:f>G1271</x:f>
        <x:v>100.53096491487338</x:v>
      </x:c>
    </x:row>
    <x:row r="1272">
      <x:c r="A1272" t="n">
        <x:v>1255</x:v>
      </x:c>
      <x:c r="B1272" s="40" t="n">
        <x:v>-1.5121241431615084</x:v>
      </x:c>
      <x:c r="C1272" s="40" t="n">
        <x:v>-2.7761382455824344</x:v>
      </x:c>
      <x:c r="D1272" s="40" t="n">
        <x:v>2.0138105981883996</x:v>
      </x:c>
      <x:c r="E1272" t="n">
        <x:f>--((B1272^2/$B$4^2+C1272^2/$B$5^2+D1272^2/$B$6^2)&lt;=1)</x:f>
        <x:v>0</x:v>
      </x:c>
      <x:c r="F1272" s="42" t="n">
        <x:f>$B$8*SUM($E$18:E1272)/A1272</x:f>
        <x:v>99.13625498007968</x:v>
      </x:c>
      <x:c r="G1272" s="42" t="n">
        <x:f>$B$11</x:f>
        <x:v>100.53096491487338</x:v>
      </x:c>
      <x:c r="I1272" t="n">
        <x:f>A1272</x:f>
        <x:v>1255</x:v>
      </x:c>
      <x:c r="J1272" t="n">
        <x:f>F1272</x:f>
        <x:v>99.13625498007968</x:v>
      </x:c>
      <x:c r="K1272" t="n">
        <x:f>G1272</x:f>
        <x:v>100.53096491487338</x:v>
      </x:c>
    </x:row>
    <x:row r="1273">
      <x:c r="A1273" t="n">
        <x:v>1256</x:v>
      </x:c>
      <x:c r="B1273" s="40" t="n">
        <x:v>1.4095292717210652</x:v>
      </x:c>
      <x:c r="C1273" s="40" t="n">
        <x:v>1.8240069615784051</x:v>
      </x:c>
      <x:c r="D1273" s="40" t="n">
        <x:v>3.006533063179022</x:v>
      </x:c>
      <x:c r="E1273" t="n">
        <x:f>--((B1273^2/$B$4^2+C1273^2/$B$5^2+D1273^2/$B$6^2)&lt;=1)</x:f>
        <x:v>0</x:v>
      </x:c>
      <x:c r="F1273" s="42" t="n">
        <x:f>$B$8*SUM($E$18:E1273)/A1273</x:f>
        <x:v>99.05732484076434</x:v>
      </x:c>
      <x:c r="G1273" s="42" t="n">
        <x:f>$B$11</x:f>
        <x:v>100.53096491487338</x:v>
      </x:c>
      <x:c r="I1273" t="n">
        <x:f>A1273</x:f>
        <x:v>1256</x:v>
      </x:c>
      <x:c r="J1273" t="n">
        <x:f>F1273</x:f>
        <x:v>99.05732484076434</x:v>
      </x:c>
      <x:c r="K1273" t="n">
        <x:f>G1273</x:f>
        <x:v>100.53096491487338</x:v>
      </x:c>
    </x:row>
    <x:row r="1274">
      <x:c r="A1274" t="n">
        <x:v>1257</x:v>
      </x:c>
      <x:c r="B1274" s="40" t="n">
        <x:v>1.0170860597515698</x:v>
      </x:c>
      <x:c r="C1274" s="40" t="n">
        <x:v>-2.3913896948734745</x:v>
      </x:c>
      <x:c r="D1274" s="40" t="n">
        <x:v>0.8167026080135367</x:v>
      </x:c>
      <x:c r="E1274" t="n">
        <x:f>--((B1274^2/$B$4^2+C1274^2/$B$5^2+D1274^2/$B$6^2)&lt;=1)</x:f>
        <x:v>1</x:v>
      </x:c>
      <x:c r="F1274" s="42" t="n">
        <x:f>$B$8*SUM($E$18:E1274)/A1274</x:f>
        <x:v>99.13126491646779</x:v>
      </x:c>
      <x:c r="G1274" s="42" t="n">
        <x:f>$B$11</x:f>
        <x:v>100.53096491487338</x:v>
      </x:c>
      <x:c r="I1274" t="n">
        <x:f>A1274</x:f>
        <x:v>1257</x:v>
      </x:c>
      <x:c r="J1274" t="n">
        <x:f>F1274</x:f>
        <x:v>99.13126491646779</x:v>
      </x:c>
      <x:c r="K1274" t="n">
        <x:f>G1274</x:f>
        <x:v>100.53096491487338</x:v>
      </x:c>
    </x:row>
    <x:row r="1275">
      <x:c r="A1275" t="n">
        <x:v>1258</x:v>
      </x:c>
      <x:c r="B1275" s="40" t="n">
        <x:v>1.2792354329520963</x:v>
      </x:c>
      <x:c r="C1275" s="40" t="n">
        <x:v>-1.1475090689819702</x:v>
      </x:c>
      <x:c r="D1275" s="40" t="n">
        <x:v>-0.6167525251355599</x:v>
      </x:c>
      <x:c r="E1275" t="n">
        <x:f>--((B1275^2/$B$4^2+C1275^2/$B$5^2+D1275^2/$B$6^2)&lt;=1)</x:f>
        <x:v>1</x:v>
      </x:c>
      <x:c r="F1275" s="42" t="n">
        <x:f>$B$8*SUM($E$18:E1275)/A1275</x:f>
        <x:v>99.20508744038156</x:v>
      </x:c>
      <x:c r="G1275" s="42" t="n">
        <x:f>$B$11</x:f>
        <x:v>100.53096491487338</x:v>
      </x:c>
      <x:c r="I1275" t="n">
        <x:f>A1275</x:f>
        <x:v>1258</x:v>
      </x:c>
      <x:c r="J1275" t="n">
        <x:f>F1275</x:f>
        <x:v>99.20508744038156</x:v>
      </x:c>
      <x:c r="K1275" t="n">
        <x:f>G1275</x:f>
        <x:v>100.53096491487338</x:v>
      </x:c>
    </x:row>
    <x:row r="1276">
      <x:c r="A1276" t="n">
        <x:v>1259</x:v>
      </x:c>
      <x:c r="B1276" s="40" t="n">
        <x:v>0.10424210754408358</x:v>
      </x:c>
      <x:c r="C1276" s="40" t="n">
        <x:v>0.3918992820296605</x:v>
      </x:c>
      <x:c r="D1276" s="40" t="n">
        <x:v>-0.5869200195643947</x:v>
      </x:c>
      <x:c r="E1276" t="n">
        <x:f>--((B1276^2/$B$4^2+C1276^2/$B$5^2+D1276^2/$B$6^2)&lt;=1)</x:f>
        <x:v>1</x:v>
      </x:c>
      <x:c r="F1276" s="42" t="n">
        <x:f>$B$8*SUM($E$18:E1276)/A1276</x:f>
        <x:v>99.27879269261318</x:v>
      </x:c>
      <x:c r="G1276" s="42" t="n">
        <x:f>$B$11</x:f>
        <x:v>100.53096491487338</x:v>
      </x:c>
      <x:c r="I1276" t="n">
        <x:f>A1276</x:f>
        <x:v>1259</x:v>
      </x:c>
      <x:c r="J1276" t="n">
        <x:f>F1276</x:f>
        <x:v>99.27879269261318</x:v>
      </x:c>
      <x:c r="K1276" t="n">
        <x:f>G1276</x:f>
        <x:v>100.53096491487338</x:v>
      </x:c>
    </x:row>
    <x:row r="1277">
      <x:c r="A1277" t="n">
        <x:v>1260</x:v>
      </x:c>
      <x:c r="B1277" s="40" t="n">
        <x:v>1.9867088460766138</x:v>
      </x:c>
      <x:c r="C1277" s="40" t="n">
        <x:v>-2.7421492461186068</x:v>
      </x:c>
      <x:c r="D1277" s="40" t="n">
        <x:v>-2.44799964405645</x:v>
      </x:c>
      <x:c r="E1277" t="n">
        <x:f>--((B1277^2/$B$4^2+C1277^2/$B$5^2+D1277^2/$B$6^2)&lt;=1)</x:f>
        <x:v>0</x:v>
      </x:c>
      <x:c r="F1277" s="42" t="n">
        <x:f>$B$8*SUM($E$18:E1277)/A1277</x:f>
        <x:v>99.2</x:v>
      </x:c>
      <x:c r="G1277" s="42" t="n">
        <x:f>$B$11</x:f>
        <x:v>100.53096491487338</x:v>
      </x:c>
      <x:c r="I1277" t="n">
        <x:f>A1277</x:f>
        <x:v>1260</x:v>
      </x:c>
      <x:c r="J1277" t="n">
        <x:f>F1277</x:f>
        <x:v>99.2</x:v>
      </x:c>
      <x:c r="K1277" t="n">
        <x:f>G1277</x:f>
        <x:v>100.53096491487338</x:v>
      </x:c>
    </x:row>
    <x:row r="1278">
      <x:c r="A1278" t="n">
        <x:v>1261</x:v>
      </x:c>
      <x:c r="B1278" s="40" t="n">
        <x:v>-1.823299588223355</x:v>
      </x:c>
      <x:c r="C1278" s="40" t="n">
        <x:v>-2.5240986049113108</x:v>
      </x:c>
      <x:c r="D1278" s="40" t="n">
        <x:v>1.2063916921430549</x:v>
      </x:c>
      <x:c r="E1278" t="n">
        <x:f>--((B1278^2/$B$4^2+C1278^2/$B$5^2+D1278^2/$B$6^2)&lt;=1)</x:f>
        <x:v>0</x:v>
      </x:c>
      <x:c r="F1278" s="42" t="n">
        <x:f>$B$8*SUM($E$18:E1278)/A1278</x:f>
        <x:v>99.12133227597145</x:v>
      </x:c>
      <x:c r="G1278" s="42" t="n">
        <x:f>$B$11</x:f>
        <x:v>100.53096491487338</x:v>
      </x:c>
      <x:c r="I1278" t="n">
        <x:f>A1278</x:f>
        <x:v>1261</x:v>
      </x:c>
      <x:c r="J1278" t="n">
        <x:f>F1278</x:f>
        <x:v>99.12133227597145</x:v>
      </x:c>
      <x:c r="K1278" t="n">
        <x:f>G1278</x:f>
        <x:v>100.53096491487338</x:v>
      </x:c>
    </x:row>
    <x:row r="1279">
      <x:c r="A1279" t="n">
        <x:v>1262</x:v>
      </x:c>
      <x:c r="B1279" s="40" t="n">
        <x:v>-0.3949401432555466</x:v>
      </x:c>
      <x:c r="C1279" s="40" t="n">
        <x:v>1.1766981456780767</x:v>
      </x:c>
      <x:c r="D1279" s="40" t="n">
        <x:v>0.6805500487428322</x:v>
      </x:c>
      <x:c r="E1279" t="n">
        <x:f>--((B1279^2/$B$4^2+C1279^2/$B$5^2+D1279^2/$B$6^2)&lt;=1)</x:f>
        <x:v>1</x:v>
      </x:c>
      <x:c r="F1279" s="42" t="n">
        <x:f>$B$8*SUM($E$18:E1279)/A1279</x:f>
        <x:v>99.19492868462757</x:v>
      </x:c>
      <x:c r="G1279" s="42" t="n">
        <x:f>$B$11</x:f>
        <x:v>100.53096491487338</x:v>
      </x:c>
      <x:c r="I1279" t="n">
        <x:f>A1279</x:f>
        <x:v>1262</x:v>
      </x:c>
      <x:c r="J1279" t="n">
        <x:f>F1279</x:f>
        <x:v>99.19492868462757</x:v>
      </x:c>
      <x:c r="K1279" t="n">
        <x:f>G1279</x:f>
        <x:v>100.53096491487338</x:v>
      </x:c>
    </x:row>
    <x:row r="1280">
      <x:c r="A1280" t="n">
        <x:v>1263</x:v>
      </x:c>
      <x:c r="B1280" s="40" t="n">
        <x:v>-0.7042533242494553</x:v>
      </x:c>
      <x:c r="C1280" s="40" t="n">
        <x:v>-2.569337441635388</x:v>
      </x:c>
      <x:c r="D1280" s="40" t="n">
        <x:v>-2.761084708569313</x:v>
      </x:c>
      <x:c r="E1280" t="n">
        <x:f>--((B1280^2/$B$4^2+C1280^2/$B$5^2+D1280^2/$B$6^2)&lt;=1)</x:f>
        <x:v>0</x:v>
      </x:c>
      <x:c r="F1280" s="42" t="n">
        <x:f>$B$8*SUM($E$18:E1280)/A1280</x:f>
        <x:v>99.11638954869359</x:v>
      </x:c>
      <x:c r="G1280" s="42" t="n">
        <x:f>$B$11</x:f>
        <x:v>100.53096491487338</x:v>
      </x:c>
      <x:c r="I1280" t="n">
        <x:f>A1280</x:f>
        <x:v>1263</x:v>
      </x:c>
      <x:c r="J1280" t="n">
        <x:f>F1280</x:f>
        <x:v>99.11638954869359</x:v>
      </x:c>
      <x:c r="K1280" t="n">
        <x:f>G1280</x:f>
        <x:v>100.53096491487338</x:v>
      </x:c>
    </x:row>
    <x:row r="1281">
      <x:c r="A1281" t="n">
        <x:v>1264</x:v>
      </x:c>
      <x:c r="B1281" s="40" t="n">
        <x:v>1.7945819948505641</x:v>
      </x:c>
      <x:c r="C1281" s="40" t="n">
        <x:v>-0.13750280251574099</x:v>
      </x:c>
      <x:c r="D1281" s="40" t="n">
        <x:v>3.0853033603629987</x:v>
      </x:c>
      <x:c r="E1281" t="n">
        <x:f>--((B1281^2/$B$4^2+C1281^2/$B$5^2+D1281^2/$B$6^2)&lt;=1)</x:f>
        <x:v>0</x:v>
      </x:c>
      <x:c r="F1281" s="42" t="n">
        <x:f>$B$8*SUM($E$18:E1281)/A1281</x:f>
        <x:v>99.0379746835443</x:v>
      </x:c>
      <x:c r="G1281" s="42" t="n">
        <x:f>$B$11</x:f>
        <x:v>100.53096491487338</x:v>
      </x:c>
      <x:c r="I1281" t="n">
        <x:f>A1281</x:f>
        <x:v>1264</x:v>
      </x:c>
      <x:c r="J1281" t="n">
        <x:f>F1281</x:f>
        <x:v>99.0379746835443</x:v>
      </x:c>
      <x:c r="K1281" t="n">
        <x:f>G1281</x:f>
        <x:v>100.53096491487338</x:v>
      </x:c>
    </x:row>
    <x:row r="1282">
      <x:c r="A1282" t="n">
        <x:v>1265</x:v>
      </x:c>
      <x:c r="B1282" s="40" t="n">
        <x:v>0.30744383399037156</x:v>
      </x:c>
      <x:c r="C1282" s="40" t="n">
        <x:v>-0.967826199475498</x:v>
      </x:c>
      <x:c r="D1282" s="40" t="n">
        <x:v>-1.0522543735152237</x:v>
      </x:c>
      <x:c r="E1282" t="n">
        <x:f>--((B1282^2/$B$4^2+C1282^2/$B$5^2+D1282^2/$B$6^2)&lt;=1)</x:f>
        <x:v>1</x:v>
      </x:c>
      <x:c r="F1282" s="42" t="n">
        <x:f>$B$8*SUM($E$18:E1282)/A1282</x:f>
        <x:v>99.11146245059288</x:v>
      </x:c>
      <x:c r="G1282" s="42" t="n">
        <x:f>$B$11</x:f>
        <x:v>100.53096491487338</x:v>
      </x:c>
      <x:c r="I1282" t="n">
        <x:f>A1282</x:f>
        <x:v>1265</x:v>
      </x:c>
      <x:c r="J1282" t="n">
        <x:f>F1282</x:f>
        <x:v>99.11146245059288</x:v>
      </x:c>
      <x:c r="K1282" t="n">
        <x:f>G1282</x:f>
        <x:v>100.53096491487338</x:v>
      </x:c>
    </x:row>
    <x:row r="1283">
      <x:c r="A1283" t="n">
        <x:v>1266</x:v>
      </x:c>
      <x:c r="B1283" s="40" t="n">
        <x:v>1.224763861778901</x:v>
      </x:c>
      <x:c r="C1283" s="40" t="n">
        <x:v>-1.6315235522615013</x:v>
      </x:c>
      <x:c r="D1283" s="40" t="n">
        <x:v>-3.602089875831452</x:v>
      </x:c>
      <x:c r="E1283" t="n">
        <x:f>--((B1283^2/$B$4^2+C1283^2/$B$5^2+D1283^2/$B$6^2)&lt;=1)</x:f>
        <x:v>0</x:v>
      </x:c>
      <x:c r="F1283" s="42" t="n">
        <x:f>$B$8*SUM($E$18:E1283)/A1283</x:f>
        <x:v>99.03317535545024</x:v>
      </x:c>
      <x:c r="G1283" s="42" t="n">
        <x:f>$B$11</x:f>
        <x:v>100.53096491487338</x:v>
      </x:c>
      <x:c r="I1283" t="n">
        <x:f>A1283</x:f>
        <x:v>1266</x:v>
      </x:c>
      <x:c r="J1283" t="n">
        <x:f>F1283</x:f>
        <x:v>99.03317535545024</x:v>
      </x:c>
      <x:c r="K1283" t="n">
        <x:f>G1283</x:f>
        <x:v>100.53096491487338</x:v>
      </x:c>
    </x:row>
    <x:row r="1284">
      <x:c r="A1284" t="n">
        <x:v>1267</x:v>
      </x:c>
      <x:c r="B1284" s="40" t="n">
        <x:v>-1.3186352253659246</x:v>
      </x:c>
      <x:c r="C1284" s="40" t="n">
        <x:v>-1.8673266128180075</x:v>
      </x:c>
      <x:c r="D1284" s="40" t="n">
        <x:v>-1.3769526337617295</x:v>
      </x:c>
      <x:c r="E1284" t="n">
        <x:f>--((B1284^2/$B$4^2+C1284^2/$B$5^2+D1284^2/$B$6^2)&lt;=1)</x:f>
        <x:v>1</x:v>
      </x:c>
      <x:c r="F1284" s="42" t="n">
        <x:f>$B$8*SUM($E$18:E1284)/A1284</x:f>
        <x:v>99.10655090765589</x:v>
      </x:c>
      <x:c r="G1284" s="42" t="n">
        <x:f>$B$11</x:f>
        <x:v>100.53096491487338</x:v>
      </x:c>
      <x:c r="I1284" t="n">
        <x:f>A1284</x:f>
        <x:v>1267</x:v>
      </x:c>
      <x:c r="J1284" t="n">
        <x:f>F1284</x:f>
        <x:v>99.10655090765589</x:v>
      </x:c>
      <x:c r="K1284" t="n">
        <x:f>G1284</x:f>
        <x:v>100.53096491487338</x:v>
      </x:c>
    </x:row>
    <x:row r="1285">
      <x:c r="A1285" t="n">
        <x:v>1268</x:v>
      </x:c>
      <x:c r="B1285" s="40" t="n">
        <x:v>1.9145365756017556</x:v>
      </x:c>
      <x:c r="C1285" s="40" t="n">
        <x:v>1.580467762395477</x:v>
      </x:c>
      <x:c r="D1285" s="40" t="n">
        <x:v>2.958853717692606</x:v>
      </x:c>
      <x:c r="E1285" t="n">
        <x:f>--((B1285^2/$B$4^2+C1285^2/$B$5^2+D1285^2/$B$6^2)&lt;=1)</x:f>
        <x:v>0</x:v>
      </x:c>
      <x:c r="F1285" s="42" t="n">
        <x:f>$B$8*SUM($E$18:E1285)/A1285</x:f>
        <x:v>99.02839116719242</x:v>
      </x:c>
      <x:c r="G1285" s="42" t="n">
        <x:f>$B$11</x:f>
        <x:v>100.53096491487338</x:v>
      </x:c>
      <x:c r="I1285" t="n">
        <x:f>A1285</x:f>
        <x:v>1268</x:v>
      </x:c>
      <x:c r="J1285" t="n">
        <x:f>F1285</x:f>
        <x:v>99.02839116719242</x:v>
      </x:c>
      <x:c r="K1285" t="n">
        <x:f>G1285</x:f>
        <x:v>100.53096491487338</x:v>
      </x:c>
    </x:row>
    <x:row r="1286">
      <x:c r="A1286" t="n">
        <x:v>1269</x:v>
      </x:c>
      <x:c r="B1286" s="40" t="n">
        <x:v>-0.005441812494739295</x:v>
      </x:c>
      <x:c r="C1286" s="40" t="n">
        <x:v>2.7092531589016957</x:v>
      </x:c>
      <x:c r="D1286" s="40" t="n">
        <x:v>3.335652686894276</x:v>
      </x:c>
      <x:c r="E1286" t="n">
        <x:f>--((B1286^2/$B$4^2+C1286^2/$B$5^2+D1286^2/$B$6^2)&lt;=1)</x:f>
        <x:v>0</x:v>
      </x:c>
      <x:c r="F1286" s="42" t="n">
        <x:f>$B$8*SUM($E$18:E1286)/A1286</x:f>
        <x:v>98.95035460992908</x:v>
      </x:c>
      <x:c r="G1286" s="42" t="n">
        <x:f>$B$11</x:f>
        <x:v>100.53096491487338</x:v>
      </x:c>
      <x:c r="I1286" t="n">
        <x:f>A1286</x:f>
        <x:v>1269</x:v>
      </x:c>
      <x:c r="J1286" t="n">
        <x:f>F1286</x:f>
        <x:v>98.95035460992908</x:v>
      </x:c>
      <x:c r="K1286" t="n">
        <x:f>G1286</x:f>
        <x:v>100.53096491487338</x:v>
      </x:c>
    </x:row>
    <x:row r="1287">
      <x:c r="A1287" t="n">
        <x:v>1270</x:v>
      </x:c>
      <x:c r="B1287" s="40" t="n">
        <x:v>-0.025311694917416805</x:v>
      </x:c>
      <x:c r="C1287" s="40" t="n">
        <x:v>-2.1589215467800096</x:v>
      </x:c>
      <x:c r="D1287" s="40" t="n">
        <x:v>-0.0768126619229319</x:v>
      </x:c>
      <x:c r="E1287" t="n">
        <x:f>--((B1287^2/$B$4^2+C1287^2/$B$5^2+D1287^2/$B$6^2)&lt;=1)</x:f>
        <x:v>1</x:v>
      </x:c>
      <x:c r="F1287" s="42" t="n">
        <x:f>$B$8*SUM($E$18:E1287)/A1287</x:f>
        <x:v>99.02362204724409</x:v>
      </x:c>
      <x:c r="G1287" s="42" t="n">
        <x:f>$B$11</x:f>
        <x:v>100.53096491487338</x:v>
      </x:c>
      <x:c r="I1287" t="n">
        <x:f>A1287</x:f>
        <x:v>1270</x:v>
      </x:c>
      <x:c r="J1287" t="n">
        <x:f>F1287</x:f>
        <x:v>99.02362204724409</x:v>
      </x:c>
      <x:c r="K1287" t="n">
        <x:f>G1287</x:f>
        <x:v>100.53096491487338</x:v>
      </x:c>
    </x:row>
    <x:row r="1288">
      <x:c r="A1288" t="n">
        <x:v>1271</x:v>
      </x:c>
      <x:c r="B1288" s="40" t="n">
        <x:v>1.8835389141829513</x:v>
      </x:c>
      <x:c r="C1288" s="40" t="n">
        <x:v>2.7580873150447616</x:v>
      </x:c>
      <x:c r="D1288" s="40" t="n">
        <x:v>3.6507195205873435</x:v>
      </x:c>
      <x:c r="E1288" t="n">
        <x:f>--((B1288^2/$B$4^2+C1288^2/$B$5^2+D1288^2/$B$6^2)&lt;=1)</x:f>
        <x:v>0</x:v>
      </x:c>
      <x:c r="F1288" s="42" t="n">
        <x:f>$B$8*SUM($E$18:E1288)/A1288</x:f>
        <x:v>98.94571203776555</x:v>
      </x:c>
      <x:c r="G1288" s="42" t="n">
        <x:f>$B$11</x:f>
        <x:v>100.53096491487338</x:v>
      </x:c>
      <x:c r="I1288" t="n">
        <x:f>A1288</x:f>
        <x:v>1271</x:v>
      </x:c>
      <x:c r="J1288" t="n">
        <x:f>F1288</x:f>
        <x:v>98.94571203776555</x:v>
      </x:c>
      <x:c r="K1288" t="n">
        <x:f>G1288</x:f>
        <x:v>100.53096491487338</x:v>
      </x:c>
    </x:row>
    <x:row r="1289">
      <x:c r="A1289" t="n">
        <x:v>1272</x:v>
      </x:c>
      <x:c r="B1289" s="40" t="n">
        <x:v>-0.4770705551314198</x:v>
      </x:c>
      <x:c r="C1289" s="40" t="n">
        <x:v>0.5685750208506226</x:v>
      </x:c>
      <x:c r="D1289" s="40" t="n">
        <x:v>3.0019344736958082</x:v>
      </x:c>
      <x:c r="E1289" t="n">
        <x:f>--((B1289^2/$B$4^2+C1289^2/$B$5^2+D1289^2/$B$6^2)&lt;=1)</x:f>
        <x:v>1</x:v>
      </x:c>
      <x:c r="F1289" s="42" t="n">
        <x:f>$B$8*SUM($E$18:E1289)/A1289</x:f>
        <x:v>99.01886792452831</x:v>
      </x:c>
      <x:c r="G1289" s="42" t="n">
        <x:f>$B$11</x:f>
        <x:v>100.53096491487338</x:v>
      </x:c>
      <x:c r="I1289" t="n">
        <x:f>A1289</x:f>
        <x:v>1272</x:v>
      </x:c>
      <x:c r="J1289" t="n">
        <x:f>F1289</x:f>
        <x:v>99.01886792452831</x:v>
      </x:c>
      <x:c r="K1289" t="n">
        <x:f>G1289</x:f>
        <x:v>100.53096491487338</x:v>
      </x:c>
    </x:row>
    <x:row r="1290">
      <x:c r="A1290" t="n">
        <x:v>1273</x:v>
      </x:c>
      <x:c r="B1290" s="40" t="n">
        <x:v>-0.4098999017800282</x:v>
      </x:c>
      <x:c r="C1290" s="40" t="n">
        <x:v>0.8499624321795425</x:v>
      </x:c>
      <x:c r="D1290" s="40" t="n">
        <x:v>2.601845736793803</x:v>
      </x:c>
      <x:c r="E1290" t="n">
        <x:f>--((B1290^2/$B$4^2+C1290^2/$B$5^2+D1290^2/$B$6^2)&lt;=1)</x:f>
        <x:v>1</x:v>
      </x:c>
      <x:c r="F1290" s="42" t="n">
        <x:f>$B$8*SUM($E$18:E1290)/A1290</x:f>
        <x:v>99.09190887666928</x:v>
      </x:c>
      <x:c r="G1290" s="42" t="n">
        <x:f>$B$11</x:f>
        <x:v>100.53096491487338</x:v>
      </x:c>
      <x:c r="I1290" t="n">
        <x:f>A1290</x:f>
        <x:v>1273</x:v>
      </x:c>
      <x:c r="J1290" t="n">
        <x:f>F1290</x:f>
        <x:v>99.09190887666928</x:v>
      </x:c>
      <x:c r="K1290" t="n">
        <x:f>G1290</x:f>
        <x:v>100.53096491487338</x:v>
      </x:c>
    </x:row>
    <x:row r="1291">
      <x:c r="A1291" t="n">
        <x:v>1274</x:v>
      </x:c>
      <x:c r="B1291" s="40" t="n">
        <x:v>0.3390108112197465</x:v>
      </x:c>
      <x:c r="C1291" s="40" t="n">
        <x:v>1.259558268855491</x:v>
      </x:c>
      <x:c r="D1291" s="40" t="n">
        <x:v>2.877680517457648</x:v>
      </x:c>
      <x:c r="E1291" t="n">
        <x:f>--((B1291^2/$B$4^2+C1291^2/$B$5^2+D1291^2/$B$6^2)&lt;=1)</x:f>
        <x:v>1</x:v>
      </x:c>
      <x:c r="F1291" s="42" t="n">
        <x:f>$B$8*SUM($E$18:E1291)/A1291</x:f>
        <x:v>99.16483516483517</x:v>
      </x:c>
      <x:c r="G1291" s="42" t="n">
        <x:f>$B$11</x:f>
        <x:v>100.53096491487338</x:v>
      </x:c>
      <x:c r="I1291" t="n">
        <x:f>A1291</x:f>
        <x:v>1274</x:v>
      </x:c>
      <x:c r="J1291" t="n">
        <x:f>F1291</x:f>
        <x:v>99.16483516483517</x:v>
      </x:c>
      <x:c r="K1291" t="n">
        <x:f>G1291</x:f>
        <x:v>100.53096491487338</x:v>
      </x:c>
    </x:row>
    <x:row r="1292">
      <x:c r="A1292" t="n">
        <x:v>1275</x:v>
      </x:c>
      <x:c r="B1292" s="40" t="n">
        <x:v>-1.4877895578088522</x:v>
      </x:c>
      <x:c r="C1292" s="40" t="n">
        <x:v>1.2247133421274858</x:v>
      </x:c>
      <x:c r="D1292" s="40" t="n">
        <x:v>-0.9449967026494122</x:v>
      </x:c>
      <x:c r="E1292" t="n">
        <x:f>--((B1292^2/$B$4^2+C1292^2/$B$5^2+D1292^2/$B$6^2)&lt;=1)</x:f>
        <x:v>1</x:v>
      </x:c>
      <x:c r="F1292" s="42" t="n">
        <x:f>$B$8*SUM($E$18:E1292)/A1292</x:f>
        <x:v>99.23764705882353</x:v>
      </x:c>
      <x:c r="G1292" s="42" t="n">
        <x:f>$B$11</x:f>
        <x:v>100.53096491487338</x:v>
      </x:c>
      <x:c r="I1292" t="n">
        <x:f>A1292</x:f>
        <x:v>1275</x:v>
      </x:c>
      <x:c r="J1292" t="n">
        <x:f>F1292</x:f>
        <x:v>99.23764705882353</x:v>
      </x:c>
      <x:c r="K1292" t="n">
        <x:f>G1292</x:f>
        <x:v>100.53096491487338</x:v>
      </x:c>
    </x:row>
    <x:row r="1293">
      <x:c r="A1293" t="n">
        <x:v>1276</x:v>
      </x:c>
      <x:c r="B1293" s="40" t="n">
        <x:v>-0.7156574943525804</x:v>
      </x:c>
      <x:c r="C1293" s="40" t="n">
        <x:v>1.918866649114129</x:v>
      </x:c>
      <x:c r="D1293" s="40" t="n">
        <x:v>2.051751526044349</x:v>
      </x:c>
      <x:c r="E1293" t="n">
        <x:f>--((B1293^2/$B$4^2+C1293^2/$B$5^2+D1293^2/$B$6^2)&lt;=1)</x:f>
        <x:v>1</x:v>
      </x:c>
      <x:c r="F1293" s="42" t="n">
        <x:f>$B$8*SUM($E$18:E1293)/A1293</x:f>
        <x:v>99.3103448275862</x:v>
      </x:c>
      <x:c r="G1293" s="42" t="n">
        <x:f>$B$11</x:f>
        <x:v>100.53096491487338</x:v>
      </x:c>
      <x:c r="I1293" t="n">
        <x:f>A1293</x:f>
        <x:v>1276</x:v>
      </x:c>
      <x:c r="J1293" t="n">
        <x:f>F1293</x:f>
        <x:v>99.3103448275862</x:v>
      </x:c>
      <x:c r="K1293" t="n">
        <x:f>G1293</x:f>
        <x:v>100.53096491487338</x:v>
      </x:c>
    </x:row>
    <x:row r="1294">
      <x:c r="A1294" t="n">
        <x:v>1277</x:v>
      </x:c>
      <x:c r="B1294" s="40" t="n">
        <x:v>-1.2271667102194779</x:v>
      </x:c>
      <x:c r="C1294" s="40" t="n">
        <x:v>-0.09918809191381506</x:v>
      </x:c>
      <x:c r="D1294" s="40" t="n">
        <x:v>0.6187120246091942</x:v>
      </x:c>
      <x:c r="E1294" t="n">
        <x:f>--((B1294^2/$B$4^2+C1294^2/$B$5^2+D1294^2/$B$6^2)&lt;=1)</x:f>
        <x:v>1</x:v>
      </x:c>
      <x:c r="F1294" s="42" t="n">
        <x:f>$B$8*SUM($E$18:E1294)/A1294</x:f>
        <x:v>99.38292873923258</x:v>
      </x:c>
      <x:c r="G1294" s="42" t="n">
        <x:f>$B$11</x:f>
        <x:v>100.53096491487338</x:v>
      </x:c>
      <x:c r="I1294" t="n">
        <x:f>A1294</x:f>
        <x:v>1277</x:v>
      </x:c>
      <x:c r="J1294" t="n">
        <x:f>F1294</x:f>
        <x:v>99.38292873923258</x:v>
      </x:c>
      <x:c r="K1294" t="n">
        <x:f>G1294</x:f>
        <x:v>100.53096491487338</x:v>
      </x:c>
    </x:row>
    <x:row r="1295">
      <x:c r="A1295" t="n">
        <x:v>1278</x:v>
      </x:c>
      <x:c r="B1295" s="40" t="n">
        <x:v>-1.5868660835718016</x:v>
      </x:c>
      <x:c r="C1295" s="40" t="n">
        <x:v>0.20015152508820666</x:v>
      </x:c>
      <x:c r="D1295" s="40" t="n">
        <x:v>1.7574720139224533</x:v>
      </x:c>
      <x:c r="E1295" t="n">
        <x:f>--((B1295^2/$B$4^2+C1295^2/$B$5^2+D1295^2/$B$6^2)&lt;=1)</x:f>
        <x:v>1</x:v>
      </x:c>
      <x:c r="F1295" s="42" t="n">
        <x:f>$B$8*SUM($E$18:E1295)/A1295</x:f>
        <x:v>99.45539906103286</x:v>
      </x:c>
      <x:c r="G1295" s="42" t="n">
        <x:f>$B$11</x:f>
        <x:v>100.53096491487338</x:v>
      </x:c>
      <x:c r="I1295" t="n">
        <x:f>A1295</x:f>
        <x:v>1278</x:v>
      </x:c>
      <x:c r="J1295" t="n">
        <x:f>F1295</x:f>
        <x:v>99.45539906103286</x:v>
      </x:c>
      <x:c r="K1295" t="n">
        <x:f>G1295</x:f>
        <x:v>100.53096491487338</x:v>
      </x:c>
    </x:row>
    <x:row r="1296">
      <x:c r="A1296" t="n">
        <x:v>1279</x:v>
      </x:c>
      <x:c r="B1296" s="40" t="n">
        <x:v>1.4645784253240803</x:v>
      </x:c>
      <x:c r="C1296" s="40" t="n">
        <x:v>-1.0570379852195046</x:v>
      </x:c>
      <x:c r="D1296" s="40" t="n">
        <x:v>-2.577711139353803</x:v>
      </x:c>
      <x:c r="E1296" t="n">
        <x:f>--((B1296^2/$B$4^2+C1296^2/$B$5^2+D1296^2/$B$6^2)&lt;=1)</x:f>
        <x:v>0</x:v>
      </x:c>
      <x:c r="F1296" s="42" t="n">
        <x:f>$B$8*SUM($E$18:E1296)/A1296</x:f>
        <x:v>99.3776387802971</x:v>
      </x:c>
      <x:c r="G1296" s="42" t="n">
        <x:f>$B$11</x:f>
        <x:v>100.53096491487338</x:v>
      </x:c>
      <x:c r="I1296" t="n">
        <x:f>A1296</x:f>
        <x:v>1279</x:v>
      </x:c>
      <x:c r="J1296" t="n">
        <x:f>F1296</x:f>
        <x:v>99.3776387802971</x:v>
      </x:c>
      <x:c r="K1296" t="n">
        <x:f>G1296</x:f>
        <x:v>100.53096491487338</x:v>
      </x:c>
    </x:row>
    <x:row r="1297">
      <x:c r="A1297" t="n">
        <x:v>1280</x:v>
      </x:c>
      <x:c r="B1297" s="40" t="n">
        <x:v>0.3573246645099042</x:v>
      </x:c>
      <x:c r="C1297" s="40" t="n">
        <x:v>-2.3684544373012977</x:v>
      </x:c>
      <x:c r="D1297" s="40" t="n">
        <x:v>1.8511512941995356</x:v>
      </x:c>
      <x:c r="E1297" t="n">
        <x:f>--((B1297^2/$B$4^2+C1297^2/$B$5^2+D1297^2/$B$6^2)&lt;=1)</x:f>
        <x:v>1</x:v>
      </x:c>
      <x:c r="F1297" s="42" t="n">
        <x:f>$B$8*SUM($E$18:E1297)/A1297</x:f>
        <x:v>99.45</x:v>
      </x:c>
      <x:c r="G1297" s="42" t="n">
        <x:f>$B$11</x:f>
        <x:v>100.53096491487338</x:v>
      </x:c>
      <x:c r="I1297" t="n">
        <x:f>A1297</x:f>
        <x:v>1280</x:v>
      </x:c>
      <x:c r="J1297" t="n">
        <x:f>F1297</x:f>
        <x:v>99.45</x:v>
      </x:c>
      <x:c r="K1297" t="n">
        <x:f>G1297</x:f>
        <x:v>100.53096491487338</x:v>
      </x:c>
    </x:row>
    <x:row r="1298">
      <x:c r="A1298" t="n">
        <x:v>1281</x:v>
      </x:c>
      <x:c r="B1298" s="40" t="n">
        <x:v>-0.5653088338883552</x:v>
      </x:c>
      <x:c r="C1298" s="40" t="n">
        <x:v>0.9878411455573142</x:v>
      </x:c>
      <x:c r="D1298" s="40" t="n">
        <x:v>3.660739473553374</x:v>
      </x:c>
      <x:c r="E1298" t="n">
        <x:f>--((B1298^2/$B$4^2+C1298^2/$B$5^2+D1298^2/$B$6^2)&lt;=1)</x:f>
        <x:v>0</x:v>
      </x:c>
      <x:c r="F1298" s="42" t="n">
        <x:f>$B$8*SUM($E$18:E1298)/A1298</x:f>
        <x:v>99.37236533957845</x:v>
      </x:c>
      <x:c r="G1298" s="42" t="n">
        <x:f>$B$11</x:f>
        <x:v>100.53096491487338</x:v>
      </x:c>
      <x:c r="I1298" t="n">
        <x:f>A1298</x:f>
        <x:v>1281</x:v>
      </x:c>
      <x:c r="J1298" t="n">
        <x:f>F1298</x:f>
        <x:v>99.37236533957845</x:v>
      </x:c>
      <x:c r="K1298" t="n">
        <x:f>G1298</x:f>
        <x:v>100.53096491487338</x:v>
      </x:c>
    </x:row>
    <x:row r="1299">
      <x:c r="A1299" t="n">
        <x:v>1282</x:v>
      </x:c>
      <x:c r="B1299" s="40" t="n">
        <x:v>-0.3653224905331487</x:v>
      </x:c>
      <x:c r="C1299" s="40" t="n">
        <x:v>-2.7983401848824947</x:v>
      </x:c>
      <x:c r="D1299" s="40" t="n">
        <x:v>-1.5786934209485635</x:v>
      </x:c>
      <x:c r="E1299" t="n">
        <x:f>--((B1299^2/$B$4^2+C1299^2/$B$5^2+D1299^2/$B$6^2)&lt;=1)</x:f>
        <x:v>0</x:v>
      </x:c>
      <x:c r="F1299" s="42" t="n">
        <x:f>$B$8*SUM($E$18:E1299)/A1299</x:f>
        <x:v>99.29485179407176</x:v>
      </x:c>
      <x:c r="G1299" s="42" t="n">
        <x:f>$B$11</x:f>
        <x:v>100.53096491487338</x:v>
      </x:c>
      <x:c r="I1299" t="n">
        <x:f>A1299</x:f>
        <x:v>1282</x:v>
      </x:c>
      <x:c r="J1299" t="n">
        <x:f>F1299</x:f>
        <x:v>99.29485179407176</x:v>
      </x:c>
      <x:c r="K1299" t="n">
        <x:f>G1299</x:f>
        <x:v>100.53096491487338</x:v>
      </x:c>
    </x:row>
    <x:row r="1300">
      <x:c r="A1300" t="n">
        <x:v>1283</x:v>
      </x:c>
      <x:c r="B1300" s="40" t="n">
        <x:v>-0.2739239852505815</x:v>
      </x:c>
      <x:c r="C1300" s="40" t="n">
        <x:v>-1.3461896934997903</x:v>
      </x:c>
      <x:c r="D1300" s="40" t="n">
        <x:v>3.8892905916450164</x:v>
      </x:c>
      <x:c r="E1300" t="n">
        <x:f>--((B1300^2/$B$4^2+C1300^2/$B$5^2+D1300^2/$B$6^2)&lt;=1)</x:f>
        <x:v>0</x:v>
      </x:c>
      <x:c r="F1300" s="42" t="n">
        <x:f>$B$8*SUM($E$18:E1300)/A1300</x:f>
        <x:v>99.21745908028059</x:v>
      </x:c>
      <x:c r="G1300" s="42" t="n">
        <x:f>$B$11</x:f>
        <x:v>100.53096491487338</x:v>
      </x:c>
      <x:c r="I1300" t="n">
        <x:f>A1300</x:f>
        <x:v>1283</x:v>
      </x:c>
      <x:c r="J1300" t="n">
        <x:f>F1300</x:f>
        <x:v>99.21745908028059</x:v>
      </x:c>
      <x:c r="K1300" t="n">
        <x:f>G1300</x:f>
        <x:v>100.53096491487338</x:v>
      </x:c>
    </x:row>
    <x:row r="1301">
      <x:c r="A1301" t="n">
        <x:v>1284</x:v>
      </x:c>
      <x:c r="B1301" s="40" t="n">
        <x:v>0.5325967285788376</x:v>
      </x:c>
      <x:c r="C1301" s="40" t="n">
        <x:v>-2.4346208133233986</x:v>
      </x:c>
      <x:c r="D1301" s="40" t="n">
        <x:v>-0.9729918815570313</x:v>
      </x:c>
      <x:c r="E1301" t="n">
        <x:f>--((B1301^2/$B$4^2+C1301^2/$B$5^2+D1301^2/$B$6^2)&lt;=1)</x:f>
        <x:v>1</x:v>
      </x:c>
      <x:c r="F1301" s="42" t="n">
        <x:f>$B$8*SUM($E$18:E1301)/A1301</x:f>
        <x:v>99.28971962616822</x:v>
      </x:c>
      <x:c r="G1301" s="42" t="n">
        <x:f>$B$11</x:f>
        <x:v>100.53096491487338</x:v>
      </x:c>
      <x:c r="I1301" t="n">
        <x:f>A1301</x:f>
        <x:v>1284</x:v>
      </x:c>
      <x:c r="J1301" t="n">
        <x:f>F1301</x:f>
        <x:v>99.28971962616822</x:v>
      </x:c>
      <x:c r="K1301" t="n">
        <x:f>G1301</x:f>
        <x:v>100.53096491487338</x:v>
      </x:c>
    </x:row>
    <x:row r="1302">
      <x:c r="A1302" t="n">
        <x:v>1285</x:v>
      </x:c>
      <x:c r="B1302" s="40" t="n">
        <x:v>1.7070775659559732</x:v>
      </x:c>
      <x:c r="C1302" s="40" t="n">
        <x:v>-1.8556370560636917</x:v>
      </x:c>
      <x:c r="D1302" s="40" t="n">
        <x:v>-2.402212023831737</x:v>
      </x:c>
      <x:c r="E1302" t="n">
        <x:f>--((B1302^2/$B$4^2+C1302^2/$B$5^2+D1302^2/$B$6^2)&lt;=1)</x:f>
        <x:v>0</x:v>
      </x:c>
      <x:c r="F1302" s="42" t="n">
        <x:f>$B$8*SUM($E$18:E1302)/A1302</x:f>
        <x:v>99.2124513618677</x:v>
      </x:c>
      <x:c r="G1302" s="42" t="n">
        <x:f>$B$11</x:f>
        <x:v>100.53096491487338</x:v>
      </x:c>
      <x:c r="I1302" t="n">
        <x:f>A1302</x:f>
        <x:v>1285</x:v>
      </x:c>
      <x:c r="J1302" t="n">
        <x:f>F1302</x:f>
        <x:v>99.2124513618677</x:v>
      </x:c>
      <x:c r="K1302" t="n">
        <x:f>G1302</x:f>
        <x:v>100.53096491487338</x:v>
      </x:c>
    </x:row>
    <x:row r="1303">
      <x:c r="A1303" t="n">
        <x:v>1286</x:v>
      </x:c>
      <x:c r="B1303" s="40" t="n">
        <x:v>1.7311184786279301</x:v>
      </x:c>
      <x:c r="C1303" s="40" t="n">
        <x:v>0.8323854773842849</x:v>
      </x:c>
      <x:c r="D1303" s="40" t="n">
        <x:v>-3.101710161598093</x:v>
      </x:c>
      <x:c r="E1303" t="n">
        <x:f>--((B1303^2/$B$4^2+C1303^2/$B$5^2+D1303^2/$B$6^2)&lt;=1)</x:f>
        <x:v>0</x:v>
      </x:c>
      <x:c r="F1303" s="42" t="n">
        <x:f>$B$8*SUM($E$18:E1303)/A1303</x:f>
        <x:v>99.1353032659409</x:v>
      </x:c>
      <x:c r="G1303" s="42" t="n">
        <x:f>$B$11</x:f>
        <x:v>100.53096491487338</x:v>
      </x:c>
      <x:c r="I1303" t="n">
        <x:f>A1303</x:f>
        <x:v>1286</x:v>
      </x:c>
      <x:c r="J1303" t="n">
        <x:f>F1303</x:f>
        <x:v>99.1353032659409</x:v>
      </x:c>
      <x:c r="K1303" t="n">
        <x:f>G1303</x:f>
        <x:v>100.53096491487338</x:v>
      </x:c>
    </x:row>
    <x:row r="1304">
      <x:c r="A1304" t="n">
        <x:v>1287</x:v>
      </x:c>
      <x:c r="B1304" s="40" t="n">
        <x:v>-0.43403208187734643</x:v>
      </x:c>
      <x:c r="C1304" s="40" t="n">
        <x:v>0.7708597812295093</x:v>
      </x:c>
      <x:c r="D1304" s="40" t="n">
        <x:v>2.279695306305422</x:v>
      </x:c>
      <x:c r="E1304" t="n">
        <x:f>--((B1304^2/$B$4^2+C1304^2/$B$5^2+D1304^2/$B$6^2)&lt;=1)</x:f>
        <x:v>1</x:v>
      </x:c>
      <x:c r="F1304" s="42" t="n">
        <x:f>$B$8*SUM($E$18:E1304)/A1304</x:f>
        <x:v>99.20745920745921</x:v>
      </x:c>
      <x:c r="G1304" s="42" t="n">
        <x:f>$B$11</x:f>
        <x:v>100.53096491487338</x:v>
      </x:c>
      <x:c r="I1304" t="n">
        <x:f>A1304</x:f>
        <x:v>1287</x:v>
      </x:c>
      <x:c r="J1304" t="n">
        <x:f>F1304</x:f>
        <x:v>99.20745920745921</x:v>
      </x:c>
      <x:c r="K1304" t="n">
        <x:f>G1304</x:f>
        <x:v>100.53096491487338</x:v>
      </x:c>
    </x:row>
    <x:row r="1305">
      <x:c r="A1305" t="n">
        <x:v>1288</x:v>
      </x:c>
      <x:c r="B1305" s="40" t="n">
        <x:v>-0.6829501616089217</x:v>
      </x:c>
      <x:c r="C1305" s="40" t="n">
        <x:v>-0.4736705220257278</x:v>
      </x:c>
      <x:c r="D1305" s="40" t="n">
        <x:v>0.43860320301254685</x:v>
      </x:c>
      <x:c r="E1305" t="n">
        <x:f>--((B1305^2/$B$4^2+C1305^2/$B$5^2+D1305^2/$B$6^2)&lt;=1)</x:f>
        <x:v>1</x:v>
      </x:c>
      <x:c r="F1305" s="42" t="n">
        <x:f>$B$8*SUM($E$18:E1305)/A1305</x:f>
        <x:v>99.27950310559007</x:v>
      </x:c>
      <x:c r="G1305" s="42" t="n">
        <x:f>$B$11</x:f>
        <x:v>100.53096491487338</x:v>
      </x:c>
      <x:c r="I1305" t="n">
        <x:f>A1305</x:f>
        <x:v>1288</x:v>
      </x:c>
      <x:c r="J1305" t="n">
        <x:f>F1305</x:f>
        <x:v>99.27950310559007</x:v>
      </x:c>
      <x:c r="K1305" t="n">
        <x:f>G1305</x:f>
        <x:v>100.53096491487338</x:v>
      </x:c>
    </x:row>
    <x:row r="1306">
      <x:c r="A1306" t="n">
        <x:v>1289</x:v>
      </x:c>
      <x:c r="B1306" s="40" t="n">
        <x:v>-0.1958139992589798</x:v>
      </x:c>
      <x:c r="C1306" s="40" t="n">
        <x:v>-2.4589681410630533</x:v>
      </x:c>
      <x:c r="D1306" s="40" t="n">
        <x:v>-1.5429496507037692</x:v>
      </x:c>
      <x:c r="E1306" t="n">
        <x:f>--((B1306^2/$B$4^2+C1306^2/$B$5^2+D1306^2/$B$6^2)&lt;=1)</x:f>
        <x:v>1</x:v>
      </x:c>
      <x:c r="F1306" s="42" t="n">
        <x:f>$B$8*SUM($E$18:E1306)/A1306</x:f>
        <x:v>99.35143522110162</x:v>
      </x:c>
      <x:c r="G1306" s="42" t="n">
        <x:f>$B$11</x:f>
        <x:v>100.53096491487338</x:v>
      </x:c>
      <x:c r="I1306" t="n">
        <x:f>A1306</x:f>
        <x:v>1289</x:v>
      </x:c>
      <x:c r="J1306" t="n">
        <x:f>F1306</x:f>
        <x:v>99.35143522110162</x:v>
      </x:c>
      <x:c r="K1306" t="n">
        <x:f>G1306</x:f>
        <x:v>100.53096491487338</x:v>
      </x:c>
    </x:row>
    <x:row r="1307">
      <x:c r="A1307" t="n">
        <x:v>1290</x:v>
      </x:c>
      <x:c r="B1307" s="40" t="n">
        <x:v>0.27173692171397024</x:v>
      </x:c>
      <x:c r="C1307" s="40" t="n">
        <x:v>-0.3997565012435498</x:v>
      </x:c>
      <x:c r="D1307" s="40" t="n">
        <x:v>0.8676029583500631</x:v>
      </x:c>
      <x:c r="E1307" t="n">
        <x:f>--((B1307^2/$B$4^2+C1307^2/$B$5^2+D1307^2/$B$6^2)&lt;=1)</x:f>
        <x:v>1</x:v>
      </x:c>
      <x:c r="F1307" s="42" t="n">
        <x:f>$B$8*SUM($E$18:E1307)/A1307</x:f>
        <x:v>99.42325581395349</x:v>
      </x:c>
      <x:c r="G1307" s="42" t="n">
        <x:f>$B$11</x:f>
        <x:v>100.53096491487338</x:v>
      </x:c>
      <x:c r="I1307" t="n">
        <x:f>A1307</x:f>
        <x:v>1290</x:v>
      </x:c>
      <x:c r="J1307" t="n">
        <x:f>F1307</x:f>
        <x:v>99.42325581395349</x:v>
      </x:c>
      <x:c r="K1307" t="n">
        <x:f>G1307</x:f>
        <x:v>100.53096491487338</x:v>
      </x:c>
    </x:row>
    <x:row r="1308">
      <x:c r="A1308" t="n">
        <x:v>1291</x:v>
      </x:c>
      <x:c r="B1308" s="40" t="n">
        <x:v>-0.15272835420100694</x:v>
      </x:c>
      <x:c r="C1308" s="40" t="n">
        <x:v>-0.8835307688502398</x:v>
      </x:c>
      <x:c r="D1308" s="40" t="n">
        <x:v>-1.3431904972719622</x:v>
      </x:c>
      <x:c r="E1308" t="n">
        <x:f>--((B1308^2/$B$4^2+C1308^2/$B$5^2+D1308^2/$B$6^2)&lt;=1)</x:f>
        <x:v>1</x:v>
      </x:c>
      <x:c r="F1308" s="42" t="n">
        <x:f>$B$8*SUM($E$18:E1308)/A1308</x:f>
        <x:v>99.49496514329977</x:v>
      </x:c>
      <x:c r="G1308" s="42" t="n">
        <x:f>$B$11</x:f>
        <x:v>100.53096491487338</x:v>
      </x:c>
      <x:c r="I1308" t="n">
        <x:f>A1308</x:f>
        <x:v>1291</x:v>
      </x:c>
      <x:c r="J1308" t="n">
        <x:f>F1308</x:f>
        <x:v>99.49496514329977</x:v>
      </x:c>
      <x:c r="K1308" t="n">
        <x:f>G1308</x:f>
        <x:v>100.53096491487338</x:v>
      </x:c>
    </x:row>
    <x:row r="1309">
      <x:c r="A1309" t="n">
        <x:v>1292</x:v>
      </x:c>
      <x:c r="B1309" s="40" t="n">
        <x:v>0.6350136392668038</x:v>
      </x:c>
      <x:c r="C1309" s="40" t="n">
        <x:v>1.3227549171356987</x:v>
      </x:c>
      <x:c r="D1309" s="40" t="n">
        <x:v>-0.4131379413723302</x:v>
      </x:c>
      <x:c r="E1309" t="n">
        <x:f>--((B1309^2/$B$4^2+C1309^2/$B$5^2+D1309^2/$B$6^2)&lt;=1)</x:f>
        <x:v>1</x:v>
      </x:c>
      <x:c r="F1309" s="42" t="n">
        <x:f>$B$8*SUM($E$18:E1309)/A1309</x:f>
        <x:v>99.56656346749226</x:v>
      </x:c>
      <x:c r="G1309" s="42" t="n">
        <x:f>$B$11</x:f>
        <x:v>100.53096491487338</x:v>
      </x:c>
      <x:c r="I1309" t="n">
        <x:f>A1309</x:f>
        <x:v>1292</x:v>
      </x:c>
      <x:c r="J1309" t="n">
        <x:f>F1309</x:f>
        <x:v>99.56656346749226</x:v>
      </x:c>
      <x:c r="K1309" t="n">
        <x:f>G1309</x:f>
        <x:v>100.53096491487338</x:v>
      </x:c>
    </x:row>
    <x:row r="1310">
      <x:c r="A1310" t="n">
        <x:v>1293</x:v>
      </x:c>
      <x:c r="B1310" s="40" t="n">
        <x:v>0.21759609351905462</x:v>
      </x:c>
      <x:c r="C1310" s="40" t="n">
        <x:v>0.4741596491943101</x:v>
      </x:c>
      <x:c r="D1310" s="40" t="n">
        <x:v>2.901313006024729</x:v>
      </x:c>
      <x:c r="E1310" t="n">
        <x:f>--((B1310^2/$B$4^2+C1310^2/$B$5^2+D1310^2/$B$6^2)&lt;=1)</x:f>
        <x:v>1</x:v>
      </x:c>
      <x:c r="F1310" s="42" t="n">
        <x:f>$B$8*SUM($E$18:E1310)/A1310</x:f>
        <x:v>99.63805104408353</x:v>
      </x:c>
      <x:c r="G1310" s="42" t="n">
        <x:f>$B$11</x:f>
        <x:v>100.53096491487338</x:v>
      </x:c>
      <x:c r="I1310" t="n">
        <x:f>A1310</x:f>
        <x:v>1293</x:v>
      </x:c>
      <x:c r="J1310" t="n">
        <x:f>F1310</x:f>
        <x:v>99.63805104408353</x:v>
      </x:c>
      <x:c r="K1310" t="n">
        <x:f>G1310</x:f>
        <x:v>100.53096491487338</x:v>
      </x:c>
    </x:row>
    <x:row r="1311">
      <x:c r="A1311" t="n">
        <x:v>1294</x:v>
      </x:c>
      <x:c r="B1311" s="40" t="n">
        <x:v>-0.7171378132236956</x:v>
      </x:c>
      <x:c r="C1311" s="40" t="n">
        <x:v>-0.05060539597800595</x:v>
      </x:c>
      <x:c r="D1311" s="40" t="n">
        <x:v>1.345331814873318</x:v>
      </x:c>
      <x:c r="E1311" t="n">
        <x:f>--((B1311^2/$B$4^2+C1311^2/$B$5^2+D1311^2/$B$6^2)&lt;=1)</x:f>
        <x:v>1</x:v>
      </x:c>
      <x:c r="F1311" s="42" t="n">
        <x:f>$B$8*SUM($E$18:E1311)/A1311</x:f>
        <x:v>99.70942812982999</x:v>
      </x:c>
      <x:c r="G1311" s="42" t="n">
        <x:f>$B$11</x:f>
        <x:v>100.53096491487338</x:v>
      </x:c>
      <x:c r="I1311" t="n">
        <x:f>A1311</x:f>
        <x:v>1294</x:v>
      </x:c>
      <x:c r="J1311" t="n">
        <x:f>F1311</x:f>
        <x:v>99.70942812982999</x:v>
      </x:c>
      <x:c r="K1311" t="n">
        <x:f>G1311</x:f>
        <x:v>100.53096491487338</x:v>
      </x:c>
    </x:row>
    <x:row r="1312">
      <x:c r="A1312" t="n">
        <x:v>1295</x:v>
      </x:c>
      <x:c r="B1312" s="40" t="n">
        <x:v>-0.6170767769494696</x:v>
      </x:c>
      <x:c r="C1312" s="40" t="n">
        <x:v>-0.0781075061700287</x:v>
      </x:c>
      <x:c r="D1312" s="40" t="n">
        <x:v>2.0992147176377314</x:v>
      </x:c>
      <x:c r="E1312" t="n">
        <x:f>--((B1312^2/$B$4^2+C1312^2/$B$5^2+D1312^2/$B$6^2)&lt;=1)</x:f>
        <x:v>1</x:v>
      </x:c>
      <x:c r="F1312" s="42" t="n">
        <x:f>$B$8*SUM($E$18:E1312)/A1312</x:f>
        <x:v>99.78069498069497</x:v>
      </x:c>
      <x:c r="G1312" s="42" t="n">
        <x:f>$B$11</x:f>
        <x:v>100.53096491487338</x:v>
      </x:c>
      <x:c r="I1312" t="n">
        <x:f>A1312</x:f>
        <x:v>1295</x:v>
      </x:c>
      <x:c r="J1312" t="n">
        <x:f>F1312</x:f>
        <x:v>99.78069498069497</x:v>
      </x:c>
      <x:c r="K1312" t="n">
        <x:f>G1312</x:f>
        <x:v>100.53096491487338</x:v>
      </x:c>
    </x:row>
    <x:row r="1313">
      <x:c r="A1313" t="n">
        <x:v>1296</x:v>
      </x:c>
      <x:c r="B1313" s="40" t="n">
        <x:v>-0.48562884976107634</x:v>
      </x:c>
      <x:c r="C1313" s="40" t="n">
        <x:v>2.7977813235625133</x:v>
      </x:c>
      <x:c r="D1313" s="40" t="n">
        <x:v>0.6679484117566101</x:v>
      </x:c>
      <x:c r="E1313" t="n">
        <x:f>--((B1313^2/$B$4^2+C1313^2/$B$5^2+D1313^2/$B$6^2)&lt;=1)</x:f>
        <x:v>1</x:v>
      </x:c>
      <x:c r="F1313" s="42" t="n">
        <x:f>$B$8*SUM($E$18:E1313)/A1313</x:f>
        <x:v>99.85185185185185</x:v>
      </x:c>
      <x:c r="G1313" s="42" t="n">
        <x:f>$B$11</x:f>
        <x:v>100.53096491487338</x:v>
      </x:c>
      <x:c r="I1313" t="n">
        <x:f>A1313</x:f>
        <x:v>1296</x:v>
      </x:c>
      <x:c r="J1313" t="n">
        <x:f>F1313</x:f>
        <x:v>99.85185185185185</x:v>
      </x:c>
      <x:c r="K1313" t="n">
        <x:f>G1313</x:f>
        <x:v>100.53096491487338</x:v>
      </x:c>
    </x:row>
    <x:row r="1314">
      <x:c r="A1314" t="n">
        <x:v>1297</x:v>
      </x:c>
      <x:c r="B1314" s="40" t="n">
        <x:v>-1.6214409270024452</x:v>
      </x:c>
      <x:c r="C1314" s="40" t="n">
        <x:v>1.5377653302207026</x:v>
      </x:c>
      <x:c r="D1314" s="40" t="n">
        <x:v>3.931184391084968</x:v>
      </x:c>
      <x:c r="E1314" t="n">
        <x:f>--((B1314^2/$B$4^2+C1314^2/$B$5^2+D1314^2/$B$6^2)&lt;=1)</x:f>
        <x:v>0</x:v>
      </x:c>
      <x:c r="F1314" s="42" t="n">
        <x:f>$B$8*SUM($E$18:E1314)/A1314</x:f>
        <x:v>99.77486507324595</x:v>
      </x:c>
      <x:c r="G1314" s="42" t="n">
        <x:f>$B$11</x:f>
        <x:v>100.53096491487338</x:v>
      </x:c>
      <x:c r="I1314" t="n">
        <x:f>A1314</x:f>
        <x:v>1297</x:v>
      </x:c>
      <x:c r="J1314" t="n">
        <x:f>F1314</x:f>
        <x:v>99.77486507324595</x:v>
      </x:c>
      <x:c r="K1314" t="n">
        <x:f>G1314</x:f>
        <x:v>100.53096491487338</x:v>
      </x:c>
    </x:row>
    <x:row r="1315">
      <x:c r="A1315" t="n">
        <x:v>1298</x:v>
      </x:c>
      <x:c r="B1315" s="40" t="n">
        <x:v>-1.3357494703441075</x:v>
      </x:c>
      <x:c r="C1315" s="40" t="n">
        <x:v>-0.018122637239232908</x:v>
      </x:c>
      <x:c r="D1315" s="40" t="n">
        <x:v>-2.0687194696728586</x:v>
      </x:c>
      <x:c r="E1315" t="n">
        <x:f>--((B1315^2/$B$4^2+C1315^2/$B$5^2+D1315^2/$B$6^2)&lt;=1)</x:f>
        <x:v>1</x:v>
      </x:c>
      <x:c r="F1315" s="42" t="n">
        <x:f>$B$8*SUM($E$18:E1315)/A1315</x:f>
        <x:v>99.84591679506934</x:v>
      </x:c>
      <x:c r="G1315" s="42" t="n">
        <x:f>$B$11</x:f>
        <x:v>100.53096491487338</x:v>
      </x:c>
      <x:c r="I1315" t="n">
        <x:f>A1315</x:f>
        <x:v>1298</x:v>
      </x:c>
      <x:c r="J1315" t="n">
        <x:f>F1315</x:f>
        <x:v>99.84591679506934</x:v>
      </x:c>
      <x:c r="K1315" t="n">
        <x:f>G1315</x:f>
        <x:v>100.53096491487338</x:v>
      </x:c>
    </x:row>
    <x:row r="1316">
      <x:c r="A1316" t="n">
        <x:v>1299</x:v>
      </x:c>
      <x:c r="B1316" s="40" t="n">
        <x:v>0.8924552085815445</x:v>
      </x:c>
      <x:c r="C1316" s="40" t="n">
        <x:v>-0.12466432266613436</x:v>
      </x:c>
      <x:c r="D1316" s="40" t="n">
        <x:v>-1.901670714249482</x:v>
      </x:c>
      <x:c r="E1316" t="n">
        <x:f>--((B1316^2/$B$4^2+C1316^2/$B$5^2+D1316^2/$B$6^2)&lt;=1)</x:f>
        <x:v>1</x:v>
      </x:c>
      <x:c r="F1316" s="42" t="n">
        <x:f>$B$8*SUM($E$18:E1316)/A1316</x:f>
        <x:v>99.91685912240185</x:v>
      </x:c>
      <x:c r="G1316" s="42" t="n">
        <x:f>$B$11</x:f>
        <x:v>100.53096491487338</x:v>
      </x:c>
      <x:c r="I1316" t="n">
        <x:f>A1316</x:f>
        <x:v>1299</x:v>
      </x:c>
      <x:c r="J1316" t="n">
        <x:f>F1316</x:f>
        <x:v>99.91685912240185</x:v>
      </x:c>
      <x:c r="K1316" t="n">
        <x:f>G1316</x:f>
        <x:v>100.53096491487338</x:v>
      </x:c>
    </x:row>
    <x:row r="1317">
      <x:c r="A1317" t="n">
        <x:v>1300</x:v>
      </x:c>
      <x:c r="B1317" s="40" t="n">
        <x:v>-0.4436131539116799</x:v>
      </x:c>
      <x:c r="C1317" s="40" t="n">
        <x:v>-2.8411253921702193</x:v>
      </x:c>
      <x:c r="D1317" s="40" t="n">
        <x:v>-3.259528490093337</x:v>
      </x:c>
      <x:c r="E1317" t="n">
        <x:f>--((B1317^2/$B$4^2+C1317^2/$B$5^2+D1317^2/$B$6^2)&lt;=1)</x:f>
        <x:v>0</x:v>
      </x:c>
      <x:c r="F1317" s="42" t="n">
        <x:f>$B$8*SUM($E$18:E1317)/A1317</x:f>
        <x:v>99.84</x:v>
      </x:c>
      <x:c r="G1317" s="42" t="n">
        <x:f>$B$11</x:f>
        <x:v>100.53096491487338</x:v>
      </x:c>
      <x:c r="I1317" t="n">
        <x:f>A1317</x:f>
        <x:v>1300</x:v>
      </x:c>
      <x:c r="J1317" t="n">
        <x:f>F1317</x:f>
        <x:v>99.84</x:v>
      </x:c>
      <x:c r="K1317" t="n">
        <x:f>G1317</x:f>
        <x:v>100.53096491487338</x:v>
      </x:c>
    </x:row>
    <x:row r="1318">
      <x:c r="A1318" t="n">
        <x:v>1301</x:v>
      </x:c>
      <x:c r="B1318" s="40" t="n">
        <x:v>-1.1418441097594254</x:v>
      </x:c>
      <x:c r="C1318" s="40" t="n">
        <x:v>2.65505557991884</x:v>
      </x:c>
      <x:c r="D1318" s="40" t="n">
        <x:v>0.4321560165656839</x:v>
      </x:c>
      <x:c r="E1318" t="n">
        <x:f>--((B1318^2/$B$4^2+C1318^2/$B$5^2+D1318^2/$B$6^2)&lt;=1)</x:f>
        <x:v>0</x:v>
      </x:c>
      <x:c r="F1318" s="42" t="n">
        <x:f>$B$8*SUM($E$18:E1318)/A1318</x:f>
        <x:v>99.76325903151422</x:v>
      </x:c>
      <x:c r="G1318" s="42" t="n">
        <x:f>$B$11</x:f>
        <x:v>100.53096491487338</x:v>
      </x:c>
      <x:c r="I1318" t="n">
        <x:f>A1318</x:f>
        <x:v>1301</x:v>
      </x:c>
      <x:c r="J1318" t="n">
        <x:f>F1318</x:f>
        <x:v>99.76325903151422</x:v>
      </x:c>
      <x:c r="K1318" t="n">
        <x:f>G1318</x:f>
        <x:v>100.53096491487338</x:v>
      </x:c>
    </x:row>
    <x:row r="1319">
      <x:c r="A1319" t="n">
        <x:v>1302</x:v>
      </x:c>
      <x:c r="B1319" s="40" t="n">
        <x:v>0.25068964229942914</x:v>
      </x:c>
      <x:c r="C1319" s="40" t="n">
        <x:v>-1.0849561693960221</x:v>
      </x:c>
      <x:c r="D1319" s="40" t="n">
        <x:v>0.906873891266943</x:v>
      </x:c>
      <x:c r="E1319" t="n">
        <x:f>--((B1319^2/$B$4^2+C1319^2/$B$5^2+D1319^2/$B$6^2)&lt;=1)</x:f>
        <x:v>1</x:v>
      </x:c>
      <x:c r="F1319" s="42" t="n">
        <x:f>$B$8*SUM($E$18:E1319)/A1319</x:f>
        <x:v>99.83410138248848</x:v>
      </x:c>
      <x:c r="G1319" s="42" t="n">
        <x:f>$B$11</x:f>
        <x:v>100.53096491487338</x:v>
      </x:c>
      <x:c r="I1319" t="n">
        <x:f>A1319</x:f>
        <x:v>1302</x:v>
      </x:c>
      <x:c r="J1319" t="n">
        <x:f>F1319</x:f>
        <x:v>99.83410138248848</x:v>
      </x:c>
      <x:c r="K1319" t="n">
        <x:f>G1319</x:f>
        <x:v>100.53096491487338</x:v>
      </x:c>
    </x:row>
    <x:row r="1320">
      <x:c r="A1320" t="n">
        <x:v>1303</x:v>
      </x:c>
      <x:c r="B1320" s="40" t="n">
        <x:v>1.022158169893709</x:v>
      </x:c>
      <x:c r="C1320" s="40" t="n">
        <x:v>-1.4643655087155374</x:v>
      </x:c>
      <x:c r="D1320" s="40" t="n">
        <x:v>1.8076925831905584</x:v>
      </x:c>
      <x:c r="E1320" t="n">
        <x:f>--((B1320^2/$B$4^2+C1320^2/$B$5^2+D1320^2/$B$6^2)&lt;=1)</x:f>
        <x:v>1</x:v>
      </x:c>
      <x:c r="F1320" s="42" t="n">
        <x:f>$B$8*SUM($E$18:E1320)/A1320</x:f>
        <x:v>99.9048349961627</x:v>
      </x:c>
      <x:c r="G1320" s="42" t="n">
        <x:f>$B$11</x:f>
        <x:v>100.53096491487338</x:v>
      </x:c>
      <x:c r="I1320" t="n">
        <x:f>A1320</x:f>
        <x:v>1303</x:v>
      </x:c>
      <x:c r="J1320" t="n">
        <x:f>F1320</x:f>
        <x:v>99.9048349961627</x:v>
      </x:c>
      <x:c r="K1320" t="n">
        <x:f>G1320</x:f>
        <x:v>100.53096491487338</x:v>
      </x:c>
    </x:row>
    <x:row r="1321">
      <x:c r="A1321" t="n">
        <x:v>1304</x:v>
      </x:c>
      <x:c r="B1321" s="40" t="n">
        <x:v>-0.9703105506185143</x:v>
      </x:c>
      <x:c r="C1321" s="40" t="n">
        <x:v>2.9964535523260283</x:v>
      </x:c>
      <x:c r="D1321" s="40" t="n">
        <x:v>-1.3164325924059117</x:v>
      </x:c>
      <x:c r="E1321" t="n">
        <x:f>--((B1321^2/$B$4^2+C1321^2/$B$5^2+D1321^2/$B$6^2)&lt;=1)</x:f>
        <x:v>0</x:v>
      </x:c>
      <x:c r="F1321" s="42" t="n">
        <x:f>$B$8*SUM($E$18:E1321)/A1321</x:f>
        <x:v>99.8282208588957</x:v>
      </x:c>
      <x:c r="G1321" s="42" t="n">
        <x:f>$B$11</x:f>
        <x:v>100.53096491487338</x:v>
      </x:c>
      <x:c r="I1321" t="n">
        <x:f>A1321</x:f>
        <x:v>1304</x:v>
      </x:c>
      <x:c r="J1321" t="n">
        <x:f>F1321</x:f>
        <x:v>99.8282208588957</x:v>
      </x:c>
      <x:c r="K1321" t="n">
        <x:f>G1321</x:f>
        <x:v>100.53096491487338</x:v>
      </x:c>
    </x:row>
    <x:row r="1322">
      <x:c r="A1322" t="n">
        <x:v>1305</x:v>
      </x:c>
      <x:c r="B1322" s="40" t="n">
        <x:v>1.307159527694978</x:v>
      </x:c>
      <x:c r="C1322" s="40" t="n">
        <x:v>1.312138029027147</x:v>
      </x:c>
      <x:c r="D1322" s="40" t="n">
        <x:v>-3.9019455850797824</x:v>
      </x:c>
      <x:c r="E1322" t="n">
        <x:f>--((B1322^2/$B$4^2+C1322^2/$B$5^2+D1322^2/$B$6^2)&lt;=1)</x:f>
        <x:v>0</x:v>
      </x:c>
      <x:c r="F1322" s="42" t="n">
        <x:f>$B$8*SUM($E$18:E1322)/A1322</x:f>
        <x:v>99.75172413793103</x:v>
      </x:c>
      <x:c r="G1322" s="42" t="n">
        <x:f>$B$11</x:f>
        <x:v>100.53096491487338</x:v>
      </x:c>
      <x:c r="I1322" t="n">
        <x:f>A1322</x:f>
        <x:v>1305</x:v>
      </x:c>
      <x:c r="J1322" t="n">
        <x:f>F1322</x:f>
        <x:v>99.75172413793103</x:v>
      </x:c>
      <x:c r="K1322" t="n">
        <x:f>G1322</x:f>
        <x:v>100.53096491487338</x:v>
      </x:c>
    </x:row>
    <x:row r="1323">
      <x:c r="A1323" t="n">
        <x:v>1306</x:v>
      </x:c>
      <x:c r="B1323" s="40" t="n">
        <x:v>1.7100194385001983</x:v>
      </x:c>
      <x:c r="C1323" s="40" t="n">
        <x:v>-2.715817360204272</x:v>
      </x:c>
      <x:c r="D1323" s="40" t="n">
        <x:v>1.0578362967065598</x:v>
      </x:c>
      <x:c r="E1323" t="n">
        <x:f>--((B1323^2/$B$4^2+C1323^2/$B$5^2+D1323^2/$B$6^2)&lt;=1)</x:f>
        <x:v>0</x:v>
      </x:c>
      <x:c r="F1323" s="42" t="n">
        <x:f>$B$8*SUM($E$18:E1323)/A1323</x:f>
        <x:v>99.67534456355283</x:v>
      </x:c>
      <x:c r="G1323" s="42" t="n">
        <x:f>$B$11</x:f>
        <x:v>100.53096491487338</x:v>
      </x:c>
      <x:c r="I1323" t="n">
        <x:f>A1323</x:f>
        <x:v>1306</x:v>
      </x:c>
      <x:c r="J1323" t="n">
        <x:f>F1323</x:f>
        <x:v>99.67534456355283</x:v>
      </x:c>
      <x:c r="K1323" t="n">
        <x:f>G1323</x:f>
        <x:v>100.53096491487338</x:v>
      </x:c>
    </x:row>
    <x:row r="1324">
      <x:c r="A1324" t="n">
        <x:v>1307</x:v>
      </x:c>
      <x:c r="B1324" s="40" t="n">
        <x:v>0.3895781162953629</x:v>
      </x:c>
      <x:c r="C1324" s="40" t="n">
        <x:v>-2.6286871378465415</x:v>
      </x:c>
      <x:c r="D1324" s="40" t="n">
        <x:v>3.9895639401630616</x:v>
      </x:c>
      <x:c r="E1324" t="n">
        <x:f>--((B1324^2/$B$4^2+C1324^2/$B$5^2+D1324^2/$B$6^2)&lt;=1)</x:f>
        <x:v>0</x:v>
      </x:c>
      <x:c r="F1324" s="42" t="n">
        <x:f>$B$8*SUM($E$18:E1324)/A1324</x:f>
        <x:v>99.59908186687069</x:v>
      </x:c>
      <x:c r="G1324" s="42" t="n">
        <x:f>$B$11</x:f>
        <x:v>100.53096491487338</x:v>
      </x:c>
      <x:c r="I1324" t="n">
        <x:f>A1324</x:f>
        <x:v>1307</x:v>
      </x:c>
      <x:c r="J1324" t="n">
        <x:f>F1324</x:f>
        <x:v>99.59908186687069</x:v>
      </x:c>
      <x:c r="K1324" t="n">
        <x:f>G1324</x:f>
        <x:v>100.53096491487338</x:v>
      </x:c>
    </x:row>
    <x:row r="1325">
      <x:c r="A1325" t="n">
        <x:v>1308</x:v>
      </x:c>
      <x:c r="B1325" s="40" t="n">
        <x:v>0.6757906359663184</x:v>
      </x:c>
      <x:c r="C1325" s="40" t="n">
        <x:v>-2.8469906162388128</x:v>
      </x:c>
      <x:c r="D1325" s="40" t="n">
        <x:v>-1.6436051696800602</x:v>
      </x:c>
      <x:c r="E1325" t="n">
        <x:f>--((B1325^2/$B$4^2+C1325^2/$B$5^2+D1325^2/$B$6^2)&lt;=1)</x:f>
        <x:v>0</x:v>
      </x:c>
      <x:c r="F1325" s="42" t="n">
        <x:f>$B$8*SUM($E$18:E1325)/A1325</x:f>
        <x:v>99.5229357798165</x:v>
      </x:c>
      <x:c r="G1325" s="42" t="n">
        <x:f>$B$11</x:f>
        <x:v>100.53096491487338</x:v>
      </x:c>
      <x:c r="I1325" t="n">
        <x:f>A1325</x:f>
        <x:v>1308</x:v>
      </x:c>
      <x:c r="J1325" t="n">
        <x:f>F1325</x:f>
        <x:v>99.5229357798165</x:v>
      </x:c>
      <x:c r="K1325" t="n">
        <x:f>G1325</x:f>
        <x:v>100.53096491487338</x:v>
      </x:c>
    </x:row>
    <x:row r="1326">
      <x:c r="A1326" t="n">
        <x:v>1309</x:v>
      </x:c>
      <x:c r="B1326" s="40" t="n">
        <x:v>-1.7896960387077785</x:v>
      </x:c>
      <x:c r="C1326" s="40" t="n">
        <x:v>0.5977133970772144</x:v>
      </x:c>
      <x:c r="D1326" s="40" t="n">
        <x:v>-2.528524380247842</x:v>
      </x:c>
      <x:c r="E1326" t="n">
        <x:f>--((B1326^2/$B$4^2+C1326^2/$B$5^2+D1326^2/$B$6^2)&lt;=1)</x:f>
        <x:v>0</x:v>
      </x:c>
      <x:c r="F1326" s="42" t="n">
        <x:f>$B$8*SUM($E$18:E1326)/A1326</x:f>
        <x:v>99.44690603514132</x:v>
      </x:c>
      <x:c r="G1326" s="42" t="n">
        <x:f>$B$11</x:f>
        <x:v>100.53096491487338</x:v>
      </x:c>
      <x:c r="I1326" t="n">
        <x:f>A1326</x:f>
        <x:v>1309</x:v>
      </x:c>
      <x:c r="J1326" t="n">
        <x:f>F1326</x:f>
        <x:v>99.44690603514132</x:v>
      </x:c>
      <x:c r="K1326" t="n">
        <x:f>G1326</x:f>
        <x:v>100.53096491487338</x:v>
      </x:c>
    </x:row>
    <x:row r="1327">
      <x:c r="A1327" t="n">
        <x:v>1310</x:v>
      </x:c>
      <x:c r="B1327" s="40" t="n">
        <x:v>1.782079564087626</x:v>
      </x:c>
      <x:c r="C1327" s="40" t="n">
        <x:v>-2.570612999628289</x:v>
      </x:c>
      <x:c r="D1327" s="40" t="n">
        <x:v>-1.7458643373891745</x:v>
      </x:c>
      <x:c r="E1327" t="n">
        <x:f>--((B1327^2/$B$4^2+C1327^2/$B$5^2+D1327^2/$B$6^2)&lt;=1)</x:f>
        <x:v>0</x:v>
      </x:c>
      <x:c r="F1327" s="42" t="n">
        <x:f>$B$8*SUM($E$18:E1327)/A1327</x:f>
        <x:v>99.37099236641221</x:v>
      </x:c>
      <x:c r="G1327" s="42" t="n">
        <x:f>$B$11</x:f>
        <x:v>100.53096491487338</x:v>
      </x:c>
      <x:c r="I1327" t="n">
        <x:f>A1327</x:f>
        <x:v>1310</x:v>
      </x:c>
      <x:c r="J1327" t="n">
        <x:f>F1327</x:f>
        <x:v>99.37099236641221</x:v>
      </x:c>
      <x:c r="K1327" t="n">
        <x:f>G1327</x:f>
        <x:v>100.53096491487338</x:v>
      </x:c>
    </x:row>
    <x:row r="1328">
      <x:c r="A1328" t="n">
        <x:v>1311</x:v>
      </x:c>
      <x:c r="B1328" s="40" t="n">
        <x:v>-0.43006106294022484</x:v>
      </x:c>
      <x:c r="C1328" s="40" t="n">
        <x:v>2.600330141069584</x:v>
      </x:c>
      <x:c r="D1328" s="40" t="n">
        <x:v>-0.5966762017836222</x:v>
      </x:c>
      <x:c r="E1328" t="n">
        <x:f>--((B1328^2/$B$4^2+C1328^2/$B$5^2+D1328^2/$B$6^2)&lt;=1)</x:f>
        <x:v>1</x:v>
      </x:c>
      <x:c r="F1328" s="42" t="n">
        <x:f>$B$8*SUM($E$18:E1328)/A1328</x:f>
        <x:v>99.441647597254</x:v>
      </x:c>
      <x:c r="G1328" s="42" t="n">
        <x:f>$B$11</x:f>
        <x:v>100.53096491487338</x:v>
      </x:c>
      <x:c r="I1328" t="n">
        <x:f>A1328</x:f>
        <x:v>1311</x:v>
      </x:c>
      <x:c r="J1328" t="n">
        <x:f>F1328</x:f>
        <x:v>99.441647597254</x:v>
      </x:c>
      <x:c r="K1328" t="n">
        <x:f>G1328</x:f>
        <x:v>100.53096491487338</x:v>
      </x:c>
    </x:row>
    <x:row r="1329">
      <x:c r="A1329" t="n">
        <x:v>1312</x:v>
      </x:c>
      <x:c r="B1329" s="40" t="n">
        <x:v>1.6956016021817195</x:v>
      </x:c>
      <x:c r="C1329" s="40" t="n">
        <x:v>2.621439240136068</x:v>
      </x:c>
      <x:c r="D1329" s="40" t="n">
        <x:v>-1.9926965683794826</x:v>
      </x:c>
      <x:c r="E1329" t="n">
        <x:f>--((B1329^2/$B$4^2+C1329^2/$B$5^2+D1329^2/$B$6^2)&lt;=1)</x:f>
        <x:v>0</x:v>
      </x:c>
      <x:c r="F1329" s="42" t="n">
        <x:f>$B$8*SUM($E$18:E1329)/A1329</x:f>
        <x:v>99.36585365853658</x:v>
      </x:c>
      <x:c r="G1329" s="42" t="n">
        <x:f>$B$11</x:f>
        <x:v>100.53096491487338</x:v>
      </x:c>
      <x:c r="I1329" t="n">
        <x:f>A1329</x:f>
        <x:v>1312</x:v>
      </x:c>
      <x:c r="J1329" t="n">
        <x:f>F1329</x:f>
        <x:v>99.36585365853658</x:v>
      </x:c>
      <x:c r="K1329" t="n">
        <x:f>G1329</x:f>
        <x:v>100.53096491487338</x:v>
      </x:c>
    </x:row>
    <x:row r="1330">
      <x:c r="A1330" t="n">
        <x:v>1313</x:v>
      </x:c>
      <x:c r="B1330" s="40" t="n">
        <x:v>0.3159100990009702</x:v>
      </x:c>
      <x:c r="C1330" s="40" t="n">
        <x:v>0.2763244004884786</x:v>
      </x:c>
      <x:c r="D1330" s="40" t="n">
        <x:v>-1.2243197970597608</x:v>
      </x:c>
      <x:c r="E1330" t="n">
        <x:f>--((B1330^2/$B$4^2+C1330^2/$B$5^2+D1330^2/$B$6^2)&lt;=1)</x:f>
        <x:v>1</x:v>
      </x:c>
      <x:c r="F1330" s="42" t="n">
        <x:f>$B$8*SUM($E$18:E1330)/A1330</x:f>
        <x:v>99.43640517897944</x:v>
      </x:c>
      <x:c r="G1330" s="42" t="n">
        <x:f>$B$11</x:f>
        <x:v>100.53096491487338</x:v>
      </x:c>
      <x:c r="I1330" t="n">
        <x:f>A1330</x:f>
        <x:v>1313</x:v>
      </x:c>
      <x:c r="J1330" t="n">
        <x:f>F1330</x:f>
        <x:v>99.43640517897944</x:v>
      </x:c>
      <x:c r="K1330" t="n">
        <x:f>G1330</x:f>
        <x:v>100.53096491487338</x:v>
      </x:c>
    </x:row>
    <x:row r="1331">
      <x:c r="A1331" t="n">
        <x:v>1314</x:v>
      </x:c>
      <x:c r="B1331" s="40" t="n">
        <x:v>-1.9815248046266896</x:v>
      </x:c>
      <x:c r="C1331" s="40" t="n">
        <x:v>0.699833588375705</x:v>
      </x:c>
      <x:c r="D1331" s="40" t="n">
        <x:v>1.1056539086349009</x:v>
      </x:c>
      <x:c r="E1331" t="n">
        <x:f>--((B1331^2/$B$4^2+C1331^2/$B$5^2+D1331^2/$B$6^2)&lt;=1)</x:f>
        <x:v>0</x:v>
      </x:c>
      <x:c r="F1331" s="42" t="n">
        <x:f>$B$8*SUM($E$18:E1331)/A1331</x:f>
        <x:v>99.3607305936073</x:v>
      </x:c>
      <x:c r="G1331" s="42" t="n">
        <x:f>$B$11</x:f>
        <x:v>100.53096491487338</x:v>
      </x:c>
      <x:c r="I1331" t="n">
        <x:f>A1331</x:f>
        <x:v>1314</x:v>
      </x:c>
      <x:c r="J1331" t="n">
        <x:f>F1331</x:f>
        <x:v>99.3607305936073</x:v>
      </x:c>
      <x:c r="K1331" t="n">
        <x:f>G1331</x:f>
        <x:v>100.53096491487338</x:v>
      </x:c>
    </x:row>
    <x:row r="1332">
      <x:c r="A1332" t="n">
        <x:v>1315</x:v>
      </x:c>
      <x:c r="B1332" s="40" t="n">
        <x:v>-1.8458320027062571</x:v>
      </x:c>
      <x:c r="C1332" s="40" t="n">
        <x:v>-1.2486335908485011</x:v>
      </x:c>
      <x:c r="D1332" s="40" t="n">
        <x:v>-1.2397761052590823</x:v>
      </x:c>
      <x:c r="E1332" t="n">
        <x:f>--((B1332^2/$B$4^2+C1332^2/$B$5^2+D1332^2/$B$6^2)&lt;=1)</x:f>
        <x:v>0</x:v>
      </x:c>
      <x:c r="F1332" s="42" t="n">
        <x:f>$B$8*SUM($E$18:E1332)/A1332</x:f>
        <x:v>99.2851711026616</x:v>
      </x:c>
      <x:c r="G1332" s="42" t="n">
        <x:f>$B$11</x:f>
        <x:v>100.53096491487338</x:v>
      </x:c>
      <x:c r="I1332" t="n">
        <x:f>A1332</x:f>
        <x:v>1315</x:v>
      </x:c>
      <x:c r="J1332" t="n">
        <x:f>F1332</x:f>
        <x:v>99.2851711026616</x:v>
      </x:c>
      <x:c r="K1332" t="n">
        <x:f>G1332</x:f>
        <x:v>100.53096491487338</x:v>
      </x:c>
    </x:row>
    <x:row r="1333">
      <x:c r="A1333" t="n">
        <x:v>1316</x:v>
      </x:c>
      <x:c r="B1333" s="40" t="n">
        <x:v>0.7216752226796879</x:v>
      </x:c>
      <x:c r="C1333" s="40" t="n">
        <x:v>-2.61616474555036</x:v>
      </x:c>
      <x:c r="D1333" s="40" t="n">
        <x:v>-0.8315284417307627</x:v>
      </x:c>
      <x:c r="E1333" t="n">
        <x:f>--((B1333^2/$B$4^2+C1333^2/$B$5^2+D1333^2/$B$6^2)&lt;=1)</x:f>
        <x:v>1</x:v>
      </x:c>
      <x:c r="F1333" s="42" t="n">
        <x:f>$B$8*SUM($E$18:E1333)/A1333</x:f>
        <x:v>99.35562310030394</x:v>
      </x:c>
      <x:c r="G1333" s="42" t="n">
        <x:f>$B$11</x:f>
        <x:v>100.53096491487338</x:v>
      </x:c>
      <x:c r="I1333" t="n">
        <x:f>A1333</x:f>
        <x:v>1316</x:v>
      </x:c>
      <x:c r="J1333" t="n">
        <x:f>F1333</x:f>
        <x:v>99.35562310030394</x:v>
      </x:c>
      <x:c r="K1333" t="n">
        <x:f>G1333</x:f>
        <x:v>100.53096491487338</x:v>
      </x:c>
    </x:row>
    <x:row r="1334">
      <x:c r="A1334" t="n">
        <x:v>1317</x:v>
      </x:c>
      <x:c r="B1334" s="40" t="n">
        <x:v>0.2506720553277324</x:v>
      </x:c>
      <x:c r="C1334" s="40" t="n">
        <x:v>1.4247626711508934</x:v>
      </x:c>
      <x:c r="D1334" s="40" t="n">
        <x:v>-3.6797498976058884</x:v>
      </x:c>
      <x:c r="E1334" t="n">
        <x:f>--((B1334^2/$B$4^2+C1334^2/$B$5^2+D1334^2/$B$6^2)&lt;=1)</x:f>
        <x:v>0</x:v>
      </x:c>
      <x:c r="F1334" s="42" t="n">
        <x:f>$B$8*SUM($E$18:E1334)/A1334</x:f>
        <x:v>99.28018223234623</x:v>
      </x:c>
      <x:c r="G1334" s="42" t="n">
        <x:f>$B$11</x:f>
        <x:v>100.53096491487338</x:v>
      </x:c>
      <x:c r="I1334" t="n">
        <x:f>A1334</x:f>
        <x:v>1317</x:v>
      </x:c>
      <x:c r="J1334" t="n">
        <x:f>F1334</x:f>
        <x:v>99.28018223234623</x:v>
      </x:c>
      <x:c r="K1334" t="n">
        <x:f>G1334</x:f>
        <x:v>100.53096491487338</x:v>
      </x:c>
    </x:row>
    <x:row r="1335">
      <x:c r="A1335" t="n">
        <x:v>1318</x:v>
      </x:c>
      <x:c r="B1335" s="40" t="n">
        <x:v>-1.8938702511757026</x:v>
      </x:c>
      <x:c r="C1335" s="40" t="n">
        <x:v>-2.389284067505895</x:v>
      </x:c>
      <x:c r="D1335" s="40" t="n">
        <x:v>3.3435400129829578</x:v>
      </x:c>
      <x:c r="E1335" t="n">
        <x:f>--((B1335^2/$B$4^2+C1335^2/$B$5^2+D1335^2/$B$6^2)&lt;=1)</x:f>
        <x:v>0</x:v>
      </x:c>
      <x:c r="F1335" s="42" t="n">
        <x:f>$B$8*SUM($E$18:E1335)/A1335</x:f>
        <x:v>99.20485584218513</x:v>
      </x:c>
      <x:c r="G1335" s="42" t="n">
        <x:f>$B$11</x:f>
        <x:v>100.53096491487338</x:v>
      </x:c>
      <x:c r="I1335" t="n">
        <x:f>A1335</x:f>
        <x:v>1318</x:v>
      </x:c>
      <x:c r="J1335" t="n">
        <x:f>F1335</x:f>
        <x:v>99.20485584218513</x:v>
      </x:c>
      <x:c r="K1335" t="n">
        <x:f>G1335</x:f>
        <x:v>100.53096491487338</x:v>
      </x:c>
    </x:row>
    <x:row r="1336">
      <x:c r="A1336" t="n">
        <x:v>1319</x:v>
      </x:c>
      <x:c r="B1336" s="40" t="n">
        <x:v>0.9738398448895413</x:v>
      </x:c>
      <x:c r="C1336" s="40" t="n">
        <x:v>-2.486654153889641</x:v>
      </x:c>
      <x:c r="D1336" s="40" t="n">
        <x:v>-0.7449123206811707</x:v>
      </x:c>
      <x:c r="E1336" t="n">
        <x:f>--((B1336^2/$B$4^2+C1336^2/$B$5^2+D1336^2/$B$6^2)&lt;=1)</x:f>
        <x:v>1</x:v>
      </x:c>
      <x:c r="F1336" s="42" t="n">
        <x:f>$B$8*SUM($E$18:E1336)/A1336</x:f>
        <x:v>99.27520849128128</x:v>
      </x:c>
      <x:c r="G1336" s="42" t="n">
        <x:f>$B$11</x:f>
        <x:v>100.53096491487338</x:v>
      </x:c>
      <x:c r="I1336" t="n">
        <x:f>A1336</x:f>
        <x:v>1319</x:v>
      </x:c>
      <x:c r="J1336" t="n">
        <x:f>F1336</x:f>
        <x:v>99.27520849128128</x:v>
      </x:c>
      <x:c r="K1336" t="n">
        <x:f>G1336</x:f>
        <x:v>100.53096491487338</x:v>
      </x:c>
    </x:row>
    <x:row r="1337">
      <x:c r="A1337" t="n">
        <x:v>1320</x:v>
      </x:c>
      <x:c r="B1337" s="40" t="n">
        <x:v>1.4085813482767269</x:v>
      </x:c>
      <x:c r="C1337" s="40" t="n">
        <x:v>-1.1326613447746572</x:v>
      </x:c>
      <x:c r="D1337" s="40" t="n">
        <x:v>-1.3748518717216456</x:v>
      </x:c>
      <x:c r="E1337" t="n">
        <x:f>--((B1337^2/$B$4^2+C1337^2/$B$5^2+D1337^2/$B$6^2)&lt;=1)</x:f>
        <x:v>1</x:v>
      </x:c>
      <x:c r="F1337" s="42" t="n">
        <x:f>$B$8*SUM($E$18:E1337)/A1337</x:f>
        <x:v>99.34545454545454</x:v>
      </x:c>
      <x:c r="G1337" s="42" t="n">
        <x:f>$B$11</x:f>
        <x:v>100.53096491487338</x:v>
      </x:c>
      <x:c r="I1337" t="n">
        <x:f>A1337</x:f>
        <x:v>1320</x:v>
      </x:c>
      <x:c r="J1337" t="n">
        <x:f>F1337</x:f>
        <x:v>99.34545454545454</x:v>
      </x:c>
      <x:c r="K1337" t="n">
        <x:f>G1337</x:f>
        <x:v>100.53096491487338</x:v>
      </x:c>
    </x:row>
    <x:row r="1338">
      <x:c r="A1338" t="n">
        <x:v>1321</x:v>
      </x:c>
      <x:c r="B1338" s="40" t="n">
        <x:v>-0.01433007024276689</x:v>
      </x:c>
      <x:c r="C1338" s="40" t="n">
        <x:v>-2.9252060409727076</x:v>
      </x:c>
      <x:c r="D1338" s="40" t="n">
        <x:v>-3.308126430036924</x:v>
      </x:c>
      <x:c r="E1338" t="n">
        <x:f>--((B1338^2/$B$4^2+C1338^2/$B$5^2+D1338^2/$B$6^2)&lt;=1)</x:f>
        <x:v>0</x:v>
      </x:c>
      <x:c r="F1338" s="42" t="n">
        <x:f>$B$8*SUM($E$18:E1338)/A1338</x:f>
        <x:v>99.27024981074943</x:v>
      </x:c>
      <x:c r="G1338" s="42" t="n">
        <x:f>$B$11</x:f>
        <x:v>100.53096491487338</x:v>
      </x:c>
      <x:c r="I1338" t="n">
        <x:f>A1338</x:f>
        <x:v>1321</x:v>
      </x:c>
      <x:c r="J1338" t="n">
        <x:f>F1338</x:f>
        <x:v>99.27024981074943</x:v>
      </x:c>
      <x:c r="K1338" t="n">
        <x:f>G1338</x:f>
        <x:v>100.53096491487338</x:v>
      </x:c>
    </x:row>
    <x:row r="1339">
      <x:c r="A1339" t="n">
        <x:v>1322</x:v>
      </x:c>
      <x:c r="B1339" s="40" t="n">
        <x:v>-0.13697023857098012</x:v>
      </x:c>
      <x:c r="C1339" s="40" t="n">
        <x:v>-0.3957863054621038</x:v>
      </x:c>
      <x:c r="D1339" s="40" t="n">
        <x:v>1.073465723161469</x:v>
      </x:c>
      <x:c r="E1339" t="n">
        <x:f>--((B1339^2/$B$4^2+C1339^2/$B$5^2+D1339^2/$B$6^2)&lt;=1)</x:f>
        <x:v>1</x:v>
      </x:c>
      <x:c r="F1339" s="42" t="n">
        <x:f>$B$8*SUM($E$18:E1339)/A1339</x:f>
        <x:v>99.34039334341907</x:v>
      </x:c>
      <x:c r="G1339" s="42" t="n">
        <x:f>$B$11</x:f>
        <x:v>100.53096491487338</x:v>
      </x:c>
      <x:c r="I1339" t="n">
        <x:f>A1339</x:f>
        <x:v>1322</x:v>
      </x:c>
      <x:c r="J1339" t="n">
        <x:f>F1339</x:f>
        <x:v>99.34039334341907</x:v>
      </x:c>
      <x:c r="K1339" t="n">
        <x:f>G1339</x:f>
        <x:v>100.53096491487338</x:v>
      </x:c>
    </x:row>
    <x:row r="1340">
      <x:c r="A1340" t="n">
        <x:v>1323</x:v>
      </x:c>
      <x:c r="B1340" s="40" t="n">
        <x:v>-1.97810756466149</x:v>
      </x:c>
      <x:c r="C1340" s="40" t="n">
        <x:v>1.2460854604804599</x:v>
      </x:c>
      <x:c r="D1340" s="40" t="n">
        <x:v>2.9105996021100395</x:v>
      </x:c>
      <x:c r="E1340" t="n">
        <x:f>--((B1340^2/$B$4^2+C1340^2/$B$5^2+D1340^2/$B$6^2)&lt;=1)</x:f>
        <x:v>0</x:v>
      </x:c>
      <x:c r="F1340" s="42" t="n">
        <x:f>$B$8*SUM($E$18:E1340)/A1340</x:f>
        <x:v>99.26530612244898</x:v>
      </x:c>
      <x:c r="G1340" s="42" t="n">
        <x:f>$B$11</x:f>
        <x:v>100.53096491487338</x:v>
      </x:c>
      <x:c r="I1340" t="n">
        <x:f>A1340</x:f>
        <x:v>1323</x:v>
      </x:c>
      <x:c r="J1340" t="n">
        <x:f>F1340</x:f>
        <x:v>99.26530612244898</x:v>
      </x:c>
      <x:c r="K1340" t="n">
        <x:f>G1340</x:f>
        <x:v>100.53096491487338</x:v>
      </x:c>
    </x:row>
    <x:row r="1341">
      <x:c r="A1341" t="n">
        <x:v>1324</x:v>
      </x:c>
      <x:c r="B1341" s="40" t="n">
        <x:v>1.146598849974397</x:v>
      </x:c>
      <x:c r="C1341" s="40" t="n">
        <x:v>1.8080935885316336</x:v>
      </x:c>
      <x:c r="D1341" s="40" t="n">
        <x:v>-3.6707743995807975</x:v>
      </x:c>
      <x:c r="E1341" t="n">
        <x:f>--((B1341^2/$B$4^2+C1341^2/$B$5^2+D1341^2/$B$6^2)&lt;=1)</x:f>
        <x:v>0</x:v>
      </x:c>
      <x:c r="F1341" s="42" t="n">
        <x:f>$B$8*SUM($E$18:E1341)/A1341</x:f>
        <x:v>99.190332326284</x:v>
      </x:c>
      <x:c r="G1341" s="42" t="n">
        <x:f>$B$11</x:f>
        <x:v>100.53096491487338</x:v>
      </x:c>
      <x:c r="I1341" t="n">
        <x:f>A1341</x:f>
        <x:v>1324</x:v>
      </x:c>
      <x:c r="J1341" t="n">
        <x:f>F1341</x:f>
        <x:v>99.190332326284</x:v>
      </x:c>
      <x:c r="K1341" t="n">
        <x:f>G1341</x:f>
        <x:v>100.53096491487338</x:v>
      </x:c>
    </x:row>
    <x:row r="1342">
      <x:c r="A1342" t="n">
        <x:v>1325</x:v>
      </x:c>
      <x:c r="B1342" s="40" t="n">
        <x:v>-0.6771357330155783</x:v>
      </x:c>
      <x:c r="C1342" s="40" t="n">
        <x:v>0.6258438227935277</x:v>
      </x:c>
      <x:c r="D1342" s="40" t="n">
        <x:v>-2.837820261071716</x:v>
      </x:c>
      <x:c r="E1342" t="n">
        <x:f>--((B1342^2/$B$4^2+C1342^2/$B$5^2+D1342^2/$B$6^2)&lt;=1)</x:f>
        <x:v>1</x:v>
      </x:c>
      <x:c r="F1342" s="42" t="n">
        <x:f>$B$8*SUM($E$18:E1342)/A1342</x:f>
        <x:v>99.26037735849057</x:v>
      </x:c>
      <x:c r="G1342" s="42" t="n">
        <x:f>$B$11</x:f>
        <x:v>100.53096491487338</x:v>
      </x:c>
      <x:c r="I1342" t="n">
        <x:f>A1342</x:f>
        <x:v>1325</x:v>
      </x:c>
      <x:c r="J1342" t="n">
        <x:f>F1342</x:f>
        <x:v>99.26037735849057</x:v>
      </x:c>
      <x:c r="K1342" t="n">
        <x:f>G1342</x:f>
        <x:v>100.53096491487338</x:v>
      </x:c>
    </x:row>
    <x:row r="1343">
      <x:c r="A1343" t="n">
        <x:v>1326</x:v>
      </x:c>
      <x:c r="B1343" s="40" t="n">
        <x:v>1.5150544791301583</x:v>
      </x:c>
      <x:c r="C1343" s="40" t="n">
        <x:v>2.081245218683476</x:v>
      </x:c>
      <x:c r="D1343" s="40" t="n">
        <x:v>-2.8288813689103414</x:v>
      </x:c>
      <x:c r="E1343" t="n">
        <x:f>--((B1343^2/$B$4^2+C1343^2/$B$5^2+D1343^2/$B$6^2)&lt;=1)</x:f>
        <x:v>0</x:v>
      </x:c>
      <x:c r="F1343" s="42" t="n">
        <x:f>$B$8*SUM($E$18:E1343)/A1343</x:f>
        <x:v>99.18552036199095</x:v>
      </x:c>
      <x:c r="G1343" s="42" t="n">
        <x:f>$B$11</x:f>
        <x:v>100.53096491487338</x:v>
      </x:c>
      <x:c r="I1343" t="n">
        <x:f>A1343</x:f>
        <x:v>1326</x:v>
      </x:c>
      <x:c r="J1343" t="n">
        <x:f>F1343</x:f>
        <x:v>99.18552036199095</x:v>
      </x:c>
      <x:c r="K1343" t="n">
        <x:f>G1343</x:f>
        <x:v>100.53096491487338</x:v>
      </x:c>
    </x:row>
    <x:row r="1344">
      <x:c r="A1344" t="n">
        <x:v>1327</x:v>
      </x:c>
      <x:c r="B1344" s="40" t="n">
        <x:v>-0.5077576497677878</x:v>
      </x:c>
      <x:c r="C1344" s="40" t="n">
        <x:v>-0.5609867773973383</x:v>
      </x:c>
      <x:c r="D1344" s="40" t="n">
        <x:v>0.8181988427823432</x:v>
      </x:c>
      <x:c r="E1344" t="n">
        <x:f>--((B1344^2/$B$4^2+C1344^2/$B$5^2+D1344^2/$B$6^2)&lt;=1)</x:f>
        <x:v>1</x:v>
      </x:c>
      <x:c r="F1344" s="42" t="n">
        <x:f>$B$8*SUM($E$18:E1344)/A1344</x:f>
        <x:v>99.25546345139412</x:v>
      </x:c>
      <x:c r="G1344" s="42" t="n">
        <x:f>$B$11</x:f>
        <x:v>100.53096491487338</x:v>
      </x:c>
      <x:c r="I1344" t="n">
        <x:f>A1344</x:f>
        <x:v>1327</x:v>
      </x:c>
      <x:c r="J1344" t="n">
        <x:f>F1344</x:f>
        <x:v>99.25546345139412</x:v>
      </x:c>
      <x:c r="K1344" t="n">
        <x:f>G1344</x:f>
        <x:v>100.53096491487338</x:v>
      </x:c>
    </x:row>
    <x:row r="1345">
      <x:c r="A1345" t="n">
        <x:v>1328</x:v>
      </x:c>
      <x:c r="B1345" s="40" t="n">
        <x:v>0.26031164252282224</x:v>
      </x:c>
      <x:c r="C1345" s="40" t="n">
        <x:v>2.0926325103628596</x:v>
      </x:c>
      <x:c r="D1345" s="40" t="n">
        <x:v>3.3698440217469505</x:v>
      </x:c>
      <x:c r="E1345" t="n">
        <x:f>--((B1345^2/$B$4^2+C1345^2/$B$5^2+D1345^2/$B$6^2)&lt;=1)</x:f>
        <x:v>0</x:v>
      </x:c>
      <x:c r="F1345" s="42" t="n">
        <x:f>$B$8*SUM($E$18:E1345)/A1345</x:f>
        <x:v>99.18072289156626</x:v>
      </x:c>
      <x:c r="G1345" s="42" t="n">
        <x:f>$B$11</x:f>
        <x:v>100.53096491487338</x:v>
      </x:c>
      <x:c r="I1345" t="n">
        <x:f>A1345</x:f>
        <x:v>1328</x:v>
      </x:c>
      <x:c r="J1345" t="n">
        <x:f>F1345</x:f>
        <x:v>99.18072289156626</x:v>
      </x:c>
      <x:c r="K1345" t="n">
        <x:f>G1345</x:f>
        <x:v>100.53096491487338</x:v>
      </x:c>
    </x:row>
    <x:row r="1346">
      <x:c r="A1346" t="n">
        <x:v>1329</x:v>
      </x:c>
      <x:c r="B1346" s="40" t="n">
        <x:v>-0.9186328472026899</x:v>
      </x:c>
      <x:c r="C1346" s="40" t="n">
        <x:v>0.038839862990275975</x:v>
      </x:c>
      <x:c r="D1346" s="40" t="n">
        <x:v>-0.4978530634759233</x:v>
      </x:c>
      <x:c r="E1346" t="n">
        <x:f>--((B1346^2/$B$4^2+C1346^2/$B$5^2+D1346^2/$B$6^2)&lt;=1)</x:f>
        <x:v>1</x:v>
      </x:c>
      <x:c r="F1346" s="42" t="n">
        <x:f>$B$8*SUM($E$18:E1346)/A1346</x:f>
        <x:v>99.25056433408578</x:v>
      </x:c>
      <x:c r="G1346" s="42" t="n">
        <x:f>$B$11</x:f>
        <x:v>100.53096491487338</x:v>
      </x:c>
      <x:c r="I1346" t="n">
        <x:f>A1346</x:f>
        <x:v>1329</x:v>
      </x:c>
      <x:c r="J1346" t="n">
        <x:f>F1346</x:f>
        <x:v>99.25056433408578</x:v>
      </x:c>
      <x:c r="K1346" t="n">
        <x:f>G1346</x:f>
        <x:v>100.53096491487338</x:v>
      </x:c>
    </x:row>
    <x:row r="1347">
      <x:c r="A1347" t="n">
        <x:v>1330</x:v>
      </x:c>
      <x:c r="B1347" s="40" t="n">
        <x:v>-1.3576467496603253</x:v>
      </x:c>
      <x:c r="C1347" s="40" t="n">
        <x:v>-1.6617832320102282</x:v>
      </x:c>
      <x:c r="D1347" s="40" t="n">
        <x:v>-1.2495484144491948</x:v>
      </x:c>
      <x:c r="E1347" t="n">
        <x:f>--((B1347^2/$B$4^2+C1347^2/$B$5^2+D1347^2/$B$6^2)&lt;=1)</x:f>
        <x:v>1</x:v>
      </x:c>
      <x:c r="F1347" s="42" t="n">
        <x:f>$B$8*SUM($E$18:E1347)/A1347</x:f>
        <x:v>99.3203007518797</x:v>
      </x:c>
      <x:c r="G1347" s="42" t="n">
        <x:f>$B$11</x:f>
        <x:v>100.53096491487338</x:v>
      </x:c>
      <x:c r="I1347" t="n">
        <x:f>A1347</x:f>
        <x:v>1330</x:v>
      </x:c>
      <x:c r="J1347" t="n">
        <x:f>F1347</x:f>
        <x:v>99.3203007518797</x:v>
      </x:c>
      <x:c r="K1347" t="n">
        <x:f>G1347</x:f>
        <x:v>100.53096491487338</x:v>
      </x:c>
    </x:row>
    <x:row r="1348">
      <x:c r="A1348" t="n">
        <x:v>1331</x:v>
      </x:c>
      <x:c r="B1348" s="40" t="n">
        <x:v>1.099631613525312</x:v>
      </x:c>
      <x:c r="C1348" s="40" t="n">
        <x:v>2.664873879962796</x:v>
      </x:c>
      <x:c r="D1348" s="40" t="n">
        <x:v>2.12672548477353</x:v>
      </x:c>
      <x:c r="E1348" t="n">
        <x:f>--((B1348^2/$B$4^2+C1348^2/$B$5^2+D1348^2/$B$6^2)&lt;=1)</x:f>
        <x:v>0</x:v>
      </x:c>
      <x:c r="F1348" s="42" t="n">
        <x:f>$B$8*SUM($E$18:E1348)/A1348</x:f>
        <x:v>99.24567993989481</x:v>
      </x:c>
      <x:c r="G1348" s="42" t="n">
        <x:f>$B$11</x:f>
        <x:v>100.53096491487338</x:v>
      </x:c>
      <x:c r="I1348" t="n">
        <x:f>A1348</x:f>
        <x:v>1331</x:v>
      </x:c>
      <x:c r="J1348" t="n">
        <x:f>F1348</x:f>
        <x:v>99.24567993989481</x:v>
      </x:c>
      <x:c r="K1348" t="n">
        <x:f>G1348</x:f>
        <x:v>100.53096491487338</x:v>
      </x:c>
    </x:row>
    <x:row r="1349">
      <x:c r="A1349" t="n">
        <x:v>1332</x:v>
      </x:c>
      <x:c r="B1349" s="40" t="n">
        <x:v>-0.013638084614873591</x:v>
      </x:c>
      <x:c r="C1349" s="40" t="n">
        <x:v>-1.350174756977301</x:v>
      </x:c>
      <x:c r="D1349" s="40" t="n">
        <x:v>1.9405524940452112</x:v>
      </x:c>
      <x:c r="E1349" t="n">
        <x:f>--((B1349^2/$B$4^2+C1349^2/$B$5^2+D1349^2/$B$6^2)&lt;=1)</x:f>
        <x:v>1</x:v>
      </x:c>
      <x:c r="F1349" s="42" t="n">
        <x:f>$B$8*SUM($E$18:E1349)/A1349</x:f>
        <x:v>99.31531531531532</x:v>
      </x:c>
      <x:c r="G1349" s="42" t="n">
        <x:f>$B$11</x:f>
        <x:v>100.53096491487338</x:v>
      </x:c>
      <x:c r="I1349" t="n">
        <x:f>A1349</x:f>
        <x:v>1332</x:v>
      </x:c>
      <x:c r="J1349" t="n">
        <x:f>F1349</x:f>
        <x:v>99.31531531531532</x:v>
      </x:c>
      <x:c r="K1349" t="n">
        <x:f>G1349</x:f>
        <x:v>100.53096491487338</x:v>
      </x:c>
    </x:row>
    <x:row r="1350">
      <x:c r="A1350" t="n">
        <x:v>1333</x:v>
      </x:c>
      <x:c r="B1350" s="40" t="n">
        <x:v>0.14595169500900296</x:v>
      </x:c>
      <x:c r="C1350" s="40" t="n">
        <x:v>-2.8427910948732413</x:v>
      </x:c>
      <x:c r="D1350" s="40" t="n">
        <x:v>-2.025950885782323</x:v>
      </x:c>
      <x:c r="E1350" t="n">
        <x:f>--((B1350^2/$B$4^2+C1350^2/$B$5^2+D1350^2/$B$6^2)&lt;=1)</x:f>
        <x:v>0</x:v>
      </x:c>
      <x:c r="F1350" s="42" t="n">
        <x:f>$B$8*SUM($E$18:E1350)/A1350</x:f>
        <x:v>99.24081020255063</x:v>
      </x:c>
      <x:c r="G1350" s="42" t="n">
        <x:f>$B$11</x:f>
        <x:v>100.53096491487338</x:v>
      </x:c>
      <x:c r="I1350" t="n">
        <x:f>A1350</x:f>
        <x:v>1333</x:v>
      </x:c>
      <x:c r="J1350" t="n">
        <x:f>F1350</x:f>
        <x:v>99.24081020255063</x:v>
      </x:c>
      <x:c r="K1350" t="n">
        <x:f>G1350</x:f>
        <x:v>100.53096491487338</x:v>
      </x:c>
    </x:row>
    <x:row r="1351">
      <x:c r="A1351" t="n">
        <x:v>1334</x:v>
      </x:c>
      <x:c r="B1351" s="40" t="n">
        <x:v>1.861663813926942</x:v>
      </x:c>
      <x:c r="C1351" s="40" t="n">
        <x:v>-1.5439557422698384</x:v>
      </x:c>
      <x:c r="D1351" s="40" t="n">
        <x:v>-2.7133891015369116</x:v>
      </x:c>
      <x:c r="E1351" t="n">
        <x:f>--((B1351^2/$B$4^2+C1351^2/$B$5^2+D1351^2/$B$6^2)&lt;=1)</x:f>
        <x:v>0</x:v>
      </x:c>
      <x:c r="F1351" s="42" t="n">
        <x:f>$B$8*SUM($E$18:E1351)/A1351</x:f>
        <x:v>99.16641679160419</x:v>
      </x:c>
      <x:c r="G1351" s="42" t="n">
        <x:f>$B$11</x:f>
        <x:v>100.53096491487338</x:v>
      </x:c>
      <x:c r="I1351" t="n">
        <x:f>A1351</x:f>
        <x:v>1334</x:v>
      </x:c>
      <x:c r="J1351" t="n">
        <x:f>F1351</x:f>
        <x:v>99.16641679160419</x:v>
      </x:c>
      <x:c r="K1351" t="n">
        <x:f>G1351</x:f>
        <x:v>100.53096491487338</x:v>
      </x:c>
    </x:row>
    <x:row r="1352">
      <x:c r="A1352" t="n">
        <x:v>1335</x:v>
      </x:c>
      <x:c r="B1352" s="40" t="n">
        <x:v>1.8543196488886147</x:v>
      </x:c>
      <x:c r="C1352" s="40" t="n">
        <x:v>-0.7998746324554338</x:v>
      </x:c>
      <x:c r="D1352" s="40" t="n">
        <x:v>-1.1375197406771491</x:v>
      </x:c>
      <x:c r="E1352" t="n">
        <x:f>--((B1352^2/$B$4^2+C1352^2/$B$5^2+D1352^2/$B$6^2)&lt;=1)</x:f>
        <x:v>0</x:v>
      </x:c>
      <x:c r="F1352" s="42" t="n">
        <x:f>$B$8*SUM($E$18:E1352)/A1352</x:f>
        <x:v>99.09213483146067</x:v>
      </x:c>
      <x:c r="G1352" s="42" t="n">
        <x:f>$B$11</x:f>
        <x:v>100.53096491487338</x:v>
      </x:c>
      <x:c r="I1352" t="n">
        <x:f>A1352</x:f>
        <x:v>1335</x:v>
      </x:c>
      <x:c r="J1352" t="n">
        <x:f>F1352</x:f>
        <x:v>99.09213483146067</x:v>
      </x:c>
      <x:c r="K1352" t="n">
        <x:f>G1352</x:f>
        <x:v>100.53096491487338</x:v>
      </x:c>
    </x:row>
    <x:row r="1353">
      <x:c r="A1353" t="n">
        <x:v>1336</x:v>
      </x:c>
      <x:c r="B1353" s="40" t="n">
        <x:v>1.422568486809614</x:v>
      </x:c>
      <x:c r="C1353" s="40" t="n">
        <x:v>-0.8919019002644157</x:v>
      </x:c>
      <x:c r="D1353" s="40" t="n">
        <x:v>2.2048271378130497</x:v>
      </x:c>
      <x:c r="E1353" t="n">
        <x:f>--((B1353^2/$B$4^2+C1353^2/$B$5^2+D1353^2/$B$6^2)&lt;=1)</x:f>
        <x:v>1</x:v>
      </x:c>
      <x:c r="F1353" s="42" t="n">
        <x:f>$B$8*SUM($E$18:E1353)/A1353</x:f>
        <x:v>99.16167664670658</x:v>
      </x:c>
      <x:c r="G1353" s="42" t="n">
        <x:f>$B$11</x:f>
        <x:v>100.53096491487338</x:v>
      </x:c>
      <x:c r="I1353" t="n">
        <x:f>A1353</x:f>
        <x:v>1336</x:v>
      </x:c>
      <x:c r="J1353" t="n">
        <x:f>F1353</x:f>
        <x:v>99.16167664670658</x:v>
      </x:c>
      <x:c r="K1353" t="n">
        <x:f>G1353</x:f>
        <x:v>100.53096491487338</x:v>
      </x:c>
    </x:row>
    <x:row r="1354">
      <x:c r="A1354" t="n">
        <x:v>1337</x:v>
      </x:c>
      <x:c r="B1354" s="40" t="n">
        <x:v>-1.2495628289398657</x:v>
      </x:c>
      <x:c r="C1354" s="40" t="n">
        <x:v>0.1480050566614297</x:v>
      </x:c>
      <x:c r="D1354" s="40" t="n">
        <x:v>1.5605071193198263</x:v>
      </x:c>
      <x:c r="E1354" t="n">
        <x:f>--((B1354^2/$B$4^2+C1354^2/$B$5^2+D1354^2/$B$6^2)&lt;=1)</x:f>
        <x:v>1</x:v>
      </x:c>
      <x:c r="F1354" s="42" t="n">
        <x:f>$B$8*SUM($E$18:E1354)/A1354</x:f>
        <x:v>99.23111443530291</x:v>
      </x:c>
      <x:c r="G1354" s="42" t="n">
        <x:f>$B$11</x:f>
        <x:v>100.53096491487338</x:v>
      </x:c>
      <x:c r="I1354" t="n">
        <x:f>A1354</x:f>
        <x:v>1337</x:v>
      </x:c>
      <x:c r="J1354" t="n">
        <x:f>F1354</x:f>
        <x:v>99.23111443530291</x:v>
      </x:c>
      <x:c r="K1354" t="n">
        <x:f>G1354</x:f>
        <x:v>100.53096491487338</x:v>
      </x:c>
    </x:row>
    <x:row r="1355">
      <x:c r="A1355" t="n">
        <x:v>1338</x:v>
      </x:c>
      <x:c r="B1355" s="40" t="n">
        <x:v>0.37709077720631967</x:v>
      </x:c>
      <x:c r="C1355" s="40" t="n">
        <x:v>2.2987612922155414</x:v>
      </x:c>
      <x:c r="D1355" s="40" t="n">
        <x:v>1.3268296508496418</x:v>
      </x:c>
      <x:c r="E1355" t="n">
        <x:f>--((B1355^2/$B$4^2+C1355^2/$B$5^2+D1355^2/$B$6^2)&lt;=1)</x:f>
        <x:v>1</x:v>
      </x:c>
      <x:c r="F1355" s="42" t="n">
        <x:f>$B$8*SUM($E$18:E1355)/A1355</x:f>
        <x:v>99.30044843049328</x:v>
      </x:c>
      <x:c r="G1355" s="42" t="n">
        <x:f>$B$11</x:f>
        <x:v>100.53096491487338</x:v>
      </x:c>
      <x:c r="I1355" t="n">
        <x:f>A1355</x:f>
        <x:v>1338</x:v>
      </x:c>
      <x:c r="J1355" t="n">
        <x:f>F1355</x:f>
        <x:v>99.30044843049328</x:v>
      </x:c>
      <x:c r="K1355" t="n">
        <x:f>G1355</x:f>
        <x:v>100.53096491487338</x:v>
      </x:c>
    </x:row>
    <x:row r="1356">
      <x:c r="A1356" t="n">
        <x:v>1339</x:v>
      </x:c>
      <x:c r="B1356" s="40" t="n">
        <x:v>1.5125896986221496</x:v>
      </x:c>
      <x:c r="C1356" s="40" t="n">
        <x:v>-1.2459706373418051</x:v>
      </x:c>
      <x:c r="D1356" s="40" t="n">
        <x:v>2.635428481305631</x:v>
      </x:c>
      <x:c r="E1356" t="n">
        <x:f>--((B1356^2/$B$4^2+C1356^2/$B$5^2+D1356^2/$B$6^2)&lt;=1)</x:f>
        <x:v>0</x:v>
      </x:c>
      <x:c r="F1356" s="42" t="n">
        <x:f>$B$8*SUM($E$18:E1356)/A1356</x:f>
        <x:v>99.22628827483196</x:v>
      </x:c>
      <x:c r="G1356" s="42" t="n">
        <x:f>$B$11</x:f>
        <x:v>100.53096491487338</x:v>
      </x:c>
      <x:c r="I1356" t="n">
        <x:f>A1356</x:f>
        <x:v>1339</x:v>
      </x:c>
      <x:c r="J1356" t="n">
        <x:f>F1356</x:f>
        <x:v>99.22628827483196</x:v>
      </x:c>
      <x:c r="K1356" t="n">
        <x:f>G1356</x:f>
        <x:v>100.53096491487338</x:v>
      </x:c>
    </x:row>
    <x:row r="1357">
      <x:c r="A1357" t="n">
        <x:v>1340</x:v>
      </x:c>
      <x:c r="B1357" s="40" t="n">
        <x:v>-0.5021442542042491</x:v>
      </x:c>
      <x:c r="C1357" s="40" t="n">
        <x:v>0.12462364775501289</x:v>
      </x:c>
      <x:c r="D1357" s="40" t="n">
        <x:v>-1.78295750126885</x:v>
      </x:c>
      <x:c r="E1357" t="n">
        <x:f>--((B1357^2/$B$4^2+C1357^2/$B$5^2+D1357^2/$B$6^2)&lt;=1)</x:f>
        <x:v>1</x:v>
      </x:c>
      <x:c r="F1357" s="42" t="n">
        <x:f>$B$8*SUM($E$18:E1357)/A1357</x:f>
        <x:v>99.2955223880597</x:v>
      </x:c>
      <x:c r="G1357" s="42" t="n">
        <x:f>$B$11</x:f>
        <x:v>100.53096491487338</x:v>
      </x:c>
      <x:c r="I1357" t="n">
        <x:f>A1357</x:f>
        <x:v>1340</x:v>
      </x:c>
      <x:c r="J1357" t="n">
        <x:f>F1357</x:f>
        <x:v>99.2955223880597</x:v>
      </x:c>
      <x:c r="K1357" t="n">
        <x:f>G1357</x:f>
        <x:v>100.53096491487338</x:v>
      </x:c>
    </x:row>
    <x:row r="1358">
      <x:c r="A1358" t="n">
        <x:v>1341</x:v>
      </x:c>
      <x:c r="B1358" s="40" t="n">
        <x:v>-1.5955753362576601</x:v>
      </x:c>
      <x:c r="C1358" s="40" t="n">
        <x:v>-0.9591662778691239</x:v>
      </x:c>
      <x:c r="D1358" s="40" t="n">
        <x:v>-1.2825301962439193</x:v>
      </x:c>
      <x:c r="E1358" t="n">
        <x:f>--((B1358^2/$B$4^2+C1358^2/$B$5^2+D1358^2/$B$6^2)&lt;=1)</x:f>
        <x:v>1</x:v>
      </x:c>
      <x:c r="F1358" s="42" t="n">
        <x:f>$B$8*SUM($E$18:E1358)/A1358</x:f>
        <x:v>99.36465324384787</x:v>
      </x:c>
      <x:c r="G1358" s="42" t="n">
        <x:f>$B$11</x:f>
        <x:v>100.53096491487338</x:v>
      </x:c>
      <x:c r="I1358" t="n">
        <x:f>A1358</x:f>
        <x:v>1341</x:v>
      </x:c>
      <x:c r="J1358" t="n">
        <x:f>F1358</x:f>
        <x:v>99.36465324384787</x:v>
      </x:c>
      <x:c r="K1358" t="n">
        <x:f>G1358</x:f>
        <x:v>100.53096491487338</x:v>
      </x:c>
    </x:row>
    <x:row r="1359">
      <x:c r="A1359" t="n">
        <x:v>1342</x:v>
      </x:c>
      <x:c r="B1359" s="40" t="n">
        <x:v>1.2438516089596874</x:v>
      </x:c>
      <x:c r="C1359" s="40" t="n">
        <x:v>1.9306383562392027</x:v>
      </x:c>
      <x:c r="D1359" s="40" t="n">
        <x:v>-3.661284395126592</x:v>
      </x:c>
      <x:c r="E1359" t="n">
        <x:f>--((B1359^2/$B$4^2+C1359^2/$B$5^2+D1359^2/$B$6^2)&lt;=1)</x:f>
        <x:v>0</x:v>
      </x:c>
      <x:c r="F1359" s="42" t="n">
        <x:f>$B$8*SUM($E$18:E1359)/A1359</x:f>
        <x:v>99.29061102831595</x:v>
      </x:c>
      <x:c r="G1359" s="42" t="n">
        <x:f>$B$11</x:f>
        <x:v>100.53096491487338</x:v>
      </x:c>
      <x:c r="I1359" t="n">
        <x:f>A1359</x:f>
        <x:v>1342</x:v>
      </x:c>
      <x:c r="J1359" t="n">
        <x:f>F1359</x:f>
        <x:v>99.29061102831595</x:v>
      </x:c>
      <x:c r="K1359" t="n">
        <x:f>G1359</x:f>
        <x:v>100.53096491487338</x:v>
      </x:c>
    </x:row>
    <x:row r="1360">
      <x:c r="A1360" t="n">
        <x:v>1343</x:v>
      </x:c>
      <x:c r="B1360" s="40" t="n">
        <x:v>-0.07294579455131345</x:v>
      </x:c>
      <x:c r="C1360" s="40" t="n">
        <x:v>-2.05439092026913</x:v>
      </x:c>
      <x:c r="D1360" s="40" t="n">
        <x:v>2.9499662064282672</x:v>
      </x:c>
      <x:c r="E1360" t="n">
        <x:f>--((B1360^2/$B$4^2+C1360^2/$B$5^2+D1360^2/$B$6^2)&lt;=1)</x:f>
        <x:v>0</x:v>
      </x:c>
      <x:c r="F1360" s="42" t="n">
        <x:f>$B$8*SUM($E$18:E1360)/A1360</x:f>
        <x:v>99.21667907669396</x:v>
      </x:c>
      <x:c r="G1360" s="42" t="n">
        <x:f>$B$11</x:f>
        <x:v>100.53096491487338</x:v>
      </x:c>
      <x:c r="I1360" t="n">
        <x:f>A1360</x:f>
        <x:v>1343</x:v>
      </x:c>
      <x:c r="J1360" t="n">
        <x:f>F1360</x:f>
        <x:v>99.21667907669396</x:v>
      </x:c>
      <x:c r="K1360" t="n">
        <x:f>G1360</x:f>
        <x:v>100.53096491487338</x:v>
      </x:c>
    </x:row>
    <x:row r="1361">
      <x:c r="A1361" t="n">
        <x:v>1344</x:v>
      </x:c>
      <x:c r="B1361" s="40" t="n">
        <x:v>0.2575707214367142</x:v>
      </x:c>
      <x:c r="C1361" s="40" t="n">
        <x:v>-2.3789383901396493</x:v>
      </x:c>
      <x:c r="D1361" s="40" t="n">
        <x:v>0.6594378793774247</x:v>
      </x:c>
      <x:c r="E1361" t="n">
        <x:f>--((B1361^2/$B$4^2+C1361^2/$B$5^2+D1361^2/$B$6^2)&lt;=1)</x:f>
        <x:v>1</x:v>
      </x:c>
      <x:c r="F1361" s="42" t="n">
        <x:f>$B$8*SUM($E$18:E1361)/A1361</x:f>
        <x:v>99.28571428571429</x:v>
      </x:c>
      <x:c r="G1361" s="42" t="n">
        <x:f>$B$11</x:f>
        <x:v>100.53096491487338</x:v>
      </x:c>
      <x:c r="I1361" t="n">
        <x:f>A1361</x:f>
        <x:v>1344</x:v>
      </x:c>
      <x:c r="J1361" t="n">
        <x:f>F1361</x:f>
        <x:v>99.28571428571429</x:v>
      </x:c>
      <x:c r="K1361" t="n">
        <x:f>G1361</x:f>
        <x:v>100.53096491487338</x:v>
      </x:c>
    </x:row>
    <x:row r="1362">
      <x:c r="A1362" t="n">
        <x:v>1345</x:v>
      </x:c>
      <x:c r="B1362" s="40" t="n">
        <x:v>1.9285771852713776</x:v>
      </x:c>
      <x:c r="C1362" s="40" t="n">
        <x:v>0.01797151942561026</x:v>
      </x:c>
      <x:c r="D1362" s="40" t="n">
        <x:v>-1.6150216649304534</x:v>
      </x:c>
      <x:c r="E1362" t="n">
        <x:f>--((B1362^2/$B$4^2+C1362^2/$B$5^2+D1362^2/$B$6^2)&lt;=1)</x:f>
        <x:v>0</x:v>
      </x:c>
      <x:c r="F1362" s="42" t="n">
        <x:f>$B$8*SUM($E$18:E1362)/A1362</x:f>
        <x:v>99.21189591078067</x:v>
      </x:c>
      <x:c r="G1362" s="42" t="n">
        <x:f>$B$11</x:f>
        <x:v>100.53096491487338</x:v>
      </x:c>
      <x:c r="I1362" t="n">
        <x:f>A1362</x:f>
        <x:v>1345</x:v>
      </x:c>
      <x:c r="J1362" t="n">
        <x:f>F1362</x:f>
        <x:v>99.21189591078067</x:v>
      </x:c>
      <x:c r="K1362" t="n">
        <x:f>G1362</x:f>
        <x:v>100.53096491487338</x:v>
      </x:c>
    </x:row>
    <x:row r="1363">
      <x:c r="A1363" t="n">
        <x:v>1346</x:v>
      </x:c>
      <x:c r="B1363" s="40" t="n">
        <x:v>0.42884572197628845</x:v>
      </x:c>
      <x:c r="C1363" s="40" t="n">
        <x:v>1.0313255145929512</x:v>
      </x:c>
      <x:c r="D1363" s="40" t="n">
        <x:v>-3.4446677484050756</x:v>
      </x:c>
      <x:c r="E1363" t="n">
        <x:f>--((B1363^2/$B$4^2+C1363^2/$B$5^2+D1363^2/$B$6^2)&lt;=1)</x:f>
        <x:v>1</x:v>
      </x:c>
      <x:c r="F1363" s="42" t="n">
        <x:f>$B$8*SUM($E$18:E1363)/A1363</x:f>
        <x:v>99.28083209509659</x:v>
      </x:c>
      <x:c r="G1363" s="42" t="n">
        <x:f>$B$11</x:f>
        <x:v>100.53096491487338</x:v>
      </x:c>
      <x:c r="I1363" t="n">
        <x:f>A1363</x:f>
        <x:v>1346</x:v>
      </x:c>
      <x:c r="J1363" t="n">
        <x:f>F1363</x:f>
        <x:v>99.28083209509659</x:v>
      </x:c>
      <x:c r="K1363" t="n">
        <x:f>G1363</x:f>
        <x:v>100.53096491487338</x:v>
      </x:c>
    </x:row>
    <x:row r="1364">
      <x:c r="A1364" t="n">
        <x:v>1347</x:v>
      </x:c>
      <x:c r="B1364" s="40" t="n">
        <x:v>-0.30008245733559447</x:v>
      </x:c>
      <x:c r="C1364" s="40" t="n">
        <x:v>1.7731512065445987</x:v>
      </x:c>
      <x:c r="D1364" s="40" t="n">
        <x:v>1.7872760252996773</x:v>
      </x:c>
      <x:c r="E1364" t="n">
        <x:f>--((B1364^2/$B$4^2+C1364^2/$B$5^2+D1364^2/$B$6^2)&lt;=1)</x:f>
        <x:v>1</x:v>
      </x:c>
      <x:c r="F1364" s="42" t="n">
        <x:f>$B$8*SUM($E$18:E1364)/A1364</x:f>
        <x:v>99.34966592427617</x:v>
      </x:c>
      <x:c r="G1364" s="42" t="n">
        <x:f>$B$11</x:f>
        <x:v>100.53096491487338</x:v>
      </x:c>
      <x:c r="I1364" t="n">
        <x:f>A1364</x:f>
        <x:v>1347</x:v>
      </x:c>
      <x:c r="J1364" t="n">
        <x:f>F1364</x:f>
        <x:v>99.34966592427617</x:v>
      </x:c>
      <x:c r="K1364" t="n">
        <x:f>G1364</x:f>
        <x:v>100.53096491487338</x:v>
      </x:c>
    </x:row>
    <x:row r="1365">
      <x:c r="A1365" t="n">
        <x:v>1348</x:v>
      </x:c>
      <x:c r="B1365" s="40" t="n">
        <x:v>-0.5200625286112088</x:v>
      </x:c>
      <x:c r="C1365" s="40" t="n">
        <x:v>0.5377491174318987</x:v>
      </x:c>
      <x:c r="D1365" s="40" t="n">
        <x:v>1.9899001563924887</x:v>
      </x:c>
      <x:c r="E1365" t="n">
        <x:f>--((B1365^2/$B$4^2+C1365^2/$B$5^2+D1365^2/$B$6^2)&lt;=1)</x:f>
        <x:v>1</x:v>
      </x:c>
      <x:c r="F1365" s="42" t="n">
        <x:f>$B$8*SUM($E$18:E1365)/A1365</x:f>
        <x:v>99.41839762611276</x:v>
      </x:c>
      <x:c r="G1365" s="42" t="n">
        <x:f>$B$11</x:f>
        <x:v>100.53096491487338</x:v>
      </x:c>
      <x:c r="I1365" t="n">
        <x:f>A1365</x:f>
        <x:v>1348</x:v>
      </x:c>
      <x:c r="J1365" t="n">
        <x:f>F1365</x:f>
        <x:v>99.41839762611276</x:v>
      </x:c>
      <x:c r="K1365" t="n">
        <x:f>G1365</x:f>
        <x:v>100.53096491487338</x:v>
      </x:c>
    </x:row>
    <x:row r="1366">
      <x:c r="A1366" t="n">
        <x:v>1349</x:v>
      </x:c>
      <x:c r="B1366" s="40" t="n">
        <x:v>-0.3295228293838175</x:v>
      </x:c>
      <x:c r="C1366" s="40" t="n">
        <x:v>1.643098567914004</x:v>
      </x:c>
      <x:c r="D1366" s="40" t="n">
        <x:v>1.3294292169201807</x:v>
      </x:c>
      <x:c r="E1366" t="n">
        <x:f>--((B1366^2/$B$4^2+C1366^2/$B$5^2+D1366^2/$B$6^2)&lt;=1)</x:f>
        <x:v>1</x:v>
      </x:c>
      <x:c r="F1366" s="42" t="n">
        <x:f>$B$8*SUM($E$18:E1366)/A1366</x:f>
        <x:v>99.48702742772424</x:v>
      </x:c>
      <x:c r="G1366" s="42" t="n">
        <x:f>$B$11</x:f>
        <x:v>100.53096491487338</x:v>
      </x:c>
      <x:c r="I1366" t="n">
        <x:f>A1366</x:f>
        <x:v>1349</x:v>
      </x:c>
      <x:c r="J1366" t="n">
        <x:f>F1366</x:f>
        <x:v>99.48702742772424</x:v>
      </x:c>
      <x:c r="K1366" t="n">
        <x:f>G1366</x:f>
        <x:v>100.53096491487338</x:v>
      </x:c>
    </x:row>
    <x:row r="1367">
      <x:c r="A1367" t="n">
        <x:v>1350</x:v>
      </x:c>
      <x:c r="B1367" s="40" t="n">
        <x:v>-1.526403667285325</x:v>
      </x:c>
      <x:c r="C1367" s="40" t="n">
        <x:v>-0.6437396486344573</x:v>
      </x:c>
      <x:c r="D1367" s="40" t="n">
        <x:v>-2.3697522324261637</x:v>
      </x:c>
      <x:c r="E1367" t="n">
        <x:f>--((B1367^2/$B$4^2+C1367^2/$B$5^2+D1367^2/$B$6^2)&lt;=1)</x:f>
        <x:v>1</x:v>
      </x:c>
      <x:c r="F1367" s="42" t="n">
        <x:f>$B$8*SUM($E$18:E1367)/A1367</x:f>
        <x:v>99.55555555555556</x:v>
      </x:c>
      <x:c r="G1367" s="42" t="n">
        <x:f>$B$11</x:f>
        <x:v>100.53096491487338</x:v>
      </x:c>
      <x:c r="I1367" t="n">
        <x:f>A1367</x:f>
        <x:v>1350</x:v>
      </x:c>
      <x:c r="J1367" t="n">
        <x:f>F1367</x:f>
        <x:v>99.55555555555556</x:v>
      </x:c>
      <x:c r="K1367" t="n">
        <x:f>G1367</x:f>
        <x:v>100.53096491487338</x:v>
      </x:c>
    </x:row>
    <x:row r="1368">
      <x:c r="A1368" t="n">
        <x:v>1351</x:v>
      </x:c>
      <x:c r="B1368" s="40" t="n">
        <x:v>1.1790022336702872</x:v>
      </x:c>
      <x:c r="C1368" s="40" t="n">
        <x:v>-2.802793978401186</x:v>
      </x:c>
      <x:c r="D1368" s="40" t="n">
        <x:v>3.305728468068839</x:v>
      </x:c>
      <x:c r="E1368" t="n">
        <x:f>--((B1368^2/$B$4^2+C1368^2/$B$5^2+D1368^2/$B$6^2)&lt;=1)</x:f>
        <x:v>0</x:v>
      </x:c>
      <x:c r="F1368" s="42" t="n">
        <x:f>$B$8*SUM($E$18:E1368)/A1368</x:f>
        <x:v>99.48186528497409</x:v>
      </x:c>
      <x:c r="G1368" s="42" t="n">
        <x:f>$B$11</x:f>
        <x:v>100.53096491487338</x:v>
      </x:c>
      <x:c r="I1368" t="n">
        <x:f>A1368</x:f>
        <x:v>1351</x:v>
      </x:c>
      <x:c r="J1368" t="n">
        <x:f>F1368</x:f>
        <x:v>99.48186528497409</x:v>
      </x:c>
      <x:c r="K1368" t="n">
        <x:f>G1368</x:f>
        <x:v>100.53096491487338</x:v>
      </x:c>
    </x:row>
    <x:row r="1369">
      <x:c r="A1369" t="n">
        <x:v>1352</x:v>
      </x:c>
      <x:c r="B1369" s="40" t="n">
        <x:v>1.3508674327481645</x:v>
      </x:c>
      <x:c r="C1369" s="40" t="n">
        <x:v>-2.3034041525906606</x:v>
      </x:c>
      <x:c r="D1369" s="40" t="n">
        <x:v>2.0252641521670105</x:v>
      </x:c>
      <x:c r="E1369" t="n">
        <x:f>--((B1369^2/$B$4^2+C1369^2/$B$5^2+D1369^2/$B$6^2)&lt;=1)</x:f>
        <x:v>0</x:v>
      </x:c>
      <x:c r="F1369" s="42" t="n">
        <x:f>$B$8*SUM($E$18:E1369)/A1369</x:f>
        <x:v>99.40828402366864</x:v>
      </x:c>
      <x:c r="G1369" s="42" t="n">
        <x:f>$B$11</x:f>
        <x:v>100.53096491487338</x:v>
      </x:c>
      <x:c r="I1369" t="n">
        <x:f>A1369</x:f>
        <x:v>1352</x:v>
      </x:c>
      <x:c r="J1369" t="n">
        <x:f>F1369</x:f>
        <x:v>99.40828402366864</x:v>
      </x:c>
      <x:c r="K1369" t="n">
        <x:f>G1369</x:f>
        <x:v>100.53096491487338</x:v>
      </x:c>
    </x:row>
    <x:row r="1370">
      <x:c r="A1370" t="n">
        <x:v>1353</x:v>
      </x:c>
      <x:c r="B1370" s="40" t="n">
        <x:v>-0.8624114617063645</x:v>
      </x:c>
      <x:c r="C1370" s="40" t="n">
        <x:v>-2.767664392626023</x:v>
      </x:c>
      <x:c r="D1370" s="40" t="n">
        <x:v>1.2620505886717623</x:v>
      </x:c>
      <x:c r="E1370" t="n">
        <x:f>--((B1370^2/$B$4^2+C1370^2/$B$5^2+D1370^2/$B$6^2)&lt;=1)</x:f>
        <x:v>0</x:v>
      </x:c>
      <x:c r="F1370" s="42" t="n">
        <x:f>$B$8*SUM($E$18:E1370)/A1370</x:f>
        <x:v>99.33481152993348</x:v>
      </x:c>
      <x:c r="G1370" s="42" t="n">
        <x:f>$B$11</x:f>
        <x:v>100.53096491487338</x:v>
      </x:c>
      <x:c r="I1370" t="n">
        <x:f>A1370</x:f>
        <x:v>1353</x:v>
      </x:c>
      <x:c r="J1370" t="n">
        <x:f>F1370</x:f>
        <x:v>99.33481152993348</x:v>
      </x:c>
      <x:c r="K1370" t="n">
        <x:f>G1370</x:f>
        <x:v>100.53096491487338</x:v>
      </x:c>
    </x:row>
    <x:row r="1371">
      <x:c r="A1371" t="n">
        <x:v>1354</x:v>
      </x:c>
      <x:c r="B1371" s="40" t="n">
        <x:v>-0.7848135263602236</x:v>
      </x:c>
      <x:c r="C1371" s="40" t="n">
        <x:v>-1.026338097141044</x:v>
      </x:c>
      <x:c r="D1371" s="40" t="n">
        <x:v>1.2075513873743002</x:v>
      </x:c>
      <x:c r="E1371" t="n">
        <x:f>--((B1371^2/$B$4^2+C1371^2/$B$5^2+D1371^2/$B$6^2)&lt;=1)</x:f>
        <x:v>1</x:v>
      </x:c>
      <x:c r="F1371" s="42" t="n">
        <x:f>$B$8*SUM($E$18:E1371)/A1371</x:f>
        <x:v>99.40324963072378</x:v>
      </x:c>
      <x:c r="G1371" s="42" t="n">
        <x:f>$B$11</x:f>
        <x:v>100.53096491487338</x:v>
      </x:c>
      <x:c r="I1371" t="n">
        <x:f>A1371</x:f>
        <x:v>1354</x:v>
      </x:c>
      <x:c r="J1371" t="n">
        <x:f>F1371</x:f>
        <x:v>99.40324963072378</x:v>
      </x:c>
      <x:c r="K1371" t="n">
        <x:f>G1371</x:f>
        <x:v>100.53096491487338</x:v>
      </x:c>
    </x:row>
    <x:row r="1372">
      <x:c r="A1372" t="n">
        <x:v>1355</x:v>
      </x:c>
      <x:c r="B1372" s="40" t="n">
        <x:v>1.4973370253392528</x:v>
      </x:c>
      <x:c r="C1372" s="40" t="n">
        <x:v>-0.02705195238790603</x:v>
      </x:c>
      <x:c r="D1372" s="40" t="n">
        <x:v>3.2348616007331294</x:v>
      </x:c>
      <x:c r="E1372" t="n">
        <x:f>--((B1372^2/$B$4^2+C1372^2/$B$5^2+D1372^2/$B$6^2)&lt;=1)</x:f>
        <x:v>0</x:v>
      </x:c>
      <x:c r="F1372" s="42" t="n">
        <x:f>$B$8*SUM($E$18:E1372)/A1372</x:f>
        <x:v>99.329889298893</x:v>
      </x:c>
      <x:c r="G1372" s="42" t="n">
        <x:f>$B$11</x:f>
        <x:v>100.53096491487338</x:v>
      </x:c>
      <x:c r="I1372" t="n">
        <x:f>A1372</x:f>
        <x:v>1355</x:v>
      </x:c>
      <x:c r="J1372" t="n">
        <x:f>F1372</x:f>
        <x:v>99.329889298893</x:v>
      </x:c>
      <x:c r="K1372" t="n">
        <x:f>G1372</x:f>
        <x:v>100.53096491487338</x:v>
      </x:c>
    </x:row>
    <x:row r="1373">
      <x:c r="A1373" t="n">
        <x:v>1356</x:v>
      </x:c>
      <x:c r="B1373" s="40" t="n">
        <x:v>-1.9041185778881782</x:v>
      </x:c>
      <x:c r="C1373" s="40" t="n">
        <x:v>-0.8620950980583637</x:v>
      </x:c>
      <x:c r="D1373" s="40" t="n">
        <x:v>3.42645706477699</x:v>
      </x:c>
      <x:c r="E1373" t="n">
        <x:f>--((B1373^2/$B$4^2+C1373^2/$B$5^2+D1373^2/$B$6^2)&lt;=1)</x:f>
        <x:v>0</x:v>
      </x:c>
      <x:c r="F1373" s="42" t="n">
        <x:f>$B$8*SUM($E$18:E1373)/A1373</x:f>
        <x:v>99.2566371681416</x:v>
      </x:c>
      <x:c r="G1373" s="42" t="n">
        <x:f>$B$11</x:f>
        <x:v>100.53096491487338</x:v>
      </x:c>
      <x:c r="I1373" t="n">
        <x:f>A1373</x:f>
        <x:v>1356</x:v>
      </x:c>
      <x:c r="J1373" t="n">
        <x:f>F1373</x:f>
        <x:v>99.2566371681416</x:v>
      </x:c>
      <x:c r="K1373" t="n">
        <x:f>G1373</x:f>
        <x:v>100.53096491487338</x:v>
      </x:c>
    </x:row>
    <x:row r="1374">
      <x:c r="A1374" t="n">
        <x:v>1357</x:v>
      </x:c>
      <x:c r="B1374" s="40" t="n">
        <x:v>0.08182977506891076</x:v>
      </x:c>
      <x:c r="C1374" s="40" t="n">
        <x:v>0.3635968503983529</x:v>
      </x:c>
      <x:c r="D1374" s="40" t="n">
        <x:v>0.7650993440819196</x:v>
      </x:c>
      <x:c r="E1374" t="n">
        <x:f>--((B1374^2/$B$4^2+C1374^2/$B$5^2+D1374^2/$B$6^2)&lt;=1)</x:f>
        <x:v>1</x:v>
      </x:c>
      <x:c r="F1374" s="42" t="n">
        <x:f>$B$8*SUM($E$18:E1374)/A1374</x:f>
        <x:v>99.3249815770081</x:v>
      </x:c>
      <x:c r="G1374" s="42" t="n">
        <x:f>$B$11</x:f>
        <x:v>100.53096491487338</x:v>
      </x:c>
      <x:c r="I1374" t="n">
        <x:f>A1374</x:f>
        <x:v>1357</x:v>
      </x:c>
      <x:c r="J1374" t="n">
        <x:f>F1374</x:f>
        <x:v>99.3249815770081</x:v>
      </x:c>
      <x:c r="K1374" t="n">
        <x:f>G1374</x:f>
        <x:v>100.53096491487338</x:v>
      </x:c>
    </x:row>
    <x:row r="1375">
      <x:c r="A1375" t="n">
        <x:v>1358</x:v>
      </x:c>
      <x:c r="B1375" s="40" t="n">
        <x:v>-0.14529714127399584</x:v>
      </x:c>
      <x:c r="C1375" s="40" t="n">
        <x:v>-0.11634510904327389</x:v>
      </x:c>
      <x:c r="D1375" s="40" t="n">
        <x:v>-0.6666447122996129</x:v>
      </x:c>
      <x:c r="E1375" t="n">
        <x:f>--((B1375^2/$B$4^2+C1375^2/$B$5^2+D1375^2/$B$6^2)&lt;=1)</x:f>
        <x:v>1</x:v>
      </x:c>
      <x:c r="F1375" s="42" t="n">
        <x:f>$B$8*SUM($E$18:E1375)/A1375</x:f>
        <x:v>99.39322533136966</x:v>
      </x:c>
      <x:c r="G1375" s="42" t="n">
        <x:f>$B$11</x:f>
        <x:v>100.53096491487338</x:v>
      </x:c>
      <x:c r="I1375" t="n">
        <x:f>A1375</x:f>
        <x:v>1358</x:v>
      </x:c>
      <x:c r="J1375" t="n">
        <x:f>F1375</x:f>
        <x:v>99.39322533136966</x:v>
      </x:c>
      <x:c r="K1375" t="n">
        <x:f>G1375</x:f>
        <x:v>100.53096491487338</x:v>
      </x:c>
    </x:row>
    <x:row r="1376">
      <x:c r="A1376" t="n">
        <x:v>1359</x:v>
      </x:c>
      <x:c r="B1376" s="40" t="n">
        <x:v>0.760507078313839</x:v>
      </x:c>
      <x:c r="C1376" s="40" t="n">
        <x:v>1.0676568111836415</x:v>
      </x:c>
      <x:c r="D1376" s="40" t="n">
        <x:v>-1.0901281635246702</x:v>
      </x:c>
      <x:c r="E1376" t="n">
        <x:f>--((B1376^2/$B$4^2+C1376^2/$B$5^2+D1376^2/$B$6^2)&lt;=1)</x:f>
        <x:v>1</x:v>
      </x:c>
      <x:c r="F1376" s="42" t="n">
        <x:f>$B$8*SUM($E$18:E1376)/A1376</x:f>
        <x:v>99.46136865342163</x:v>
      </x:c>
      <x:c r="G1376" s="42" t="n">
        <x:f>$B$11</x:f>
        <x:v>100.53096491487338</x:v>
      </x:c>
      <x:c r="I1376" t="n">
        <x:f>A1376</x:f>
        <x:v>1359</x:v>
      </x:c>
      <x:c r="J1376" t="n">
        <x:f>F1376</x:f>
        <x:v>99.46136865342163</x:v>
      </x:c>
      <x:c r="K1376" t="n">
        <x:f>G1376</x:f>
        <x:v>100.53096491487338</x:v>
      </x:c>
    </x:row>
    <x:row r="1377">
      <x:c r="A1377" t="n">
        <x:v>1360</x:v>
      </x:c>
      <x:c r="B1377" s="40" t="n">
        <x:v>-1.346433199402182</x:v>
      </x:c>
      <x:c r="C1377" s="40" t="n">
        <x:v>1.0017729813804372</x:v>
      </x:c>
      <x:c r="D1377" s="40" t="n">
        <x:v>2.55263072864578</x:v>
      </x:c>
      <x:c r="E1377" t="n">
        <x:f>--((B1377^2/$B$4^2+C1377^2/$B$5^2+D1377^2/$B$6^2)&lt;=1)</x:f>
        <x:v>1</x:v>
      </x:c>
      <x:c r="F1377" s="42" t="n">
        <x:f>$B$8*SUM($E$18:E1377)/A1377</x:f>
        <x:v>99.52941176470588</x:v>
      </x:c>
      <x:c r="G1377" s="42" t="n">
        <x:f>$B$11</x:f>
        <x:v>100.53096491487338</x:v>
      </x:c>
      <x:c r="I1377" t="n">
        <x:f>A1377</x:f>
        <x:v>1360</x:v>
      </x:c>
      <x:c r="J1377" t="n">
        <x:f>F1377</x:f>
        <x:v>99.52941176470588</x:v>
      </x:c>
      <x:c r="K1377" t="n">
        <x:f>G1377</x:f>
        <x:v>100.53096491487338</x:v>
      </x:c>
    </x:row>
    <x:row r="1378">
      <x:c r="A1378" t="n">
        <x:v>1361</x:v>
      </x:c>
      <x:c r="B1378" s="40" t="n">
        <x:v>0.673322963180615</x:v>
      </x:c>
      <x:c r="C1378" s="40" t="n">
        <x:v>-1.0916151173479232</x:v>
      </x:c>
      <x:c r="D1378" s="40" t="n">
        <x:v>1.1568427186746684</x:v>
      </x:c>
      <x:c r="E1378" t="n">
        <x:f>--((B1378^2/$B$4^2+C1378^2/$B$5^2+D1378^2/$B$6^2)&lt;=1)</x:f>
        <x:v>1</x:v>
      </x:c>
      <x:c r="F1378" s="42" t="n">
        <x:f>$B$8*SUM($E$18:E1378)/A1378</x:f>
        <x:v>99.59735488611315</x:v>
      </x:c>
      <x:c r="G1378" s="42" t="n">
        <x:f>$B$11</x:f>
        <x:v>100.53096491487338</x:v>
      </x:c>
      <x:c r="I1378" t="n">
        <x:f>A1378</x:f>
        <x:v>1361</x:v>
      </x:c>
      <x:c r="J1378" t="n">
        <x:f>F1378</x:f>
        <x:v>99.59735488611315</x:v>
      </x:c>
      <x:c r="K1378" t="n">
        <x:f>G1378</x:f>
        <x:v>100.53096491487338</x:v>
      </x:c>
    </x:row>
    <x:row r="1379">
      <x:c r="A1379" t="n">
        <x:v>1362</x:v>
      </x:c>
      <x:c r="B1379" s="40" t="n">
        <x:v>-0.4930639685004943</x:v>
      </x:c>
      <x:c r="C1379" s="40" t="n">
        <x:v>-0.9227132678334509</x:v>
      </x:c>
      <x:c r="D1379" s="40" t="n">
        <x:v>-3.381871757970771</x:v>
      </x:c>
      <x:c r="E1379" t="n">
        <x:f>--((B1379^2/$B$4^2+C1379^2/$B$5^2+D1379^2/$B$6^2)&lt;=1)</x:f>
        <x:v>1</x:v>
      </x:c>
      <x:c r="F1379" s="42" t="n">
        <x:f>$B$8*SUM($E$18:E1379)/A1379</x:f>
        <x:v>99.66519823788546</x:v>
      </x:c>
      <x:c r="G1379" s="42" t="n">
        <x:f>$B$11</x:f>
        <x:v>100.53096491487338</x:v>
      </x:c>
      <x:c r="I1379" t="n">
        <x:f>A1379</x:f>
        <x:v>1362</x:v>
      </x:c>
      <x:c r="J1379" t="n">
        <x:f>F1379</x:f>
        <x:v>99.66519823788546</x:v>
      </x:c>
      <x:c r="K1379" t="n">
        <x:f>G1379</x:f>
        <x:v>100.53096491487338</x:v>
      </x:c>
    </x:row>
    <x:row r="1380">
      <x:c r="A1380" t="n">
        <x:v>1363</x:v>
      </x:c>
      <x:c r="B1380" s="40" t="n">
        <x:v>0.4748591126785682</x:v>
      </x:c>
      <x:c r="C1380" s="40" t="n">
        <x:v>0.5108869298478198</x:v>
      </x:c>
      <x:c r="D1380" s="40" t="n">
        <x:v>-2.8625118958797824</x:v>
      </x:c>
      <x:c r="E1380" t="n">
        <x:f>--((B1380^2/$B$4^2+C1380^2/$B$5^2+D1380^2/$B$6^2)&lt;=1)</x:f>
        <x:v>1</x:v>
      </x:c>
      <x:c r="F1380" s="42" t="n">
        <x:f>$B$8*SUM($E$18:E1380)/A1380</x:f>
        <x:v>99.7329420396185</x:v>
      </x:c>
      <x:c r="G1380" s="42" t="n">
        <x:f>$B$11</x:f>
        <x:v>100.53096491487338</x:v>
      </x:c>
      <x:c r="I1380" t="n">
        <x:f>A1380</x:f>
        <x:v>1363</x:v>
      </x:c>
      <x:c r="J1380" t="n">
        <x:f>F1380</x:f>
        <x:v>99.7329420396185</x:v>
      </x:c>
      <x:c r="K1380" t="n">
        <x:f>G1380</x:f>
        <x:v>100.53096491487338</x:v>
      </x:c>
    </x:row>
    <x:row r="1381">
      <x:c r="A1381" t="n">
        <x:v>1364</x:v>
      </x:c>
      <x:c r="B1381" s="40" t="n">
        <x:v>-1.8396199605088963</x:v>
      </x:c>
      <x:c r="C1381" s="40" t="n">
        <x:v>0.5785948073450511</x:v>
      </x:c>
      <x:c r="D1381" s="40" t="n">
        <x:v>3.201487160838771</x:v>
      </x:c>
      <x:c r="E1381" t="n">
        <x:f>--((B1381^2/$B$4^2+C1381^2/$B$5^2+D1381^2/$B$6^2)&lt;=1)</x:f>
        <x:v>0</x:v>
      </x:c>
      <x:c r="F1381" s="42" t="n">
        <x:f>$B$8*SUM($E$18:E1381)/A1381</x:f>
        <x:v>99.65982404692082</x:v>
      </x:c>
      <x:c r="G1381" s="42" t="n">
        <x:f>$B$11</x:f>
        <x:v>100.53096491487338</x:v>
      </x:c>
      <x:c r="I1381" t="n">
        <x:f>A1381</x:f>
        <x:v>1364</x:v>
      </x:c>
      <x:c r="J1381" t="n">
        <x:f>F1381</x:f>
        <x:v>99.65982404692082</x:v>
      </x:c>
      <x:c r="K1381" t="n">
        <x:f>G1381</x:f>
        <x:v>100.53096491487338</x:v>
      </x:c>
    </x:row>
    <x:row r="1382">
      <x:c r="A1382" t="n">
        <x:v>1365</x:v>
      </x:c>
      <x:c r="B1382" s="40" t="n">
        <x:v>-0.15309121126196246</x:v>
      </x:c>
      <x:c r="C1382" s="40" t="n">
        <x:v>-1.1118005181772013</x:v>
      </x:c>
      <x:c r="D1382" s="40" t="n">
        <x:v>3.075985184836007</x:v>
      </x:c>
      <x:c r="E1382" t="n">
        <x:f>--((B1382^2/$B$4^2+C1382^2/$B$5^2+D1382^2/$B$6^2)&lt;=1)</x:f>
        <x:v>1</x:v>
      </x:c>
      <x:c r="F1382" s="42" t="n">
        <x:f>$B$8*SUM($E$18:E1382)/A1382</x:f>
        <x:v>99.72747252747253</x:v>
      </x:c>
      <x:c r="G1382" s="42" t="n">
        <x:f>$B$11</x:f>
        <x:v>100.53096491487338</x:v>
      </x:c>
      <x:c r="I1382" t="n">
        <x:f>A1382</x:f>
        <x:v>1365</x:v>
      </x:c>
      <x:c r="J1382" t="n">
        <x:f>F1382</x:f>
        <x:v>99.72747252747253</x:v>
      </x:c>
      <x:c r="K1382" t="n">
        <x:f>G1382</x:f>
        <x:v>100.53096491487338</x:v>
      </x:c>
    </x:row>
    <x:row r="1383">
      <x:c r="A1383" t="n">
        <x:v>1366</x:v>
      </x:c>
      <x:c r="B1383" s="40" t="n">
        <x:v>0.08900357592948849</x:v>
      </x:c>
      <x:c r="C1383" s="40" t="n">
        <x:v>-1.0180926853474488</x:v>
      </x:c>
      <x:c r="D1383" s="40" t="n">
        <x:v>3.614659589579751</x:v>
      </x:c>
      <x:c r="E1383" t="n">
        <x:f>--((B1383^2/$B$4^2+C1383^2/$B$5^2+D1383^2/$B$6^2)&lt;=1)</x:f>
        <x:v>1</x:v>
      </x:c>
      <x:c r="F1383" s="42" t="n">
        <x:f>$B$8*SUM($E$18:E1383)/A1383</x:f>
        <x:v>99.79502196193265</x:v>
      </x:c>
      <x:c r="G1383" s="42" t="n">
        <x:f>$B$11</x:f>
        <x:v>100.53096491487338</x:v>
      </x:c>
      <x:c r="I1383" t="n">
        <x:f>A1383</x:f>
        <x:v>1366</x:v>
      </x:c>
      <x:c r="J1383" t="n">
        <x:f>F1383</x:f>
        <x:v>99.79502196193265</x:v>
      </x:c>
      <x:c r="K1383" t="n">
        <x:f>G1383</x:f>
        <x:v>100.53096491487338</x:v>
      </x:c>
    </x:row>
    <x:row r="1384">
      <x:c r="A1384" t="n">
        <x:v>1367</x:v>
      </x:c>
      <x:c r="B1384" s="40" t="n">
        <x:v>-1.1426943885800536</x:v>
      </x:c>
      <x:c r="C1384" s="40" t="n">
        <x:v>1.164270079116882</x:v>
      </x:c>
      <x:c r="D1384" s="40" t="n">
        <x:v>-0.5771922613734102</x:v>
      </x:c>
      <x:c r="E1384" t="n">
        <x:f>--((B1384^2/$B$4^2+C1384^2/$B$5^2+D1384^2/$B$6^2)&lt;=1)</x:f>
        <x:v>1</x:v>
      </x:c>
      <x:c r="F1384" s="42" t="n">
        <x:f>$B$8*SUM($E$18:E1384)/A1384</x:f>
        <x:v>99.86247256766643</x:v>
      </x:c>
      <x:c r="G1384" s="42" t="n">
        <x:f>$B$11</x:f>
        <x:v>100.53096491487338</x:v>
      </x:c>
      <x:c r="I1384" t="n">
        <x:f>A1384</x:f>
        <x:v>1367</x:v>
      </x:c>
      <x:c r="J1384" t="n">
        <x:f>F1384</x:f>
        <x:v>99.86247256766643</x:v>
      </x:c>
      <x:c r="K1384" t="n">
        <x:f>G1384</x:f>
        <x:v>100.53096491487338</x:v>
      </x:c>
    </x:row>
    <x:row r="1385">
      <x:c r="A1385" t="n">
        <x:v>1368</x:v>
      </x:c>
      <x:c r="B1385" s="40" t="n">
        <x:v>-1.4415053832835172</x:v>
      </x:c>
      <x:c r="C1385" s="40" t="n">
        <x:v>0.8844649372564173</x:v>
      </x:c>
      <x:c r="D1385" s="40" t="n">
        <x:v>2.272487261125657</x:v>
      </x:c>
      <x:c r="E1385" t="n">
        <x:f>--((B1385^2/$B$4^2+C1385^2/$B$5^2+D1385^2/$B$6^2)&lt;=1)</x:f>
        <x:v>1</x:v>
      </x:c>
      <x:c r="F1385" s="42" t="n">
        <x:f>$B$8*SUM($E$18:E1385)/A1385</x:f>
        <x:v>99.9298245614035</x:v>
      </x:c>
      <x:c r="G1385" s="42" t="n">
        <x:f>$B$11</x:f>
        <x:v>100.53096491487338</x:v>
      </x:c>
      <x:c r="I1385" t="n">
        <x:f>A1385</x:f>
        <x:v>1368</x:v>
      </x:c>
      <x:c r="J1385" t="n">
        <x:f>F1385</x:f>
        <x:v>99.9298245614035</x:v>
      </x:c>
      <x:c r="K1385" t="n">
        <x:f>G1385</x:f>
        <x:v>100.53096491487338</x:v>
      </x:c>
    </x:row>
    <x:row r="1386">
      <x:c r="A1386" t="n">
        <x:v>1369</x:v>
      </x:c>
      <x:c r="B1386" s="40" t="n">
        <x:v>-1.2461027879507944</x:v>
      </x:c>
      <x:c r="C1386" s="40" t="n">
        <x:v>-2.1896951719213518</x:v>
      </x:c>
      <x:c r="D1386" s="40" t="n">
        <x:v>2.6258002185145726</x:v>
      </x:c>
      <x:c r="E1386" t="n">
        <x:f>--((B1386^2/$B$4^2+C1386^2/$B$5^2+D1386^2/$B$6^2)&lt;=1)</x:f>
        <x:v>0</x:v>
      </x:c>
      <x:c r="F1386" s="42" t="n">
        <x:f>$B$8*SUM($E$18:E1386)/A1386</x:f>
        <x:v>99.85682980277575</x:v>
      </x:c>
      <x:c r="G1386" s="42" t="n">
        <x:f>$B$11</x:f>
        <x:v>100.53096491487338</x:v>
      </x:c>
      <x:c r="I1386" t="n">
        <x:f>A1386</x:f>
        <x:v>1369</x:v>
      </x:c>
      <x:c r="J1386" t="n">
        <x:f>F1386</x:f>
        <x:v>99.85682980277575</x:v>
      </x:c>
      <x:c r="K1386" t="n">
        <x:f>G1386</x:f>
        <x:v>100.53096491487338</x:v>
      </x:c>
    </x:row>
    <x:row r="1387">
      <x:c r="A1387" t="n">
        <x:v>1370</x:v>
      </x:c>
      <x:c r="B1387" s="40" t="n">
        <x:v>-0.6234356877466078</x:v>
      </x:c>
      <x:c r="C1387" s="40" t="n">
        <x:v>-0.3537487219476394</x:v>
      </x:c>
      <x:c r="D1387" s="40" t="n">
        <x:v>-1.4744247532944552</x:v>
      </x:c>
      <x:c r="E1387" t="n">
        <x:f>--((B1387^2/$B$4^2+C1387^2/$B$5^2+D1387^2/$B$6^2)&lt;=1)</x:f>
        <x:v>1</x:v>
      </x:c>
      <x:c r="F1387" s="42" t="n">
        <x:f>$B$8*SUM($E$18:E1387)/A1387</x:f>
        <x:v>99.92408759124088</x:v>
      </x:c>
      <x:c r="G1387" s="42" t="n">
        <x:f>$B$11</x:f>
        <x:v>100.53096491487338</x:v>
      </x:c>
      <x:c r="I1387" t="n">
        <x:f>A1387</x:f>
        <x:v>1370</x:v>
      </x:c>
      <x:c r="J1387" t="n">
        <x:f>F1387</x:f>
        <x:v>99.92408759124088</x:v>
      </x:c>
      <x:c r="K1387" t="n">
        <x:f>G1387</x:f>
        <x:v>100.53096491487338</x:v>
      </x:c>
    </x:row>
    <x:row r="1388">
      <x:c r="A1388" t="n">
        <x:v>1371</x:v>
      </x:c>
      <x:c r="B1388" s="40" t="n">
        <x:v>-1.6127594027801142</x:v>
      </x:c>
      <x:c r="C1388" s="40" t="n">
        <x:v>2.356236472263541</x:v>
      </x:c>
      <x:c r="D1388" s="40" t="n">
        <x:v>-2.837298310182862</x:v>
      </x:c>
      <x:c r="E1388" t="n">
        <x:f>--((B1388^2/$B$4^2+C1388^2/$B$5^2+D1388^2/$B$6^2)&lt;=1)</x:f>
        <x:v>0</x:v>
      </x:c>
      <x:c r="F1388" s="42" t="n">
        <x:f>$B$8*SUM($E$18:E1388)/A1388</x:f>
        <x:v>99.85120350109409</x:v>
      </x:c>
      <x:c r="G1388" s="42" t="n">
        <x:f>$B$11</x:f>
        <x:v>100.53096491487338</x:v>
      </x:c>
      <x:c r="I1388" t="n">
        <x:f>A1388</x:f>
        <x:v>1371</x:v>
      </x:c>
      <x:c r="J1388" t="n">
        <x:f>F1388</x:f>
        <x:v>99.85120350109409</x:v>
      </x:c>
      <x:c r="K1388" t="n">
        <x:f>G1388</x:f>
        <x:v>100.53096491487338</x:v>
      </x:c>
    </x:row>
    <x:row r="1389">
      <x:c r="A1389" t="n">
        <x:v>1372</x:v>
      </x:c>
      <x:c r="B1389" s="40" t="n">
        <x:v>1.7892791829184178</x:v>
      </x:c>
      <x:c r="C1389" s="40" t="n">
        <x:v>-2.7821659433731485</x:v>
      </x:c>
      <x:c r="D1389" s="40" t="n">
        <x:v>3.9762108931133833</x:v>
      </x:c>
      <x:c r="E1389" t="n">
        <x:f>--((B1389^2/$B$4^2+C1389^2/$B$5^2+D1389^2/$B$6^2)&lt;=1)</x:f>
        <x:v>0</x:v>
      </x:c>
      <x:c r="F1389" s="42" t="n">
        <x:f>$B$8*SUM($E$18:E1389)/A1389</x:f>
        <x:v>99.77842565597668</x:v>
      </x:c>
      <x:c r="G1389" s="42" t="n">
        <x:f>$B$11</x:f>
        <x:v>100.53096491487338</x:v>
      </x:c>
      <x:c r="I1389" t="n">
        <x:f>A1389</x:f>
        <x:v>1372</x:v>
      </x:c>
      <x:c r="J1389" t="n">
        <x:f>F1389</x:f>
        <x:v>99.77842565597668</x:v>
      </x:c>
      <x:c r="K1389" t="n">
        <x:f>G1389</x:f>
        <x:v>100.53096491487338</x:v>
      </x:c>
    </x:row>
    <x:row r="1390">
      <x:c r="A1390" t="n">
        <x:v>1373</x:v>
      </x:c>
      <x:c r="B1390" s="40" t="n">
        <x:v>-0.38002375401673083</x:v>
      </x:c>
      <x:c r="C1390" s="40" t="n">
        <x:v>2.130983678905282</x:v>
      </x:c>
      <x:c r="D1390" s="40" t="n">
        <x:v>-3.758246369989201</x:v>
      </x:c>
      <x:c r="E1390" t="n">
        <x:f>--((B1390^2/$B$4^2+C1390^2/$B$5^2+D1390^2/$B$6^2)&lt;=1)</x:f>
        <x:v>0</x:v>
      </x:c>
      <x:c r="F1390" s="42" t="n">
        <x:f>$B$8*SUM($E$18:E1390)/A1390</x:f>
        <x:v>99.70575382374362</x:v>
      </x:c>
      <x:c r="G1390" s="42" t="n">
        <x:f>$B$11</x:f>
        <x:v>100.53096491487338</x:v>
      </x:c>
      <x:c r="I1390" t="n">
        <x:f>A1390</x:f>
        <x:v>1373</x:v>
      </x:c>
      <x:c r="J1390" t="n">
        <x:f>F1390</x:f>
        <x:v>99.70575382374362</x:v>
      </x:c>
      <x:c r="K1390" t="n">
        <x:f>G1390</x:f>
        <x:v>100.53096491487338</x:v>
      </x:c>
    </x:row>
    <x:row r="1391">
      <x:c r="A1391" t="n">
        <x:v>1374</x:v>
      </x:c>
      <x:c r="B1391" s="40" t="n">
        <x:v>1.235878410026996</x:v>
      </x:c>
      <x:c r="C1391" s="40" t="n">
        <x:v>-2.0209310576151385</x:v>
      </x:c>
      <x:c r="D1391" s="40" t="n">
        <x:v>0.7786873496915439</x:v>
      </x:c>
      <x:c r="E1391" t="n">
        <x:f>--((B1391^2/$B$4^2+C1391^2/$B$5^2+D1391^2/$B$6^2)&lt;=1)</x:f>
        <x:v>1</x:v>
      </x:c>
      <x:c r="F1391" s="42" t="n">
        <x:f>$B$8*SUM($E$18:E1391)/A1391</x:f>
        <x:v>99.77292576419214</x:v>
      </x:c>
      <x:c r="G1391" s="42" t="n">
        <x:f>$B$11</x:f>
        <x:v>100.53096491487338</x:v>
      </x:c>
      <x:c r="I1391" t="n">
        <x:f>A1391</x:f>
        <x:v>1374</x:v>
      </x:c>
      <x:c r="J1391" t="n">
        <x:f>F1391</x:f>
        <x:v>99.77292576419214</x:v>
      </x:c>
      <x:c r="K1391" t="n">
        <x:f>G1391</x:f>
        <x:v>100.53096491487338</x:v>
      </x:c>
    </x:row>
    <x:row r="1392">
      <x:c r="A1392" t="n">
        <x:v>1375</x:v>
      </x:c>
      <x:c r="B1392" s="40" t="n">
        <x:v>1.8976684924353866</x:v>
      </x:c>
      <x:c r="C1392" s="40" t="n">
        <x:v>0.0434917947702953</x:v>
      </x:c>
      <x:c r="D1392" s="40" t="n">
        <x:v>1.2016981934536712</x:v>
      </x:c>
      <x:c r="E1392" t="n">
        <x:f>--((B1392^2/$B$4^2+C1392^2/$B$5^2+D1392^2/$B$6^2)&lt;=1)</x:f>
        <x:v>1</x:v>
      </x:c>
      <x:c r="F1392" s="42" t="n">
        <x:f>$B$8*SUM($E$18:E1392)/A1392</x:f>
        <x:v>99.84</x:v>
      </x:c>
      <x:c r="G1392" s="42" t="n">
        <x:f>$B$11</x:f>
        <x:v>100.53096491487338</x:v>
      </x:c>
      <x:c r="I1392" t="n">
        <x:f>A1392</x:f>
        <x:v>1375</x:v>
      </x:c>
      <x:c r="J1392" t="n">
        <x:f>F1392</x:f>
        <x:v>99.84</x:v>
      </x:c>
      <x:c r="K1392" t="n">
        <x:f>G1392</x:f>
        <x:v>100.53096491487338</x:v>
      </x:c>
    </x:row>
    <x:row r="1393">
      <x:c r="A1393" t="n">
        <x:v>1376</x:v>
      </x:c>
      <x:c r="B1393" s="40" t="n">
        <x:v>-1.6770588799890436</x:v>
      </x:c>
      <x:c r="C1393" s="40" t="n">
        <x:v>-0.4539814264619313</x:v>
      </x:c>
      <x:c r="D1393" s="40" t="n">
        <x:v>1.4543147357571868</x:v>
      </x:c>
      <x:c r="E1393" t="n">
        <x:f>--((B1393^2/$B$4^2+C1393^2/$B$5^2+D1393^2/$B$6^2)&lt;=1)</x:f>
        <x:v>1</x:v>
      </x:c>
      <x:c r="F1393" s="42" t="n">
        <x:f>$B$8*SUM($E$18:E1393)/A1393</x:f>
        <x:v>99.90697674418605</x:v>
      </x:c>
      <x:c r="G1393" s="42" t="n">
        <x:f>$B$11</x:f>
        <x:v>100.53096491487338</x:v>
      </x:c>
      <x:c r="I1393" t="n">
        <x:f>A1393</x:f>
        <x:v>1376</x:v>
      </x:c>
      <x:c r="J1393" t="n">
        <x:f>F1393</x:f>
        <x:v>99.90697674418605</x:v>
      </x:c>
      <x:c r="K1393" t="n">
        <x:f>G1393</x:f>
        <x:v>100.53096491487338</x:v>
      </x:c>
    </x:row>
    <x:row r="1394">
      <x:c r="A1394" t="n">
        <x:v>1377</x:v>
      </x:c>
      <x:c r="B1394" s="40" t="n">
        <x:v>0.6066778717399761</x:v>
      </x:c>
      <x:c r="C1394" s="40" t="n">
        <x:v>-2.939223975951247</x:v>
      </x:c>
      <x:c r="D1394" s="40" t="n">
        <x:v>-1.9549780482472823</x:v>
      </x:c>
      <x:c r="E1394" t="n">
        <x:f>--((B1394^2/$B$4^2+C1394^2/$B$5^2+D1394^2/$B$6^2)&lt;=1)</x:f>
        <x:v>0</x:v>
      </x:c>
      <x:c r="F1394" s="42" t="n">
        <x:f>$B$8*SUM($E$18:E1394)/A1394</x:f>
        <x:v>99.83442265795208</x:v>
      </x:c>
      <x:c r="G1394" s="42" t="n">
        <x:f>$B$11</x:f>
        <x:v>100.53096491487338</x:v>
      </x:c>
      <x:c r="I1394" t="n">
        <x:f>A1394</x:f>
        <x:v>1377</x:v>
      </x:c>
      <x:c r="J1394" t="n">
        <x:f>F1394</x:f>
        <x:v>99.83442265795208</x:v>
      </x:c>
      <x:c r="K1394" t="n">
        <x:f>G1394</x:f>
        <x:v>100.53096491487338</x:v>
      </x:c>
    </x:row>
    <x:row r="1395">
      <x:c r="A1395" t="n">
        <x:v>1378</x:v>
      </x:c>
      <x:c r="B1395" s="40" t="n">
        <x:v>1.485636346964856</x:v>
      </x:c>
      <x:c r="C1395" s="40" t="n">
        <x:v>2.492381622537792</x:v>
      </x:c>
      <x:c r="D1395" s="40" t="n">
        <x:v>1.7726339543908063</x:v>
      </x:c>
      <x:c r="E1395" t="n">
        <x:f>--((B1395^2/$B$4^2+C1395^2/$B$5^2+D1395^2/$B$6^2)&lt;=1)</x:f>
        <x:v>0</x:v>
      </x:c>
      <x:c r="F1395" s="42" t="n">
        <x:f>$B$8*SUM($E$18:E1395)/A1395</x:f>
        <x:v>99.76197387518143</x:v>
      </x:c>
      <x:c r="G1395" s="42" t="n">
        <x:f>$B$11</x:f>
        <x:v>100.53096491487338</x:v>
      </x:c>
      <x:c r="I1395" t="n">
        <x:f>A1395</x:f>
        <x:v>1378</x:v>
      </x:c>
      <x:c r="J1395" t="n">
        <x:f>F1395</x:f>
        <x:v>99.76197387518143</x:v>
      </x:c>
      <x:c r="K1395" t="n">
        <x:f>G1395</x:f>
        <x:v>100.53096491487338</x:v>
      </x:c>
    </x:row>
    <x:row r="1396">
      <x:c r="A1396" t="n">
        <x:v>1379</x:v>
      </x:c>
      <x:c r="B1396" s="40" t="n">
        <x:v>0.5369377358669132</x:v>
      </x:c>
      <x:c r="C1396" s="40" t="n">
        <x:v>-0.27044863599416624</x:v>
      </x:c>
      <x:c r="D1396" s="40" t="n">
        <x:v>-2.2688034937498758</x:v>
      </x:c>
      <x:c r="E1396" t="n">
        <x:f>--((B1396^2/$B$4^2+C1396^2/$B$5^2+D1396^2/$B$6^2)&lt;=1)</x:f>
        <x:v>1</x:v>
      </x:c>
      <x:c r="F1396" s="42" t="n">
        <x:f>$B$8*SUM($E$18:E1396)/A1396</x:f>
        <x:v>99.82886149383611</x:v>
      </x:c>
      <x:c r="G1396" s="42" t="n">
        <x:f>$B$11</x:f>
        <x:v>100.53096491487338</x:v>
      </x:c>
      <x:c r="I1396" t="n">
        <x:f>A1396</x:f>
        <x:v>1379</x:v>
      </x:c>
      <x:c r="J1396" t="n">
        <x:f>F1396</x:f>
        <x:v>99.82886149383611</x:v>
      </x:c>
      <x:c r="K1396" t="n">
        <x:f>G1396</x:f>
        <x:v>100.53096491487338</x:v>
      </x:c>
    </x:row>
    <x:row r="1397">
      <x:c r="A1397" t="n">
        <x:v>1380</x:v>
      </x:c>
      <x:c r="B1397" s="40" t="n">
        <x:v>-0.28389551457034923</x:v>
      </x:c>
      <x:c r="C1397" s="40" t="n">
        <x:v>2.7256096605636895</x:v>
      </x:c>
      <x:c r="D1397" s="40" t="n">
        <x:v>2.6323060460134595</x:v>
      </x:c>
      <x:c r="E1397" t="n">
        <x:f>--((B1397^2/$B$4^2+C1397^2/$B$5^2+D1397^2/$B$6^2)&lt;=1)</x:f>
        <x:v>0</x:v>
      </x:c>
      <x:c r="F1397" s="42" t="n">
        <x:f>$B$8*SUM($E$18:E1397)/A1397</x:f>
        <x:v>99.75652173913043</x:v>
      </x:c>
      <x:c r="G1397" s="42" t="n">
        <x:f>$B$11</x:f>
        <x:v>100.53096491487338</x:v>
      </x:c>
      <x:c r="I1397" t="n">
        <x:f>A1397</x:f>
        <x:v>1380</x:v>
      </x:c>
      <x:c r="J1397" t="n">
        <x:f>F1397</x:f>
        <x:v>99.75652173913043</x:v>
      </x:c>
      <x:c r="K1397" t="n">
        <x:f>G1397</x:f>
        <x:v>100.53096491487338</x:v>
      </x:c>
    </x:row>
    <x:row r="1398">
      <x:c r="A1398" t="n">
        <x:v>1381</x:v>
      </x:c>
      <x:c r="B1398" s="40" t="n">
        <x:v>-0.2756945694482469</x:v>
      </x:c>
      <x:c r="C1398" s="40" t="n">
        <x:v>-1.2795365941246928</x:v>
      </x:c>
      <x:c r="D1398" s="40" t="n">
        <x:v>-2.2470666073229237</x:v>
      </x:c>
      <x:c r="E1398" t="n">
        <x:f>--((B1398^2/$B$4^2+C1398^2/$B$5^2+D1398^2/$B$6^2)&lt;=1)</x:f>
        <x:v>1</x:v>
      </x:c>
      <x:c r="F1398" s="42" t="n">
        <x:f>$B$8*SUM($E$18:E1398)/A1398</x:f>
        <x:v>99.82331643736423</x:v>
      </x:c>
      <x:c r="G1398" s="42" t="n">
        <x:f>$B$11</x:f>
        <x:v>100.53096491487338</x:v>
      </x:c>
      <x:c r="I1398" t="n">
        <x:f>A1398</x:f>
        <x:v>1381</x:v>
      </x:c>
      <x:c r="J1398" t="n">
        <x:f>F1398</x:f>
        <x:v>99.82331643736423</x:v>
      </x:c>
      <x:c r="K1398" t="n">
        <x:f>G1398</x:f>
        <x:v>100.53096491487338</x:v>
      </x:c>
    </x:row>
    <x:row r="1399">
      <x:c r="A1399" t="n">
        <x:v>1382</x:v>
      </x:c>
      <x:c r="B1399" s="40" t="n">
        <x:v>-1.8564044559705644</x:v>
      </x:c>
      <x:c r="C1399" s="40" t="n">
        <x:v>2.197654640495834</x:v>
      </x:c>
      <x:c r="D1399" s="40" t="n">
        <x:v>1.5736482326086199</x:v>
      </x:c>
      <x:c r="E1399" t="n">
        <x:f>--((B1399^2/$B$4^2+C1399^2/$B$5^2+D1399^2/$B$6^2)&lt;=1)</x:f>
        <x:v>0</x:v>
      </x:c>
      <x:c r="F1399" s="42" t="n">
        <x:f>$B$8*SUM($E$18:E1399)/A1399</x:f>
        <x:v>99.75108538350217</x:v>
      </x:c>
      <x:c r="G1399" s="42" t="n">
        <x:f>$B$11</x:f>
        <x:v>100.53096491487338</x:v>
      </x:c>
      <x:c r="I1399" t="n">
        <x:f>A1399</x:f>
        <x:v>1382</x:v>
      </x:c>
      <x:c r="J1399" t="n">
        <x:f>F1399</x:f>
        <x:v>99.75108538350217</x:v>
      </x:c>
      <x:c r="K1399" t="n">
        <x:f>G1399</x:f>
        <x:v>100.53096491487338</x:v>
      </x:c>
    </x:row>
    <x:row r="1400">
      <x:c r="A1400" t="n">
        <x:v>1383</x:v>
      </x:c>
      <x:c r="B1400" s="40" t="n">
        <x:v>0.13840300515710124</x:v>
      </x:c>
      <x:c r="C1400" s="40" t="n">
        <x:v>2.534337443973783</x:v>
      </x:c>
      <x:c r="D1400" s="40" t="n">
        <x:v>2.267307886671807</x:v>
      </x:c>
      <x:c r="E1400" t="n">
        <x:f>--((B1400^2/$B$4^2+C1400^2/$B$5^2+D1400^2/$B$6^2)&lt;=1)</x:f>
        <x:v>0</x:v>
      </x:c>
      <x:c r="F1400" s="42" t="n">
        <x:f>$B$8*SUM($E$18:E1400)/A1400</x:f>
        <x:v>99.67895878524946</x:v>
      </x:c>
      <x:c r="G1400" s="42" t="n">
        <x:f>$B$11</x:f>
        <x:v>100.53096491487338</x:v>
      </x:c>
      <x:c r="I1400" t="n">
        <x:f>A1400</x:f>
        <x:v>1383</x:v>
      </x:c>
      <x:c r="J1400" t="n">
        <x:f>F1400</x:f>
        <x:v>99.67895878524946</x:v>
      </x:c>
      <x:c r="K1400" t="n">
        <x:f>G1400</x:f>
        <x:v>100.53096491487338</x:v>
      </x:c>
    </x:row>
    <x:row r="1401">
      <x:c r="A1401" t="n">
        <x:v>1384</x:v>
      </x:c>
      <x:c r="B1401" s="40" t="n">
        <x:v>1.9741719871473897</x:v>
      </x:c>
      <x:c r="C1401" s="40" t="n">
        <x:v>0.340994498224684</x:v>
      </x:c>
      <x:c r="D1401" s="40" t="n">
        <x:v>-2.48843399630249</x:v>
      </x:c>
      <x:c r="E1401" t="n">
        <x:f>--((B1401^2/$B$4^2+C1401^2/$B$5^2+D1401^2/$B$6^2)&lt;=1)</x:f>
        <x:v>0</x:v>
      </x:c>
      <x:c r="F1401" s="42" t="n">
        <x:f>$B$8*SUM($E$18:E1401)/A1401</x:f>
        <x:v>99.60693641618496</x:v>
      </x:c>
      <x:c r="G1401" s="42" t="n">
        <x:f>$B$11</x:f>
        <x:v>100.53096491487338</x:v>
      </x:c>
      <x:c r="I1401" t="n">
        <x:f>A1401</x:f>
        <x:v>1384</x:v>
      </x:c>
      <x:c r="J1401" t="n">
        <x:f>F1401</x:f>
        <x:v>99.60693641618496</x:v>
      </x:c>
      <x:c r="K1401" t="n">
        <x:f>G1401</x:f>
        <x:v>100.53096491487338</x:v>
      </x:c>
    </x:row>
    <x:row r="1402">
      <x:c r="A1402" t="n">
        <x:v>1385</x:v>
      </x:c>
      <x:c r="B1402" s="40" t="n">
        <x:v>1.8348301038877364</x:v>
      </x:c>
      <x:c r="C1402" s="40" t="n">
        <x:v>-1.783933272793695</x:v>
      </x:c>
      <x:c r="D1402" s="40" t="n">
        <x:v>-2.096108098939178</x:v>
      </x:c>
      <x:c r="E1402" t="n">
        <x:f>--((B1402^2/$B$4^2+C1402^2/$B$5^2+D1402^2/$B$6^2)&lt;=1)</x:f>
        <x:v>0</x:v>
      </x:c>
      <x:c r="F1402" s="42" t="n">
        <x:f>$B$8*SUM($E$18:E1402)/A1402</x:f>
        <x:v>99.53501805054151</x:v>
      </x:c>
      <x:c r="G1402" s="42" t="n">
        <x:f>$B$11</x:f>
        <x:v>100.53096491487338</x:v>
      </x:c>
      <x:c r="I1402" t="n">
        <x:f>A1402</x:f>
        <x:v>1385</x:v>
      </x:c>
      <x:c r="J1402" t="n">
        <x:f>F1402</x:f>
        <x:v>99.53501805054151</x:v>
      </x:c>
      <x:c r="K1402" t="n">
        <x:f>G1402</x:f>
        <x:v>100.53096491487338</x:v>
      </x:c>
    </x:row>
    <x:row r="1403">
      <x:c r="A1403" t="n">
        <x:v>1386</x:v>
      </x:c>
      <x:c r="B1403" s="40" t="n">
        <x:v>-1.8384030846313473</x:v>
      </x:c>
      <x:c r="C1403" s="40" t="n">
        <x:v>1.1114845926343202</x:v>
      </x:c>
      <x:c r="D1403" s="40" t="n">
        <x:v>2.232829909874935</x:v>
      </x:c>
      <x:c r="E1403" t="n">
        <x:f>--((B1403^2/$B$4^2+C1403^2/$B$5^2+D1403^2/$B$6^2)&lt;=1)</x:f>
        <x:v>0</x:v>
      </x:c>
      <x:c r="F1403" s="42" t="n">
        <x:f>$B$8*SUM($E$18:E1403)/A1403</x:f>
        <x:v>99.46320346320347</x:v>
      </x:c>
      <x:c r="G1403" s="42" t="n">
        <x:f>$B$11</x:f>
        <x:v>100.53096491487338</x:v>
      </x:c>
      <x:c r="I1403" t="n">
        <x:f>A1403</x:f>
        <x:v>1386</x:v>
      </x:c>
      <x:c r="J1403" t="n">
        <x:f>F1403</x:f>
        <x:v>99.46320346320347</x:v>
      </x:c>
      <x:c r="K1403" t="n">
        <x:f>G1403</x:f>
        <x:v>100.53096491487338</x:v>
      </x:c>
    </x:row>
    <x:row r="1404">
      <x:c r="A1404" t="n">
        <x:v>1387</x:v>
      </x:c>
      <x:c r="B1404" s="40" t="n">
        <x:v>0.8231880145179526</x:v>
      </x:c>
      <x:c r="C1404" s="40" t="n">
        <x:v>0.2938683991767608</x:v>
      </x:c>
      <x:c r="D1404" s="40" t="n">
        <x:v>-3.312008226920377</x:v>
      </x:c>
      <x:c r="E1404" t="n">
        <x:f>--((B1404^2/$B$4^2+C1404^2/$B$5^2+D1404^2/$B$6^2)&lt;=1)</x:f>
        <x:v>1</x:v>
      </x:c>
      <x:c r="F1404" s="42" t="n">
        <x:f>$B$8*SUM($E$18:E1404)/A1404</x:f>
        <x:v>99.52992069214132</x:v>
      </x:c>
      <x:c r="G1404" s="42" t="n">
        <x:f>$B$11</x:f>
        <x:v>100.53096491487338</x:v>
      </x:c>
      <x:c r="I1404" t="n">
        <x:f>A1404</x:f>
        <x:v>1387</x:v>
      </x:c>
      <x:c r="J1404" t="n">
        <x:f>F1404</x:f>
        <x:v>99.52992069214132</x:v>
      </x:c>
      <x:c r="K1404" t="n">
        <x:f>G1404</x:f>
        <x:v>100.53096491487338</x:v>
      </x:c>
    </x:row>
    <x:row r="1405">
      <x:c r="A1405" t="n">
        <x:v>1388</x:v>
      </x:c>
      <x:c r="B1405" s="40" t="n">
        <x:v>-0.7929405332122768</x:v>
      </x:c>
      <x:c r="C1405" s="40" t="n">
        <x:v>2.6671779951157557</x:v>
      </x:c>
      <x:c r="D1405" s="40" t="n">
        <x:v>-2.473912380266687</x:v>
      </x:c>
      <x:c r="E1405" t="n">
        <x:f>--((B1405^2/$B$4^2+C1405^2/$B$5^2+D1405^2/$B$6^2)&lt;=1)</x:f>
        <x:v>0</x:v>
      </x:c>
      <x:c r="F1405" s="42" t="n">
        <x:f>$B$8*SUM($E$18:E1405)/A1405</x:f>
        <x:v>99.45821325648414</x:v>
      </x:c>
      <x:c r="G1405" s="42" t="n">
        <x:f>$B$11</x:f>
        <x:v>100.53096491487338</x:v>
      </x:c>
      <x:c r="I1405" t="n">
        <x:f>A1405</x:f>
        <x:v>1388</x:v>
      </x:c>
      <x:c r="J1405" t="n">
        <x:f>F1405</x:f>
        <x:v>99.45821325648414</x:v>
      </x:c>
      <x:c r="K1405" t="n">
        <x:f>G1405</x:f>
        <x:v>100.53096491487338</x:v>
      </x:c>
    </x:row>
    <x:row r="1406">
      <x:c r="A1406" t="n">
        <x:v>1389</x:v>
      </x:c>
      <x:c r="B1406" s="40" t="n">
        <x:v>1.611956613624547</x:v>
      </x:c>
      <x:c r="C1406" s="40" t="n">
        <x:v>-0.3643676291370488</x:v>
      </x:c>
      <x:c r="D1406" s="40" t="n">
        <x:v>-0.35575275048067834</x:v>
      </x:c>
      <x:c r="E1406" t="n">
        <x:f>--((B1406^2/$B$4^2+C1406^2/$B$5^2+D1406^2/$B$6^2)&lt;=1)</x:f>
        <x:v>1</x:v>
      </x:c>
      <x:c r="F1406" s="42" t="n">
        <x:f>$B$8*SUM($E$18:E1406)/A1406</x:f>
        <x:v>99.52483801295897</x:v>
      </x:c>
      <x:c r="G1406" s="42" t="n">
        <x:f>$B$11</x:f>
        <x:v>100.53096491487338</x:v>
      </x:c>
      <x:c r="I1406" t="n">
        <x:f>A1406</x:f>
        <x:v>1389</x:v>
      </x:c>
      <x:c r="J1406" t="n">
        <x:f>F1406</x:f>
        <x:v>99.52483801295897</x:v>
      </x:c>
      <x:c r="K1406" t="n">
        <x:f>G1406</x:f>
        <x:v>100.53096491487338</x:v>
      </x:c>
    </x:row>
    <x:row r="1407">
      <x:c r="A1407" t="n">
        <x:v>1390</x:v>
      </x:c>
      <x:c r="B1407" s="40" t="n">
        <x:v>-1.8195410171628859</x:v>
      </x:c>
      <x:c r="C1407" s="40" t="n">
        <x:v>-1.388918114161068</x:v>
      </x:c>
      <x:c r="D1407" s="40" t="n">
        <x:v>3.4414554299581646</x:v>
      </x:c>
      <x:c r="E1407" t="n">
        <x:f>--((B1407^2/$B$4^2+C1407^2/$B$5^2+D1407^2/$B$6^2)&lt;=1)</x:f>
        <x:v>0</x:v>
      </x:c>
      <x:c r="F1407" s="42" t="n">
        <x:f>$B$8*SUM($E$18:E1407)/A1407</x:f>
        <x:v>99.45323741007195</x:v>
      </x:c>
      <x:c r="G1407" s="42" t="n">
        <x:f>$B$11</x:f>
        <x:v>100.53096491487338</x:v>
      </x:c>
      <x:c r="I1407" t="n">
        <x:f>A1407</x:f>
        <x:v>1390</x:v>
      </x:c>
      <x:c r="J1407" t="n">
        <x:f>F1407</x:f>
        <x:v>99.45323741007195</x:v>
      </x:c>
      <x:c r="K1407" t="n">
        <x:f>G1407</x:f>
        <x:v>100.53096491487338</x:v>
      </x:c>
    </x:row>
    <x:row r="1408">
      <x:c r="A1408" t="n">
        <x:v>1391</x:v>
      </x:c>
      <x:c r="B1408" s="40" t="n">
        <x:v>1.7434964080443223</x:v>
      </x:c>
      <x:c r="C1408" s="40" t="n">
        <x:v>-2.1702779910353573</x:v>
      </x:c>
      <x:c r="D1408" s="40" t="n">
        <x:v>0.4950226791440837</x:v>
      </x:c>
      <x:c r="E1408" t="n">
        <x:f>--((B1408^2/$B$4^2+C1408^2/$B$5^2+D1408^2/$B$6^2)&lt;=1)</x:f>
        <x:v>0</x:v>
      </x:c>
      <x:c r="F1408" s="42" t="n">
        <x:f>$B$8*SUM($E$18:E1408)/A1408</x:f>
        <x:v>99.38173975557153</x:v>
      </x:c>
      <x:c r="G1408" s="42" t="n">
        <x:f>$B$11</x:f>
        <x:v>100.53096491487338</x:v>
      </x:c>
      <x:c r="I1408" t="n">
        <x:f>A1408</x:f>
        <x:v>1391</x:v>
      </x:c>
      <x:c r="J1408" t="n">
        <x:f>F1408</x:f>
        <x:v>99.38173975557153</x:v>
      </x:c>
      <x:c r="K1408" t="n">
        <x:f>G1408</x:f>
        <x:v>100.53096491487338</x:v>
      </x:c>
    </x:row>
    <x:row r="1409">
      <x:c r="A1409" t="n">
        <x:v>1392</x:v>
      </x:c>
      <x:c r="B1409" s="40" t="n">
        <x:v>1.3499029751511076</x:v>
      </x:c>
      <x:c r="C1409" s="40" t="n">
        <x:v>1.1918014121200766</x:v>
      </x:c>
      <x:c r="D1409" s="40" t="n">
        <x:v>-0.8985772143341961</x:v>
      </x:c>
      <x:c r="E1409" t="n">
        <x:f>--((B1409^2/$B$4^2+C1409^2/$B$5^2+D1409^2/$B$6^2)&lt;=1)</x:f>
        <x:v>1</x:v>
      </x:c>
      <x:c r="F1409" s="42" t="n">
        <x:f>$B$8*SUM($E$18:E1409)/A1409</x:f>
        <x:v>99.44827586206897</x:v>
      </x:c>
      <x:c r="G1409" s="42" t="n">
        <x:f>$B$11</x:f>
        <x:v>100.53096491487338</x:v>
      </x:c>
      <x:c r="I1409" t="n">
        <x:f>A1409</x:f>
        <x:v>1392</x:v>
      </x:c>
      <x:c r="J1409" t="n">
        <x:f>F1409</x:f>
        <x:v>99.44827586206897</x:v>
      </x:c>
      <x:c r="K1409" t="n">
        <x:f>G1409</x:f>
        <x:v>100.53096491487338</x:v>
      </x:c>
    </x:row>
    <x:row r="1410">
      <x:c r="A1410" t="n">
        <x:v>1393</x:v>
      </x:c>
      <x:c r="B1410" s="40" t="n">
        <x:v>-1.529982470989594</x:v>
      </x:c>
      <x:c r="C1410" s="40" t="n">
        <x:v>2.8446577138834934</x:v>
      </x:c>
      <x:c r="D1410" s="40" t="n">
        <x:v>3.826961777779813</x:v>
      </x:c>
      <x:c r="E1410" t="n">
        <x:f>--((B1410^2/$B$4^2+C1410^2/$B$5^2+D1410^2/$B$6^2)&lt;=1)</x:f>
        <x:v>0</x:v>
      </x:c>
      <x:c r="F1410" s="42" t="n">
        <x:f>$B$8*SUM($E$18:E1410)/A1410</x:f>
        <x:v>99.37688442211055</x:v>
      </x:c>
      <x:c r="G1410" s="42" t="n">
        <x:f>$B$11</x:f>
        <x:v>100.53096491487338</x:v>
      </x:c>
      <x:c r="I1410" t="n">
        <x:f>A1410</x:f>
        <x:v>1393</x:v>
      </x:c>
      <x:c r="J1410" t="n">
        <x:f>F1410</x:f>
        <x:v>99.37688442211055</x:v>
      </x:c>
      <x:c r="K1410" t="n">
        <x:f>G1410</x:f>
        <x:v>100.53096491487338</x:v>
      </x:c>
    </x:row>
    <x:row r="1411">
      <x:c r="A1411" t="n">
        <x:v>1394</x:v>
      </x:c>
      <x:c r="B1411" s="40" t="n">
        <x:v>-1.7607026507308032</x:v>
      </x:c>
      <x:c r="C1411" s="40" t="n">
        <x:v>-2.829937376571609</x:v>
      </x:c>
      <x:c r="D1411" s="40" t="n">
        <x:v>-0.29030955022969174</x:v>
      </x:c>
      <x:c r="E1411" t="n">
        <x:f>--((B1411^2/$B$4^2+C1411^2/$B$5^2+D1411^2/$B$6^2)&lt;=1)</x:f>
        <x:v>0</x:v>
      </x:c>
      <x:c r="F1411" s="42" t="n">
        <x:f>$B$8*SUM($E$18:E1411)/A1411</x:f>
        <x:v>99.30559540889527</x:v>
      </x:c>
      <x:c r="G1411" s="42" t="n">
        <x:f>$B$11</x:f>
        <x:v>100.53096491487338</x:v>
      </x:c>
      <x:c r="I1411" t="n">
        <x:f>A1411</x:f>
        <x:v>1394</x:v>
      </x:c>
      <x:c r="J1411" t="n">
        <x:f>F1411</x:f>
        <x:v>99.30559540889527</x:v>
      </x:c>
      <x:c r="K1411" t="n">
        <x:f>G1411</x:f>
        <x:v>100.53096491487338</x:v>
      </x:c>
    </x:row>
    <x:row r="1412">
      <x:c r="A1412" t="n">
        <x:v>1395</x:v>
      </x:c>
      <x:c r="B1412" s="40" t="n">
        <x:v>1.3388306573077435</x:v>
      </x:c>
      <x:c r="C1412" s="40" t="n">
        <x:v>1.442672128668761</x:v>
      </x:c>
      <x:c r="D1412" s="40" t="n">
        <x:v>-0.5301202105001437</x:v>
      </x:c>
      <x:c r="E1412" t="n">
        <x:f>--((B1412^2/$B$4^2+C1412^2/$B$5^2+D1412^2/$B$6^2)&lt;=1)</x:f>
        <x:v>1</x:v>
      </x:c>
      <x:c r="F1412" s="42" t="n">
        <x:f>$B$8*SUM($E$18:E1412)/A1412</x:f>
        <x:v>99.37204301075269</x:v>
      </x:c>
      <x:c r="G1412" s="42" t="n">
        <x:f>$B$11</x:f>
        <x:v>100.53096491487338</x:v>
      </x:c>
      <x:c r="I1412" t="n">
        <x:f>A1412</x:f>
        <x:v>1395</x:v>
      </x:c>
      <x:c r="J1412" t="n">
        <x:f>F1412</x:f>
        <x:v>99.37204301075269</x:v>
      </x:c>
      <x:c r="K1412" t="n">
        <x:f>G1412</x:f>
        <x:v>100.53096491487338</x:v>
      </x:c>
    </x:row>
    <x:row r="1413">
      <x:c r="A1413" t="n">
        <x:v>1396</x:v>
      </x:c>
      <x:c r="B1413" s="40" t="n">
        <x:v>-1.3769693161016825</x:v>
      </x:c>
      <x:c r="C1413" s="40" t="n">
        <x:v>2.5615821753579997</x:v>
      </x:c>
      <x:c r="D1413" s="40" t="n">
        <x:v>-0.7068454648982119</x:v>
      </x:c>
      <x:c r="E1413" t="n">
        <x:f>--((B1413^2/$B$4^2+C1413^2/$B$5^2+D1413^2/$B$6^2)&lt;=1)</x:f>
        <x:v>0</x:v>
      </x:c>
      <x:c r="F1413" s="42" t="n">
        <x:f>$B$8*SUM($E$18:E1413)/A1413</x:f>
        <x:v>99.30085959885386</x:v>
      </x:c>
      <x:c r="G1413" s="42" t="n">
        <x:f>$B$11</x:f>
        <x:v>100.53096491487338</x:v>
      </x:c>
      <x:c r="I1413" t="n">
        <x:f>A1413</x:f>
        <x:v>1396</x:v>
      </x:c>
      <x:c r="J1413" t="n">
        <x:f>F1413</x:f>
        <x:v>99.30085959885386</x:v>
      </x:c>
      <x:c r="K1413" t="n">
        <x:f>G1413</x:f>
        <x:v>100.53096491487338</x:v>
      </x:c>
    </x:row>
    <x:row r="1414">
      <x:c r="A1414" t="n">
        <x:v>1397</x:v>
      </x:c>
      <x:c r="B1414" s="40" t="n">
        <x:v>0.13959261190348204</x:v>
      </x:c>
      <x:c r="C1414" s="40" t="n">
        <x:v>-2.5513107946359037</x:v>
      </x:c>
      <x:c r="D1414" s="40" t="n">
        <x:v>-1.50255941914563</x:v>
      </x:c>
      <x:c r="E1414" t="n">
        <x:f>--((B1414^2/$B$4^2+C1414^2/$B$5^2+D1414^2/$B$6^2)&lt;=1)</x:f>
        <x:v>1</x:v>
      </x:c>
      <x:c r="F1414" s="42" t="n">
        <x:f>$B$8*SUM($E$18:E1414)/A1414</x:f>
        <x:v>99.36721546170365</x:v>
      </x:c>
      <x:c r="G1414" s="42" t="n">
        <x:f>$B$11</x:f>
        <x:v>100.53096491487338</x:v>
      </x:c>
      <x:c r="I1414" t="n">
        <x:f>A1414</x:f>
        <x:v>1397</x:v>
      </x:c>
      <x:c r="J1414" t="n">
        <x:f>F1414</x:f>
        <x:v>99.36721546170365</x:v>
      </x:c>
      <x:c r="K1414" t="n">
        <x:f>G1414</x:f>
        <x:v>100.53096491487338</x:v>
      </x:c>
    </x:row>
    <x:row r="1415">
      <x:c r="A1415" t="n">
        <x:v>1398</x:v>
      </x:c>
      <x:c r="B1415" s="40" t="n">
        <x:v>1.662979431514838</x:v>
      </x:c>
      <x:c r="C1415" s="40" t="n">
        <x:v>-2.338979729363201</x:v>
      </x:c>
      <x:c r="D1415" s="40" t="n">
        <x:v>-1.3944415220993251</x:v>
      </x:c>
      <x:c r="E1415" t="n">
        <x:f>--((B1415^2/$B$4^2+C1415^2/$B$5^2+D1415^2/$B$6^2)&lt;=1)</x:f>
        <x:v>0</x:v>
      </x:c>
      <x:c r="F1415" s="42" t="n">
        <x:f>$B$8*SUM($E$18:E1415)/A1415</x:f>
        <x:v>99.29613733905579</x:v>
      </x:c>
      <x:c r="G1415" s="42" t="n">
        <x:f>$B$11</x:f>
        <x:v>100.53096491487338</x:v>
      </x:c>
      <x:c r="I1415" t="n">
        <x:f>A1415</x:f>
        <x:v>1398</x:v>
      </x:c>
      <x:c r="J1415" t="n">
        <x:f>F1415</x:f>
        <x:v>99.29613733905579</x:v>
      </x:c>
      <x:c r="K1415" t="n">
        <x:f>G1415</x:f>
        <x:v>100.53096491487338</x:v>
      </x:c>
    </x:row>
    <x:row r="1416">
      <x:c r="A1416" t="n">
        <x:v>1399</x:v>
      </x:c>
      <x:c r="B1416" s="40" t="n">
        <x:v>0.26979245419729336</x:v>
      </x:c>
      <x:c r="C1416" s="40" t="n">
        <x:v>1.1517425906982517</x:v>
      </x:c>
      <x:c r="D1416" s="40" t="n">
        <x:v>1.5026964794359845</x:v>
      </x:c>
      <x:c r="E1416" t="n">
        <x:f>--((B1416^2/$B$4^2+C1416^2/$B$5^2+D1416^2/$B$6^2)&lt;=1)</x:f>
        <x:v>1</x:v>
      </x:c>
      <x:c r="F1416" s="42" t="n">
        <x:f>$B$8*SUM($E$18:E1416)/A1416</x:f>
        <x:v>99.36240171551108</x:v>
      </x:c>
      <x:c r="G1416" s="42" t="n">
        <x:f>$B$11</x:f>
        <x:v>100.53096491487338</x:v>
      </x:c>
      <x:c r="I1416" t="n">
        <x:f>A1416</x:f>
        <x:v>1399</x:v>
      </x:c>
      <x:c r="J1416" t="n">
        <x:f>F1416</x:f>
        <x:v>99.36240171551108</x:v>
      </x:c>
      <x:c r="K1416" t="n">
        <x:f>G1416</x:f>
        <x:v>100.53096491487338</x:v>
      </x:c>
    </x:row>
    <x:row r="1417">
      <x:c r="A1417" t="n">
        <x:v>1400</x:v>
      </x:c>
      <x:c r="B1417" s="40" t="n">
        <x:v>-0.4110667941087036</x:v>
      </x:c>
      <x:c r="C1417" s="40" t="n">
        <x:v>0.88778025537473</x:v>
      </x:c>
      <x:c r="D1417" s="40" t="n">
        <x:v>-3.673315221264951</x:v>
      </x:c>
      <x:c r="E1417" t="n">
        <x:f>--((B1417^2/$B$4^2+C1417^2/$B$5^2+D1417^2/$B$6^2)&lt;=1)</x:f>
        <x:v>1</x:v>
      </x:c>
      <x:c r="F1417" s="42" t="n">
        <x:f>$B$8*SUM($E$18:E1417)/A1417</x:f>
        <x:v>99.42857142857143</x:v>
      </x:c>
      <x:c r="G1417" s="42" t="n">
        <x:f>$B$11</x:f>
        <x:v>100.53096491487338</x:v>
      </x:c>
      <x:c r="I1417" t="n">
        <x:f>A1417</x:f>
        <x:v>1400</x:v>
      </x:c>
      <x:c r="J1417" t="n">
        <x:f>F1417</x:f>
        <x:v>99.42857142857143</x:v>
      </x:c>
      <x:c r="K1417" t="n">
        <x:f>G1417</x:f>
        <x:v>100.53096491487338</x:v>
      </x:c>
    </x:row>
    <x:row r="1418">
      <x:c r="A1418" t="n">
        <x:v>1401</x:v>
      </x:c>
      <x:c r="B1418" s="40" t="n">
        <x:v>-0.21993578058403118</x:v>
      </x:c>
      <x:c r="C1418" s="40" t="n">
        <x:v>-2.5870355081025256</x:v>
      </x:c>
      <x:c r="D1418" s="40" t="n">
        <x:v>1.4545338051705512</x:v>
      </x:c>
      <x:c r="E1418" t="n">
        <x:f>--((B1418^2/$B$4^2+C1418^2/$B$5^2+D1418^2/$B$6^2)&lt;=1)</x:f>
        <x:v>1</x:v>
      </x:c>
      <x:c r="F1418" s="42" t="n">
        <x:f>$B$8*SUM($E$18:E1418)/A1418</x:f>
        <x:v>99.49464668094218</x:v>
      </x:c>
      <x:c r="G1418" s="42" t="n">
        <x:f>$B$11</x:f>
        <x:v>100.53096491487338</x:v>
      </x:c>
      <x:c r="I1418" t="n">
        <x:f>A1418</x:f>
        <x:v>1401</x:v>
      </x:c>
      <x:c r="J1418" t="n">
        <x:f>F1418</x:f>
        <x:v>99.49464668094218</x:v>
      </x:c>
      <x:c r="K1418" t="n">
        <x:f>G1418</x:f>
        <x:v>100.53096491487338</x:v>
      </x:c>
    </x:row>
    <x:row r="1419">
      <x:c r="A1419" t="n">
        <x:v>1402</x:v>
      </x:c>
      <x:c r="B1419" s="40" t="n">
        <x:v>-1.747531317184516</x:v>
      </x:c>
      <x:c r="C1419" s="40" t="n">
        <x:v>2.006536512906939</x:v>
      </x:c>
      <x:c r="D1419" s="40" t="n">
        <x:v>-2.3903640149930174</x:v>
      </x:c>
      <x:c r="E1419" t="n">
        <x:f>--((B1419^2/$B$4^2+C1419^2/$B$5^2+D1419^2/$B$6^2)&lt;=1)</x:f>
        <x:v>0</x:v>
      </x:c>
      <x:c r="F1419" s="42" t="n">
        <x:f>$B$8*SUM($E$18:E1419)/A1419</x:f>
        <x:v>99.42368045649073</x:v>
      </x:c>
      <x:c r="G1419" s="42" t="n">
        <x:f>$B$11</x:f>
        <x:v>100.53096491487338</x:v>
      </x:c>
      <x:c r="I1419" t="n">
        <x:f>A1419</x:f>
        <x:v>1402</x:v>
      </x:c>
      <x:c r="J1419" t="n">
        <x:f>F1419</x:f>
        <x:v>99.42368045649073</x:v>
      </x:c>
      <x:c r="K1419" t="n">
        <x:f>G1419</x:f>
        <x:v>100.53096491487338</x:v>
      </x:c>
    </x:row>
    <x:row r="1420">
      <x:c r="A1420" t="n">
        <x:v>1403</x:v>
      </x:c>
      <x:c r="B1420" s="40" t="n">
        <x:v>1.8750092854463953</x:v>
      </x:c>
      <x:c r="C1420" s="40" t="n">
        <x:v>0.14054308706935448</x:v>
      </x:c>
      <x:c r="D1420" s="40" t="n">
        <x:v>-0.9263359743640569</x:v>
      </x:c>
      <x:c r="E1420" t="n">
        <x:f>--((B1420^2/$B$4^2+C1420^2/$B$5^2+D1420^2/$B$6^2)&lt;=1)</x:f>
        <x:v>1</x:v>
      </x:c>
      <x:c r="F1420" s="42" t="n">
        <x:f>$B$8*SUM($E$18:E1420)/A1420</x:f>
        <x:v>99.48966500356379</x:v>
      </x:c>
      <x:c r="G1420" s="42" t="n">
        <x:f>$B$11</x:f>
        <x:v>100.53096491487338</x:v>
      </x:c>
      <x:c r="I1420" t="n">
        <x:f>A1420</x:f>
        <x:v>1403</x:v>
      </x:c>
      <x:c r="J1420" t="n">
        <x:f>F1420</x:f>
        <x:v>99.48966500356379</x:v>
      </x:c>
      <x:c r="K1420" t="n">
        <x:f>G1420</x:f>
        <x:v>100.53096491487338</x:v>
      </x:c>
    </x:row>
    <x:row r="1421">
      <x:c r="A1421" t="n">
        <x:v>1404</x:v>
      </x:c>
      <x:c r="B1421" s="40" t="n">
        <x:v>-0.7573832596756689</x:v>
      </x:c>
      <x:c r="C1421" s="40" t="n">
        <x:v>2.4431842400196757</x:v>
      </x:c>
      <x:c r="D1421" s="40" t="n">
        <x:v>-2.827688219517344</x:v>
      </x:c>
      <x:c r="E1421" t="n">
        <x:f>--((B1421^2/$B$4^2+C1421^2/$B$5^2+D1421^2/$B$6^2)&lt;=1)</x:f>
        <x:v>0</x:v>
      </x:c>
      <x:c r="F1421" s="42" t="n">
        <x:f>$B$8*SUM($E$18:E1421)/A1421</x:f>
        <x:v>99.41880341880342</x:v>
      </x:c>
      <x:c r="G1421" s="42" t="n">
        <x:f>$B$11</x:f>
        <x:v>100.53096491487338</x:v>
      </x:c>
      <x:c r="I1421" t="n">
        <x:f>A1421</x:f>
        <x:v>1404</x:v>
      </x:c>
      <x:c r="J1421" t="n">
        <x:f>F1421</x:f>
        <x:v>99.41880341880342</x:v>
      </x:c>
      <x:c r="K1421" t="n">
        <x:f>G1421</x:f>
        <x:v>100.53096491487338</x:v>
      </x:c>
    </x:row>
    <x:row r="1422">
      <x:c r="A1422" t="n">
        <x:v>1405</x:v>
      </x:c>
      <x:c r="B1422" s="40" t="n">
        <x:v>-1.2425460333085847</x:v>
      </x:c>
      <x:c r="C1422" s="40" t="n">
        <x:v>2.267945285956227</x:v>
      </x:c>
      <x:c r="D1422" s="40" t="n">
        <x:v>0.4220083525797582</x:v>
      </x:c>
      <x:c r="E1422" t="n">
        <x:f>--((B1422^2/$B$4^2+C1422^2/$B$5^2+D1422^2/$B$6^2)&lt;=1)</x:f>
        <x:v>1</x:v>
      </x:c>
      <x:c r="F1422" s="42" t="n">
        <x:f>$B$8*SUM($E$18:E1422)/A1422</x:f>
        <x:v>99.4846975088968</x:v>
      </x:c>
      <x:c r="G1422" s="42" t="n">
        <x:f>$B$11</x:f>
        <x:v>100.53096491487338</x:v>
      </x:c>
      <x:c r="I1422" t="n">
        <x:f>A1422</x:f>
        <x:v>1405</x:v>
      </x:c>
      <x:c r="J1422" t="n">
        <x:f>F1422</x:f>
        <x:v>99.4846975088968</x:v>
      </x:c>
      <x:c r="K1422" t="n">
        <x:f>G1422</x:f>
        <x:v>100.53096491487338</x:v>
      </x:c>
    </x:row>
    <x:row r="1423">
      <x:c r="A1423" t="n">
        <x:v>1406</x:v>
      </x:c>
      <x:c r="B1423" s="40" t="n">
        <x:v>-0.8558107926384189</x:v>
      </x:c>
      <x:c r="C1423" s="40" t="n">
        <x:v>1.8750466143009943</x:v>
      </x:c>
      <x:c r="D1423" s="40" t="n">
        <x:v>1.834803559617117</x:v>
      </x:c>
      <x:c r="E1423" t="n">
        <x:f>--((B1423^2/$B$4^2+C1423^2/$B$5^2+D1423^2/$B$6^2)&lt;=1)</x:f>
        <x:v>1</x:v>
      </x:c>
      <x:c r="F1423" s="42" t="n">
        <x:f>$B$8*SUM($E$18:E1423)/A1423</x:f>
        <x:v>99.55049786628734</x:v>
      </x:c>
      <x:c r="G1423" s="42" t="n">
        <x:f>$B$11</x:f>
        <x:v>100.53096491487338</x:v>
      </x:c>
      <x:c r="I1423" t="n">
        <x:f>A1423</x:f>
        <x:v>1406</x:v>
      </x:c>
      <x:c r="J1423" t="n">
        <x:f>F1423</x:f>
        <x:v>99.55049786628734</x:v>
      </x:c>
      <x:c r="K1423" t="n">
        <x:f>G1423</x:f>
        <x:v>100.53096491487338</x:v>
      </x:c>
    </x:row>
    <x:row r="1424">
      <x:c r="A1424" t="n">
        <x:v>1407</x:v>
      </x:c>
      <x:c r="B1424" s="40" t="n">
        <x:v>1.8574927795659155</x:v>
      </x:c>
      <x:c r="C1424" s="40" t="n">
        <x:v>0.09539337746652787</x:v>
      </x:c>
      <x:c r="D1424" s="40" t="n">
        <x:v>-1.1627553915490827</x:v>
      </x:c>
      <x:c r="E1424" t="n">
        <x:f>--((B1424^2/$B$4^2+C1424^2/$B$5^2+D1424^2/$B$6^2)&lt;=1)</x:f>
        <x:v>1</x:v>
      </x:c>
      <x:c r="F1424" s="42" t="n">
        <x:f>$B$8*SUM($E$18:E1424)/A1424</x:f>
        <x:v>99.61620469083155</x:v>
      </x:c>
      <x:c r="G1424" s="42" t="n">
        <x:f>$B$11</x:f>
        <x:v>100.53096491487338</x:v>
      </x:c>
      <x:c r="I1424" t="n">
        <x:f>A1424</x:f>
        <x:v>1407</x:v>
      </x:c>
      <x:c r="J1424" t="n">
        <x:f>F1424</x:f>
        <x:v>99.61620469083155</x:v>
      </x:c>
      <x:c r="K1424" t="n">
        <x:f>G1424</x:f>
        <x:v>100.53096491487338</x:v>
      </x:c>
    </x:row>
    <x:row r="1425">
      <x:c r="A1425" t="n">
        <x:v>1408</x:v>
      </x:c>
      <x:c r="B1425" s="40" t="n">
        <x:v>-1.622855786047972</x:v>
      </x:c>
      <x:c r="C1425" s="40" t="n">
        <x:v>-1.4897361495034065</x:v>
      </x:c>
      <x:c r="D1425" s="40" t="n">
        <x:v>-2.6926673796778964</x:v>
      </x:c>
      <x:c r="E1425" t="n">
        <x:f>--((B1425^2/$B$4^2+C1425^2/$B$5^2+D1425^2/$B$6^2)&lt;=1)</x:f>
        <x:v>0</x:v>
      </x:c>
      <x:c r="F1425" s="42" t="n">
        <x:f>$B$8*SUM($E$18:E1425)/A1425</x:f>
        <x:v>99.54545454545455</x:v>
      </x:c>
      <x:c r="G1425" s="42" t="n">
        <x:f>$B$11</x:f>
        <x:v>100.53096491487338</x:v>
      </x:c>
      <x:c r="I1425" t="n">
        <x:f>A1425</x:f>
        <x:v>1408</x:v>
      </x:c>
      <x:c r="J1425" t="n">
        <x:f>F1425</x:f>
        <x:v>99.54545454545455</x:v>
      </x:c>
      <x:c r="K1425" t="n">
        <x:f>G1425</x:f>
        <x:v>100.53096491487338</x:v>
      </x:c>
    </x:row>
    <x:row r="1426">
      <x:c r="A1426" t="n">
        <x:v>1409</x:v>
      </x:c>
      <x:c r="B1426" s="40" t="n">
        <x:v>1.4692121620047254</x:v>
      </x:c>
      <x:c r="C1426" s="40" t="n">
        <x:v>0.035853023466795086</x:v>
      </x:c>
      <x:c r="D1426" s="40" t="n">
        <x:v>-2.1879553445505957</x:v>
      </x:c>
      <x:c r="E1426" t="n">
        <x:f>--((B1426^2/$B$4^2+C1426^2/$B$5^2+D1426^2/$B$6^2)&lt;=1)</x:f>
        <x:v>1</x:v>
      </x:c>
      <x:c r="F1426" s="42" t="n">
        <x:f>$B$8*SUM($E$18:E1426)/A1426</x:f>
        <x:v>99.611071682044</x:v>
      </x:c>
      <x:c r="G1426" s="42" t="n">
        <x:f>$B$11</x:f>
        <x:v>100.53096491487338</x:v>
      </x:c>
      <x:c r="I1426" t="n">
        <x:f>A1426</x:f>
        <x:v>1409</x:v>
      </x:c>
      <x:c r="J1426" t="n">
        <x:f>F1426</x:f>
        <x:v>99.611071682044</x:v>
      </x:c>
      <x:c r="K1426" t="n">
        <x:f>G1426</x:f>
        <x:v>100.53096491487338</x:v>
      </x:c>
    </x:row>
    <x:row r="1427">
      <x:c r="A1427" t="n">
        <x:v>1410</x:v>
      </x:c>
      <x:c r="B1427" s="40" t="n">
        <x:v>0.8313755776057912</x:v>
      </x:c>
      <x:c r="C1427" s="40" t="n">
        <x:v>-2.3951317331893196</x:v>
      </x:c>
      <x:c r="D1427" s="40" t="n">
        <x:v>2.5449033482045804</x:v>
      </x:c>
      <x:c r="E1427" t="n">
        <x:f>--((B1427^2/$B$4^2+C1427^2/$B$5^2+D1427^2/$B$6^2)&lt;=1)</x:f>
        <x:v>0</x:v>
      </x:c>
      <x:c r="F1427" s="42" t="n">
        <x:f>$B$8*SUM($E$18:E1427)/A1427</x:f>
        <x:v>99.54042553191489</x:v>
      </x:c>
      <x:c r="G1427" s="42" t="n">
        <x:f>$B$11</x:f>
        <x:v>100.53096491487338</x:v>
      </x:c>
      <x:c r="I1427" t="n">
        <x:f>A1427</x:f>
        <x:v>1410</x:v>
      </x:c>
      <x:c r="J1427" t="n">
        <x:f>F1427</x:f>
        <x:v>99.54042553191489</x:v>
      </x:c>
      <x:c r="K1427" t="n">
        <x:f>G1427</x:f>
        <x:v>100.53096491487338</x:v>
      </x:c>
    </x:row>
    <x:row r="1428">
      <x:c r="A1428" t="n">
        <x:v>1411</x:v>
      </x:c>
      <x:c r="B1428" s="40" t="n">
        <x:v>1.3200767166361125</x:v>
      </x:c>
      <x:c r="C1428" s="40" t="n">
        <x:v>0.9530768908405571</x:v>
      </x:c>
      <x:c r="D1428" s="40" t="n">
        <x:v>-1.8588101195211806</x:v>
      </x:c>
      <x:c r="E1428" t="n">
        <x:f>--((B1428^2/$B$4^2+C1428^2/$B$5^2+D1428^2/$B$6^2)&lt;=1)</x:f>
        <x:v>1</x:v>
      </x:c>
      <x:c r="F1428" s="42" t="n">
        <x:f>$B$8*SUM($E$18:E1428)/A1428</x:f>
        <x:v>99.60595322466335</x:v>
      </x:c>
      <x:c r="G1428" s="42" t="n">
        <x:f>$B$11</x:f>
        <x:v>100.53096491487338</x:v>
      </x:c>
      <x:c r="I1428" t="n">
        <x:f>A1428</x:f>
        <x:v>1411</x:v>
      </x:c>
      <x:c r="J1428" t="n">
        <x:f>F1428</x:f>
        <x:v>99.60595322466335</x:v>
      </x:c>
      <x:c r="K1428" t="n">
        <x:f>G1428</x:f>
        <x:v>100.53096491487338</x:v>
      </x:c>
    </x:row>
    <x:row r="1429">
      <x:c r="A1429" t="n">
        <x:v>1412</x:v>
      </x:c>
      <x:c r="B1429" s="40" t="n">
        <x:v>1.9035901614715853</x:v>
      </x:c>
      <x:c r="C1429" s="40" t="n">
        <x:v>-2.1961366846259542</x:v>
      </x:c>
      <x:c r="D1429" s="40" t="n">
        <x:v>2.197620744089817</x:v>
      </x:c>
      <x:c r="E1429" t="n">
        <x:f>--((B1429^2/$B$4^2+C1429^2/$B$5^2+D1429^2/$B$6^2)&lt;=1)</x:f>
        <x:v>0</x:v>
      </x:c>
      <x:c r="F1429" s="42" t="n">
        <x:f>$B$8*SUM($E$18:E1429)/A1429</x:f>
        <x:v>99.53541076487252</x:v>
      </x:c>
      <x:c r="G1429" s="42" t="n">
        <x:f>$B$11</x:f>
        <x:v>100.53096491487338</x:v>
      </x:c>
      <x:c r="I1429" t="n">
        <x:f>A1429</x:f>
        <x:v>1412</x:v>
      </x:c>
      <x:c r="J1429" t="n">
        <x:f>F1429</x:f>
        <x:v>99.53541076487252</x:v>
      </x:c>
      <x:c r="K1429" t="n">
        <x:f>G1429</x:f>
        <x:v>100.53096491487338</x:v>
      </x:c>
    </x:row>
    <x:row r="1430">
      <x:c r="A1430" t="n">
        <x:v>1413</x:v>
      </x:c>
      <x:c r="B1430" s="40" t="n">
        <x:v>1.3686186220674874</x:v>
      </x:c>
      <x:c r="C1430" s="40" t="n">
        <x:v>0.0670377750043385</x:v>
      </x:c>
      <x:c r="D1430" s="40" t="n">
        <x:v>-1.3504047455503114</x:v>
      </x:c>
      <x:c r="E1430" t="n">
        <x:f>--((B1430^2/$B$4^2+C1430^2/$B$5^2+D1430^2/$B$6^2)&lt;=1)</x:f>
        <x:v>1</x:v>
      </x:c>
      <x:c r="F1430" s="42" t="n">
        <x:f>$B$8*SUM($E$18:E1430)/A1430</x:f>
        <x:v>99.60084925690022</x:v>
      </x:c>
      <x:c r="G1430" s="42" t="n">
        <x:f>$B$11</x:f>
        <x:v>100.53096491487338</x:v>
      </x:c>
      <x:c r="I1430" t="n">
        <x:f>A1430</x:f>
        <x:v>1413</x:v>
      </x:c>
      <x:c r="J1430" t="n">
        <x:f>F1430</x:f>
        <x:v>99.60084925690022</x:v>
      </x:c>
      <x:c r="K1430" t="n">
        <x:f>G1430</x:f>
        <x:v>100.53096491487338</x:v>
      </x:c>
    </x:row>
    <x:row r="1431">
      <x:c r="A1431" t="n">
        <x:v>1414</x:v>
      </x:c>
      <x:c r="B1431" s="40" t="n">
        <x:v>1.7735294051114114</x:v>
      </x:c>
      <x:c r="C1431" s="40" t="n">
        <x:v>-2.673708154999093</x:v>
      </x:c>
      <x:c r="D1431" s="40" t="n">
        <x:v>-2.4901395652562996</x:v>
      </x:c>
      <x:c r="E1431" t="n">
        <x:f>--((B1431^2/$B$4^2+C1431^2/$B$5^2+D1431^2/$B$6^2)&lt;=1)</x:f>
        <x:v>0</x:v>
      </x:c>
      <x:c r="F1431" s="42" t="n">
        <x:f>$B$8*SUM($E$18:E1431)/A1431</x:f>
        <x:v>99.53041018387553</x:v>
      </x:c>
      <x:c r="G1431" s="42" t="n">
        <x:f>$B$11</x:f>
        <x:v>100.53096491487338</x:v>
      </x:c>
      <x:c r="I1431" t="n">
        <x:f>A1431</x:f>
        <x:v>1414</x:v>
      </x:c>
      <x:c r="J1431" t="n">
        <x:f>F1431</x:f>
        <x:v>99.53041018387553</x:v>
      </x:c>
      <x:c r="K1431" t="n">
        <x:f>G1431</x:f>
        <x:v>100.53096491487338</x:v>
      </x:c>
    </x:row>
    <x:row r="1432">
      <x:c r="A1432" t="n">
        <x:v>1415</x:v>
      </x:c>
      <x:c r="B1432" s="40" t="n">
        <x:v>-1.492258972836321</x:v>
      </x:c>
      <x:c r="C1432" s="40" t="n">
        <x:v>-1.2029250583521247</x:v>
      </x:c>
      <x:c r="D1432" s="40" t="n">
        <x:v>1.8184684770194481</x:v>
      </x:c>
      <x:c r="E1432" t="n">
        <x:f>--((B1432^2/$B$4^2+C1432^2/$B$5^2+D1432^2/$B$6^2)&lt;=1)</x:f>
        <x:v>1</x:v>
      </x:c>
      <x:c r="F1432" s="42" t="n">
        <x:f>$B$8*SUM($E$18:E1432)/A1432</x:f>
        <x:v>99.5957597173145</x:v>
      </x:c>
      <x:c r="G1432" s="42" t="n">
        <x:f>$B$11</x:f>
        <x:v>100.53096491487338</x:v>
      </x:c>
      <x:c r="I1432" t="n">
        <x:f>A1432</x:f>
        <x:v>1415</x:v>
      </x:c>
      <x:c r="J1432" t="n">
        <x:f>F1432</x:f>
        <x:v>99.5957597173145</x:v>
      </x:c>
      <x:c r="K1432" t="n">
        <x:f>G1432</x:f>
        <x:v>100.53096491487338</x:v>
      </x:c>
    </x:row>
    <x:row r="1433">
      <x:c r="A1433" t="n">
        <x:v>1416</x:v>
      </x:c>
      <x:c r="B1433" s="40" t="n">
        <x:v>1.1831542606678802</x:v>
      </x:c>
      <x:c r="C1433" s="40" t="n">
        <x:v>-1.607517235981273</x:v>
      </x:c>
      <x:c r="D1433" s="40" t="n">
        <x:v>-0.2516397641983463</x:v>
      </x:c>
      <x:c r="E1433" t="n">
        <x:f>--((B1433^2/$B$4^2+C1433^2/$B$5^2+D1433^2/$B$6^2)&lt;=1)</x:f>
        <x:v>1</x:v>
      </x:c>
      <x:c r="F1433" s="42" t="n">
        <x:f>$B$8*SUM($E$18:E1433)/A1433</x:f>
        <x:v>99.66101694915254</x:v>
      </x:c>
      <x:c r="G1433" s="42" t="n">
        <x:f>$B$11</x:f>
        <x:v>100.53096491487338</x:v>
      </x:c>
      <x:c r="I1433" t="n">
        <x:f>A1433</x:f>
        <x:v>1416</x:v>
      </x:c>
      <x:c r="J1433" t="n">
        <x:f>F1433</x:f>
        <x:v>99.66101694915254</x:v>
      </x:c>
      <x:c r="K1433" t="n">
        <x:f>G1433</x:f>
        <x:v>100.53096491487338</x:v>
      </x:c>
    </x:row>
    <x:row r="1434">
      <x:c r="A1434" t="n">
        <x:v>1417</x:v>
      </x:c>
      <x:c r="B1434" s="40" t="n">
        <x:v>0.18270277632419107</x:v>
      </x:c>
      <x:c r="C1434" s="40" t="n">
        <x:v>0.720189256270023</x:v>
      </x:c>
      <x:c r="D1434" s="40" t="n">
        <x:v>-3.7497819898015488</x:v>
      </x:c>
      <x:c r="E1434" t="n">
        <x:f>--((B1434^2/$B$4^2+C1434^2/$B$5^2+D1434^2/$B$6^2)&lt;=1)</x:f>
        <x:v>1</x:v>
      </x:c>
      <x:c r="F1434" s="42" t="n">
        <x:f>$B$8*SUM($E$18:E1434)/A1434</x:f>
        <x:v>99.72618207480593</x:v>
      </x:c>
      <x:c r="G1434" s="42" t="n">
        <x:f>$B$11</x:f>
        <x:v>100.53096491487338</x:v>
      </x:c>
      <x:c r="I1434" t="n">
        <x:f>A1434</x:f>
        <x:v>1417</x:v>
      </x:c>
      <x:c r="J1434" t="n">
        <x:f>F1434</x:f>
        <x:v>99.72618207480593</x:v>
      </x:c>
      <x:c r="K1434" t="n">
        <x:f>G1434</x:f>
        <x:v>100.53096491487338</x:v>
      </x:c>
    </x:row>
    <x:row r="1435">
      <x:c r="A1435" t="n">
        <x:v>1418</x:v>
      </x:c>
      <x:c r="B1435" s="40" t="n">
        <x:v>0.1739823803194427</x:v>
      </x:c>
      <x:c r="C1435" s="40" t="n">
        <x:v>1.7207202721350523</x:v>
      </x:c>
      <x:c r="D1435" s="40" t="n">
        <x:v>3.679539354755189</x:v>
      </x:c>
      <x:c r="E1435" t="n">
        <x:f>--((B1435^2/$B$4^2+C1435^2/$B$5^2+D1435^2/$B$6^2)&lt;=1)</x:f>
        <x:v>0</x:v>
      </x:c>
      <x:c r="F1435" s="42" t="n">
        <x:f>$B$8*SUM($E$18:E1435)/A1435</x:f>
        <x:v>99.6558533145275</x:v>
      </x:c>
      <x:c r="G1435" s="42" t="n">
        <x:f>$B$11</x:f>
        <x:v>100.53096491487338</x:v>
      </x:c>
      <x:c r="I1435" t="n">
        <x:f>A1435</x:f>
        <x:v>1418</x:v>
      </x:c>
      <x:c r="J1435" t="n">
        <x:f>F1435</x:f>
        <x:v>99.6558533145275</x:v>
      </x:c>
      <x:c r="K1435" t="n">
        <x:f>G1435</x:f>
        <x:v>100.53096491487338</x:v>
      </x:c>
    </x:row>
    <x:row r="1436">
      <x:c r="A1436" t="n">
        <x:v>1419</x:v>
      </x:c>
      <x:c r="B1436" s="40" t="n">
        <x:v>1.5956863052820545</x:v>
      </x:c>
      <x:c r="C1436" s="40" t="n">
        <x:v>-2.656182272756843</x:v>
      </x:c>
      <x:c r="D1436" s="40" t="n">
        <x:v>-2.8179724394231407</x:v>
      </x:c>
      <x:c r="E1436" t="n">
        <x:f>--((B1436^2/$B$4^2+C1436^2/$B$5^2+D1436^2/$B$6^2)&lt;=1)</x:f>
        <x:v>0</x:v>
      </x:c>
      <x:c r="F1436" s="42" t="n">
        <x:f>$B$8*SUM($E$18:E1436)/A1436</x:f>
        <x:v>99.58562367864694</x:v>
      </x:c>
      <x:c r="G1436" s="42" t="n">
        <x:f>$B$11</x:f>
        <x:v>100.53096491487338</x:v>
      </x:c>
      <x:c r="I1436" t="n">
        <x:f>A1436</x:f>
        <x:v>1419</x:v>
      </x:c>
      <x:c r="J1436" t="n">
        <x:f>F1436</x:f>
        <x:v>99.58562367864694</x:v>
      </x:c>
      <x:c r="K1436" t="n">
        <x:f>G1436</x:f>
        <x:v>100.53096491487338</x:v>
      </x:c>
    </x:row>
    <x:row r="1437">
      <x:c r="A1437" t="n">
        <x:v>1420</x:v>
      </x:c>
      <x:c r="B1437" s="40" t="n">
        <x:v>1.8872152745868451</x:v>
      </x:c>
      <x:c r="C1437" s="40" t="n">
        <x:v>2.1017021109323055</x:v>
      </x:c>
      <x:c r="D1437" s="40" t="n">
        <x:v>-1.172744188375269</x:v>
      </x:c>
      <x:c r="E1437" t="n">
        <x:f>--((B1437^2/$B$4^2+C1437^2/$B$5^2+D1437^2/$B$6^2)&lt;=1)</x:f>
        <x:v>0</x:v>
      </x:c>
      <x:c r="F1437" s="42" t="n">
        <x:f>$B$8*SUM($E$18:E1437)/A1437</x:f>
        <x:v>99.51549295774647</x:v>
      </x:c>
      <x:c r="G1437" s="42" t="n">
        <x:f>$B$11</x:f>
        <x:v>100.53096491487338</x:v>
      </x:c>
      <x:c r="I1437" t="n">
        <x:f>A1437</x:f>
        <x:v>1420</x:v>
      </x:c>
      <x:c r="J1437" t="n">
        <x:f>F1437</x:f>
        <x:v>99.51549295774647</x:v>
      </x:c>
      <x:c r="K1437" t="n">
        <x:f>G1437</x:f>
        <x:v>100.53096491487338</x:v>
      </x:c>
    </x:row>
    <x:row r="1438">
      <x:c r="A1438" t="n">
        <x:v>1421</x:v>
      </x:c>
      <x:c r="B1438" s="40" t="n">
        <x:v>0.8193532921727238</x:v>
      </x:c>
      <x:c r="C1438" s="40" t="n">
        <x:v>2.1646061697276267</x:v>
      </x:c>
      <x:c r="D1438" s="40" t="n">
        <x:v>-0.9216429200343415</x:v>
      </x:c>
      <x:c r="E1438" t="n">
        <x:f>--((B1438^2/$B$4^2+C1438^2/$B$5^2+D1438^2/$B$6^2)&lt;=1)</x:f>
        <x:v>1</x:v>
      </x:c>
      <x:c r="F1438" s="42" t="n">
        <x:f>$B$8*SUM($E$18:E1438)/A1438</x:f>
        <x:v>99.58057705840957</x:v>
      </x:c>
      <x:c r="G1438" s="42" t="n">
        <x:f>$B$11</x:f>
        <x:v>100.53096491487338</x:v>
      </x:c>
      <x:c r="I1438" t="n">
        <x:f>A1438</x:f>
        <x:v>1421</x:v>
      </x:c>
      <x:c r="J1438" t="n">
        <x:f>F1438</x:f>
        <x:v>99.58057705840957</x:v>
      </x:c>
      <x:c r="K1438" t="n">
        <x:f>G1438</x:f>
        <x:v>100.53096491487338</x:v>
      </x:c>
    </x:row>
    <x:row r="1439">
      <x:c r="A1439" t="n">
        <x:v>1422</x:v>
      </x:c>
      <x:c r="B1439" s="40" t="n">
        <x:v>-0.06824644211286435</x:v>
      </x:c>
      <x:c r="C1439" s="40" t="n">
        <x:v>-0.9463855542718633</x:v>
      </x:c>
      <x:c r="D1439" s="40" t="n">
        <x:v>-0.08456080593269366</x:v>
      </x:c>
      <x:c r="E1439" t="n">
        <x:f>--((B1439^2/$B$4^2+C1439^2/$B$5^2+D1439^2/$B$6^2)&lt;=1)</x:f>
        <x:v>1</x:v>
      </x:c>
      <x:c r="F1439" s="42" t="n">
        <x:f>$B$8*SUM($E$18:E1439)/A1439</x:f>
        <x:v>99.64556962025317</x:v>
      </x:c>
      <x:c r="G1439" s="42" t="n">
        <x:f>$B$11</x:f>
        <x:v>100.53096491487338</x:v>
      </x:c>
      <x:c r="I1439" t="n">
        <x:f>A1439</x:f>
        <x:v>1422</x:v>
      </x:c>
      <x:c r="J1439" t="n">
        <x:f>F1439</x:f>
        <x:v>99.64556962025317</x:v>
      </x:c>
      <x:c r="K1439" t="n">
        <x:f>G1439</x:f>
        <x:v>100.53096491487338</x:v>
      </x:c>
    </x:row>
    <x:row r="1440">
      <x:c r="A1440" t="n">
        <x:v>1423</x:v>
      </x:c>
      <x:c r="B1440" s="40" t="n">
        <x:v>-0.17438456839261862</x:v>
      </x:c>
      <x:c r="C1440" s="40" t="n">
        <x:v>0.954024395821933</x:v>
      </x:c>
      <x:c r="D1440" s="40" t="n">
        <x:v>2.2835521786733652</x:v>
      </x:c>
      <x:c r="E1440" t="n">
        <x:f>--((B1440^2/$B$4^2+C1440^2/$B$5^2+D1440^2/$B$6^2)&lt;=1)</x:f>
        <x:v>1</x:v>
      </x:c>
      <x:c r="F1440" s="42" t="n">
        <x:f>$B$8*SUM($E$18:E1440)/A1440</x:f>
        <x:v>99.71047083626142</x:v>
      </x:c>
      <x:c r="G1440" s="42" t="n">
        <x:f>$B$11</x:f>
        <x:v>100.53096491487338</x:v>
      </x:c>
      <x:c r="I1440" t="n">
        <x:f>A1440</x:f>
        <x:v>1423</x:v>
      </x:c>
      <x:c r="J1440" t="n">
        <x:f>F1440</x:f>
        <x:v>99.71047083626142</x:v>
      </x:c>
      <x:c r="K1440" t="n">
        <x:f>G1440</x:f>
        <x:v>100.53096491487338</x:v>
      </x:c>
    </x:row>
    <x:row r="1441">
      <x:c r="A1441" t="n">
        <x:v>1424</x:v>
      </x:c>
      <x:c r="B1441" s="40" t="n">
        <x:v>-0.4546341711072728</x:v>
      </x:c>
      <x:c r="C1441" s="40" t="n">
        <x:v>-0.5843218097793028</x:v>
      </x:c>
      <x:c r="D1441" s="40" t="n">
        <x:v>-3.951277762598986</x:v>
      </x:c>
      <x:c r="E1441" t="n">
        <x:f>--((B1441^2/$B$4^2+C1441^2/$B$5^2+D1441^2/$B$6^2)&lt;=1)</x:f>
        <x:v>0</x:v>
      </x:c>
      <x:c r="F1441" s="42" t="n">
        <x:f>$B$8*SUM($E$18:E1441)/A1441</x:f>
        <x:v>99.64044943820225</x:v>
      </x:c>
      <x:c r="G1441" s="42" t="n">
        <x:f>$B$11</x:f>
        <x:v>100.53096491487338</x:v>
      </x:c>
      <x:c r="I1441" t="n">
        <x:f>A1441</x:f>
        <x:v>1424</x:v>
      </x:c>
      <x:c r="J1441" t="n">
        <x:f>F1441</x:f>
        <x:v>99.64044943820225</x:v>
      </x:c>
      <x:c r="K1441" t="n">
        <x:f>G1441</x:f>
        <x:v>100.53096491487338</x:v>
      </x:c>
    </x:row>
    <x:row r="1442">
      <x:c r="A1442" t="n">
        <x:v>1425</x:v>
      </x:c>
      <x:c r="B1442" s="40" t="n">
        <x:v>-0.5536038817093494</x:v>
      </x:c>
      <x:c r="C1442" s="40" t="n">
        <x:v>-2.0748547068622107</x:v>
      </x:c>
      <x:c r="D1442" s="40" t="n">
        <x:v>3.4597764106885975</x:v>
      </x:c>
      <x:c r="E1442" t="n">
        <x:f>--((B1442^2/$B$4^2+C1442^2/$B$5^2+D1442^2/$B$6^2)&lt;=1)</x:f>
        <x:v>0</x:v>
      </x:c>
      <x:c r="F1442" s="42" t="n">
        <x:f>$B$8*SUM($E$18:E1442)/A1442</x:f>
        <x:v>99.57052631578948</x:v>
      </x:c>
      <x:c r="G1442" s="42" t="n">
        <x:f>$B$11</x:f>
        <x:v>100.53096491487338</x:v>
      </x:c>
      <x:c r="I1442" t="n">
        <x:f>A1442</x:f>
        <x:v>1425</x:v>
      </x:c>
      <x:c r="J1442" t="n">
        <x:f>F1442</x:f>
        <x:v>99.57052631578948</x:v>
      </x:c>
      <x:c r="K1442" t="n">
        <x:f>G1442</x:f>
        <x:v>100.53096491487338</x:v>
      </x:c>
    </x:row>
    <x:row r="1443">
      <x:c r="A1443" t="n">
        <x:v>1426</x:v>
      </x:c>
      <x:c r="B1443" s="40" t="n">
        <x:v>-0.4339726332622744</x:v>
      </x:c>
      <x:c r="C1443" s="40" t="n">
        <x:v>0.17197451137866215</x:v>
      </x:c>
      <x:c r="D1443" s="40" t="n">
        <x:v>1.1679156816240894</x:v>
      </x:c>
      <x:c r="E1443" t="n">
        <x:f>--((B1443^2/$B$4^2+C1443^2/$B$5^2+D1443^2/$B$6^2)&lt;=1)</x:f>
        <x:v>1</x:v>
      </x:c>
      <x:c r="F1443" s="42" t="n">
        <x:f>$B$8*SUM($E$18:E1443)/A1443</x:f>
        <x:v>99.63534361851332</x:v>
      </x:c>
      <x:c r="G1443" s="42" t="n">
        <x:f>$B$11</x:f>
        <x:v>100.53096491487338</x:v>
      </x:c>
      <x:c r="I1443" t="n">
        <x:f>A1443</x:f>
        <x:v>1426</x:v>
      </x:c>
      <x:c r="J1443" t="n">
        <x:f>F1443</x:f>
        <x:v>99.63534361851332</x:v>
      </x:c>
      <x:c r="K1443" t="n">
        <x:f>G1443</x:f>
        <x:v>100.53096491487338</x:v>
      </x:c>
    </x:row>
    <x:row r="1444">
      <x:c r="A1444" t="n">
        <x:v>1427</x:v>
      </x:c>
      <x:c r="B1444" s="40" t="n">
        <x:v>-1.640987058995219</x:v>
      </x:c>
      <x:c r="C1444" s="40" t="n">
        <x:v>-2.48184195299042</x:v>
      </x:c>
      <x:c r="D1444" s="40" t="n">
        <x:v>3.6051910331914847</x:v>
      </x:c>
      <x:c r="E1444" t="n">
        <x:f>--((B1444^2/$B$4^2+C1444^2/$B$5^2+D1444^2/$B$6^2)&lt;=1)</x:f>
        <x:v>0</x:v>
      </x:c>
      <x:c r="F1444" s="42" t="n">
        <x:f>$B$8*SUM($E$18:E1444)/A1444</x:f>
        <x:v>99.56552207428172</x:v>
      </x:c>
      <x:c r="G1444" s="42" t="n">
        <x:f>$B$11</x:f>
        <x:v>100.53096491487338</x:v>
      </x:c>
      <x:c r="I1444" t="n">
        <x:f>A1444</x:f>
        <x:v>1427</x:v>
      </x:c>
      <x:c r="J1444" t="n">
        <x:f>F1444</x:f>
        <x:v>99.56552207428172</x:v>
      </x:c>
      <x:c r="K1444" t="n">
        <x:f>G1444</x:f>
        <x:v>100.53096491487338</x:v>
      </x:c>
    </x:row>
    <x:row r="1445">
      <x:c r="A1445" t="n">
        <x:v>1428</x:v>
      </x:c>
      <x:c r="B1445" s="40" t="n">
        <x:v>-1.6902556589582471</x:v>
      </x:c>
      <x:c r="C1445" s="40" t="n">
        <x:v>2.270832932375927</x:v>
      </x:c>
      <x:c r="D1445" s="40" t="n">
        <x:v>2.5391162993318863</x:v>
      </x:c>
      <x:c r="E1445" t="n">
        <x:f>--((B1445^2/$B$4^2+C1445^2/$B$5^2+D1445^2/$B$6^2)&lt;=1)</x:f>
        <x:v>0</x:v>
      </x:c>
      <x:c r="F1445" s="42" t="n">
        <x:f>$B$8*SUM($E$18:E1445)/A1445</x:f>
        <x:v>99.49579831932773</x:v>
      </x:c>
      <x:c r="G1445" s="42" t="n">
        <x:f>$B$11</x:f>
        <x:v>100.53096491487338</x:v>
      </x:c>
      <x:c r="I1445" t="n">
        <x:f>A1445</x:f>
        <x:v>1428</x:v>
      </x:c>
      <x:c r="J1445" t="n">
        <x:f>F1445</x:f>
        <x:v>99.49579831932773</x:v>
      </x:c>
      <x:c r="K1445" t="n">
        <x:f>G1445</x:f>
        <x:v>100.53096491487338</x:v>
      </x:c>
    </x:row>
    <x:row r="1446">
      <x:c r="A1446" t="n">
        <x:v>1429</x:v>
      </x:c>
      <x:c r="B1446" s="40" t="n">
        <x:v>1.119479375489247</x:v>
      </x:c>
      <x:c r="C1446" s="40" t="n">
        <x:v>2.5457385564576516</x:v>
      </x:c>
      <x:c r="D1446" s="40" t="n">
        <x:v>3.422705744665735</x:v>
      </x:c>
      <x:c r="E1446" t="n">
        <x:f>--((B1446^2/$B$4^2+C1446^2/$B$5^2+D1446^2/$B$6^2)&lt;=1)</x:f>
        <x:v>0</x:v>
      </x:c>
      <x:c r="F1446" s="42" t="n">
        <x:f>$B$8*SUM($E$18:E1446)/A1446</x:f>
        <x:v>99.42617214835549</x:v>
      </x:c>
      <x:c r="G1446" s="42" t="n">
        <x:f>$B$11</x:f>
        <x:v>100.53096491487338</x:v>
      </x:c>
      <x:c r="I1446" t="n">
        <x:f>A1446</x:f>
        <x:v>1429</x:v>
      </x:c>
      <x:c r="J1446" t="n">
        <x:f>F1446</x:f>
        <x:v>99.42617214835549</x:v>
      </x:c>
      <x:c r="K1446" t="n">
        <x:f>G1446</x:f>
        <x:v>100.53096491487338</x:v>
      </x:c>
    </x:row>
    <x:row r="1447">
      <x:c r="A1447" t="n">
        <x:v>1430</x:v>
      </x:c>
      <x:c r="B1447" s="40" t="n">
        <x:v>-0.21570842831909554</x:v>
      </x:c>
      <x:c r="C1447" s="40" t="n">
        <x:v>1.9296788220684213</x:v>
      </x:c>
      <x:c r="D1447" s="40" t="n">
        <x:v>0.8080044074854245</x:v>
      </x:c>
      <x:c r="E1447" t="n">
        <x:f>--((B1447^2/$B$4^2+C1447^2/$B$5^2+D1447^2/$B$6^2)&lt;=1)</x:f>
        <x:v>1</x:v>
      </x:c>
      <x:c r="F1447" s="42" t="n">
        <x:f>$B$8*SUM($E$18:E1447)/A1447</x:f>
        <x:v>99.49090909090908</x:v>
      </x:c>
      <x:c r="G1447" s="42" t="n">
        <x:f>$B$11</x:f>
        <x:v>100.53096491487338</x:v>
      </x:c>
      <x:c r="I1447" t="n">
        <x:f>A1447</x:f>
        <x:v>1430</x:v>
      </x:c>
      <x:c r="J1447" t="n">
        <x:f>F1447</x:f>
        <x:v>99.49090909090908</x:v>
      </x:c>
      <x:c r="K1447" t="n">
        <x:f>G1447</x:f>
        <x:v>100.53096491487338</x:v>
      </x:c>
    </x:row>
    <x:row r="1448">
      <x:c r="A1448" t="n">
        <x:v>1431</x:v>
      </x:c>
      <x:c r="B1448" s="40" t="n">
        <x:v>1.722737954178482</x:v>
      </x:c>
      <x:c r="C1448" s="40" t="n">
        <x:v>0.3751687245358717</x:v>
      </x:c>
      <x:c r="D1448" s="40" t="n">
        <x:v>-1.1415281369826014</x:v>
      </x:c>
      <x:c r="E1448" t="n">
        <x:f>--((B1448^2/$B$4^2+C1448^2/$B$5^2+D1448^2/$B$6^2)&lt;=1)</x:f>
        <x:v>1</x:v>
      </x:c>
      <x:c r="F1448" s="42" t="n">
        <x:f>$B$8*SUM($E$18:E1448)/A1448</x:f>
        <x:v>99.55555555555556</x:v>
      </x:c>
      <x:c r="G1448" s="42" t="n">
        <x:f>$B$11</x:f>
        <x:v>100.53096491487338</x:v>
      </x:c>
      <x:c r="I1448" t="n">
        <x:f>A1448</x:f>
        <x:v>1431</x:v>
      </x:c>
      <x:c r="J1448" t="n">
        <x:f>F1448</x:f>
        <x:v>99.55555555555556</x:v>
      </x:c>
      <x:c r="K1448" t="n">
        <x:f>G1448</x:f>
        <x:v>100.53096491487338</x:v>
      </x:c>
    </x:row>
    <x:row r="1449">
      <x:c r="A1449" t="n">
        <x:v>1432</x:v>
      </x:c>
      <x:c r="B1449" s="40" t="n">
        <x:v>0.4488840343758098</x:v>
      </x:c>
      <x:c r="C1449" s="40" t="n">
        <x:v>0.34559154675272996</x:v>
      </x:c>
      <x:c r="D1449" s="40" t="n">
        <x:v>-0.45668749509117035</x:v>
      </x:c>
      <x:c r="E1449" t="n">
        <x:f>--((B1449^2/$B$4^2+C1449^2/$B$5^2+D1449^2/$B$6^2)&lt;=1)</x:f>
        <x:v>1</x:v>
      </x:c>
      <x:c r="F1449" s="42" t="n">
        <x:f>$B$8*SUM($E$18:E1449)/A1449</x:f>
        <x:v>99.62011173184358</x:v>
      </x:c>
      <x:c r="G1449" s="42" t="n">
        <x:f>$B$11</x:f>
        <x:v>100.53096491487338</x:v>
      </x:c>
      <x:c r="I1449" t="n">
        <x:f>A1449</x:f>
        <x:v>1432</x:v>
      </x:c>
      <x:c r="J1449" t="n">
        <x:f>F1449</x:f>
        <x:v>99.62011173184358</x:v>
      </x:c>
      <x:c r="K1449" t="n">
        <x:f>G1449</x:f>
        <x:v>100.53096491487338</x:v>
      </x:c>
    </x:row>
    <x:row r="1450">
      <x:c r="A1450" t="n">
        <x:v>1433</x:v>
      </x:c>
      <x:c r="B1450" s="40" t="n">
        <x:v>-1.859296071262321</x:v>
      </x:c>
      <x:c r="C1450" s="40" t="n">
        <x:v>2.907644259605579</x:v>
      </x:c>
      <x:c r="D1450" s="40" t="n">
        <x:v>1.2642584830729033</x:v>
      </x:c>
      <x:c r="E1450" t="n">
        <x:f>--((B1450^2/$B$4^2+C1450^2/$B$5^2+D1450^2/$B$6^2)&lt;=1)</x:f>
        <x:v>0</x:v>
      </x:c>
      <x:c r="F1450" s="42" t="n">
        <x:f>$B$8*SUM($E$18:E1450)/A1450</x:f>
        <x:v>99.55059316120028</x:v>
      </x:c>
      <x:c r="G1450" s="42" t="n">
        <x:f>$B$11</x:f>
        <x:v>100.53096491487338</x:v>
      </x:c>
      <x:c r="I1450" t="n">
        <x:f>A1450</x:f>
        <x:v>1433</x:v>
      </x:c>
      <x:c r="J1450" t="n">
        <x:f>F1450</x:f>
        <x:v>99.55059316120028</x:v>
      </x:c>
      <x:c r="K1450" t="n">
        <x:f>G1450</x:f>
        <x:v>100.53096491487338</x:v>
      </x:c>
    </x:row>
    <x:row r="1451">
      <x:c r="A1451" t="n">
        <x:v>1434</x:v>
      </x:c>
      <x:c r="B1451" s="40" t="n">
        <x:v>-1.3699066347300821</x:v>
      </x:c>
      <x:c r="C1451" s="40" t="n">
        <x:v>-1.5125898610129027</x:v>
      </x:c>
      <x:c r="D1451" s="40" t="n">
        <x:v>-0.5845451218693096</x:v>
      </x:c>
      <x:c r="E1451" t="n">
        <x:f>--((B1451^2/$B$4^2+C1451^2/$B$5^2+D1451^2/$B$6^2)&lt;=1)</x:f>
        <x:v>1</x:v>
      </x:c>
      <x:c r="F1451" s="42" t="n">
        <x:f>$B$8*SUM($E$18:E1451)/A1451</x:f>
        <x:v>99.61506276150628</x:v>
      </x:c>
      <x:c r="G1451" s="42" t="n">
        <x:f>$B$11</x:f>
        <x:v>100.53096491487338</x:v>
      </x:c>
      <x:c r="I1451" t="n">
        <x:f>A1451</x:f>
        <x:v>1434</x:v>
      </x:c>
      <x:c r="J1451" t="n">
        <x:f>F1451</x:f>
        <x:v>99.61506276150628</x:v>
      </x:c>
      <x:c r="K1451" t="n">
        <x:f>G1451</x:f>
        <x:v>100.53096491487338</x:v>
      </x:c>
    </x:row>
    <x:row r="1452">
      <x:c r="A1452" t="n">
        <x:v>1435</x:v>
      </x:c>
      <x:c r="B1452" s="40" t="n">
        <x:v>-1.1767208279479697</x:v>
      </x:c>
      <x:c r="C1452" s="40" t="n">
        <x:v>-2.544309804568755</x:v>
      </x:c>
      <x:c r="D1452" s="40" t="n">
        <x:v>1.8533822677423135</x:v>
      </x:c>
      <x:c r="E1452" t="n">
        <x:f>--((B1452^2/$B$4^2+C1452^2/$B$5^2+D1452^2/$B$6^2)&lt;=1)</x:f>
        <x:v>0</x:v>
      </x:c>
      <x:c r="F1452" s="42" t="n">
        <x:f>$B$8*SUM($E$18:E1452)/A1452</x:f>
        <x:v>99.54564459930313</x:v>
      </x:c>
      <x:c r="G1452" s="42" t="n">
        <x:f>$B$11</x:f>
        <x:v>100.53096491487338</x:v>
      </x:c>
      <x:c r="I1452" t="n">
        <x:f>A1452</x:f>
        <x:v>1435</x:v>
      </x:c>
      <x:c r="J1452" t="n">
        <x:f>F1452</x:f>
        <x:v>99.54564459930313</x:v>
      </x:c>
      <x:c r="K1452" t="n">
        <x:f>G1452</x:f>
        <x:v>100.53096491487338</x:v>
      </x:c>
    </x:row>
    <x:row r="1453">
      <x:c r="A1453" t="n">
        <x:v>1436</x:v>
      </x:c>
      <x:c r="B1453" s="40" t="n">
        <x:v>1.9029440975586422</x:v>
      </x:c>
      <x:c r="C1453" s="40" t="n">
        <x:v>0.37164554160706675</x:v>
      </x:c>
      <x:c r="D1453" s="40" t="n">
        <x:v>-3.2652158713597634</x:v>
      </x:c>
      <x:c r="E1453" t="n">
        <x:f>--((B1453^2/$B$4^2+C1453^2/$B$5^2+D1453^2/$B$6^2)&lt;=1)</x:f>
        <x:v>0</x:v>
      </x:c>
      <x:c r="F1453" s="42" t="n">
        <x:f>$B$8*SUM($E$18:E1453)/A1453</x:f>
        <x:v>99.47632311977716</x:v>
      </x:c>
      <x:c r="G1453" s="42" t="n">
        <x:f>$B$11</x:f>
        <x:v>100.53096491487338</x:v>
      </x:c>
      <x:c r="I1453" t="n">
        <x:f>A1453</x:f>
        <x:v>1436</x:v>
      </x:c>
      <x:c r="J1453" t="n">
        <x:f>F1453</x:f>
        <x:v>99.47632311977716</x:v>
      </x:c>
      <x:c r="K1453" t="n">
        <x:f>G1453</x:f>
        <x:v>100.53096491487338</x:v>
      </x:c>
    </x:row>
    <x:row r="1454">
      <x:c r="A1454" t="n">
        <x:v>1437</x:v>
      </x:c>
      <x:c r="B1454" s="40" t="n">
        <x:v>-1.1251830953934605</x:v>
      </x:c>
      <x:c r="C1454" s="40" t="n">
        <x:v>-1.0272864131393802</x:v>
      </x:c>
      <x:c r="D1454" s="40" t="n">
        <x:v>2.6398931918791098</x:v>
      </x:c>
      <x:c r="E1454" t="n">
        <x:f>--((B1454^2/$B$4^2+C1454^2/$B$5^2+D1454^2/$B$6^2)&lt;=1)</x:f>
        <x:v>1</x:v>
      </x:c>
      <x:c r="F1454" s="42" t="n">
        <x:f>$B$8*SUM($E$18:E1454)/A1454</x:f>
        <x:v>99.54070981210856</x:v>
      </x:c>
      <x:c r="G1454" s="42" t="n">
        <x:f>$B$11</x:f>
        <x:v>100.53096491487338</x:v>
      </x:c>
      <x:c r="I1454" t="n">
        <x:f>A1454</x:f>
        <x:v>1437</x:v>
      </x:c>
      <x:c r="J1454" t="n">
        <x:f>F1454</x:f>
        <x:v>99.54070981210856</x:v>
      </x:c>
      <x:c r="K1454" t="n">
        <x:f>G1454</x:f>
        <x:v>100.53096491487338</x:v>
      </x:c>
    </x:row>
    <x:row r="1455">
      <x:c r="A1455" t="n">
        <x:v>1438</x:v>
      </x:c>
      <x:c r="B1455" s="40" t="n">
        <x:v>0.0630227051522052</x:v>
      </x:c>
      <x:c r="C1455" s="40" t="n">
        <x:v>-1.0659673631517346</x:v>
      </x:c>
      <x:c r="D1455" s="40" t="n">
        <x:v>-2.3664908828639666</x:v>
      </x:c>
      <x:c r="E1455" t="n">
        <x:f>--((B1455^2/$B$4^2+C1455^2/$B$5^2+D1455^2/$B$6^2)&lt;=1)</x:f>
        <x:v>1</x:v>
      </x:c>
      <x:c r="F1455" s="42" t="n">
        <x:f>$B$8*SUM($E$18:E1455)/A1455</x:f>
        <x:v>99.60500695410292</x:v>
      </x:c>
      <x:c r="G1455" s="42" t="n">
        <x:f>$B$11</x:f>
        <x:v>100.53096491487338</x:v>
      </x:c>
      <x:c r="I1455" t="n">
        <x:f>A1455</x:f>
        <x:v>1438</x:v>
      </x:c>
      <x:c r="J1455" t="n">
        <x:f>F1455</x:f>
        <x:v>99.60500695410292</x:v>
      </x:c>
      <x:c r="K1455" t="n">
        <x:f>G1455</x:f>
        <x:v>100.53096491487338</x:v>
      </x:c>
    </x:row>
    <x:row r="1456">
      <x:c r="A1456" t="n">
        <x:v>1439</x:v>
      </x:c>
      <x:c r="B1456" s="40" t="n">
        <x:v>1.7447077265607844</x:v>
      </x:c>
      <x:c r="C1456" s="40" t="n">
        <x:v>-2.9574878749803117</x:v>
      </x:c>
      <x:c r="D1456" s="40" t="n">
        <x:v>3.5515808761977805</x:v>
      </x:c>
      <x:c r="E1456" t="n">
        <x:f>--((B1456^2/$B$4^2+C1456^2/$B$5^2+D1456^2/$B$6^2)&lt;=1)</x:f>
        <x:v>0</x:v>
      </x:c>
      <x:c r="F1456" s="42" t="n">
        <x:f>$B$8*SUM($E$18:E1456)/A1456</x:f>
        <x:v>99.53578874218208</x:v>
      </x:c>
      <x:c r="G1456" s="42" t="n">
        <x:f>$B$11</x:f>
        <x:v>100.53096491487338</x:v>
      </x:c>
      <x:c r="I1456" t="n">
        <x:f>A1456</x:f>
        <x:v>1439</x:v>
      </x:c>
      <x:c r="J1456" t="n">
        <x:f>F1456</x:f>
        <x:v>99.53578874218208</x:v>
      </x:c>
      <x:c r="K1456" t="n">
        <x:f>G1456</x:f>
        <x:v>100.53096491487338</x:v>
      </x:c>
    </x:row>
    <x:row r="1457">
      <x:c r="A1457" t="n">
        <x:v>1440</x:v>
      </x:c>
      <x:c r="B1457" s="40" t="n">
        <x:v>1.9087709196574294</x:v>
      </x:c>
      <x:c r="C1457" s="40" t="n">
        <x:v>0.5774364572875976</x:v>
      </x:c>
      <x:c r="D1457" s="40" t="n">
        <x:v>-2.7556336005018567</x:v>
      </x:c>
      <x:c r="E1457" t="n">
        <x:f>--((B1457^2/$B$4^2+C1457^2/$B$5^2+D1457^2/$B$6^2)&lt;=1)</x:f>
        <x:v>0</x:v>
      </x:c>
      <x:c r="F1457" s="42" t="n">
        <x:f>$B$8*SUM($E$18:E1457)/A1457</x:f>
        <x:v>99.46666666666667</x:v>
      </x:c>
      <x:c r="G1457" s="42" t="n">
        <x:f>$B$11</x:f>
        <x:v>100.53096491487338</x:v>
      </x:c>
      <x:c r="I1457" t="n">
        <x:f>A1457</x:f>
        <x:v>1440</x:v>
      </x:c>
      <x:c r="J1457" t="n">
        <x:f>F1457</x:f>
        <x:v>99.46666666666667</x:v>
      </x:c>
      <x:c r="K1457" t="n">
        <x:f>G1457</x:f>
        <x:v>100.53096491487338</x:v>
      </x:c>
    </x:row>
    <x:row r="1458">
      <x:c r="A1458" t="n">
        <x:v>1441</x:v>
      </x:c>
      <x:c r="B1458" s="40" t="n">
        <x:v>-1.0545582584658217</x:v>
      </x:c>
      <x:c r="C1458" s="40" t="n">
        <x:v>-1.4157977863463156</x:v>
      </x:c>
      <x:c r="D1458" s="40" t="n">
        <x:v>-2.9666864311808174</x:v>
      </x:c>
      <x:c r="E1458" t="n">
        <x:f>--((B1458^2/$B$4^2+C1458^2/$B$5^2+D1458^2/$B$6^2)&lt;=1)</x:f>
        <x:v>0</x:v>
      </x:c>
      <x:c r="F1458" s="42" t="n">
        <x:f>$B$8*SUM($E$18:E1458)/A1458</x:f>
        <x:v>99.39764052741153</x:v>
      </x:c>
      <x:c r="G1458" s="42" t="n">
        <x:f>$B$11</x:f>
        <x:v>100.53096491487338</x:v>
      </x:c>
      <x:c r="I1458" t="n">
        <x:f>A1458</x:f>
        <x:v>1441</x:v>
      </x:c>
      <x:c r="J1458" t="n">
        <x:f>F1458</x:f>
        <x:v>99.39764052741153</x:v>
      </x:c>
      <x:c r="K1458" t="n">
        <x:f>G1458</x:f>
        <x:v>100.53096491487338</x:v>
      </x:c>
    </x:row>
    <x:row r="1459">
      <x:c r="A1459" t="n">
        <x:v>1442</x:v>
      </x:c>
      <x:c r="B1459" s="40" t="n">
        <x:v>-1.8035294249998395</x:v>
      </x:c>
      <x:c r="C1459" s="40" t="n">
        <x:v>-1.872848710843914</x:v>
      </x:c>
      <x:c r="D1459" s="40" t="n">
        <x:v>2.4950088846991427</x:v>
      </x:c>
      <x:c r="E1459" t="n">
        <x:f>--((B1459^2/$B$4^2+C1459^2/$B$5^2+D1459^2/$B$6^2)&lt;=1)</x:f>
        <x:v>0</x:v>
      </x:c>
      <x:c r="F1459" s="42" t="n">
        <x:f>$B$8*SUM($E$18:E1459)/A1459</x:f>
        <x:v>99.32871012482663</x:v>
      </x:c>
      <x:c r="G1459" s="42" t="n">
        <x:f>$B$11</x:f>
        <x:v>100.53096491487338</x:v>
      </x:c>
      <x:c r="I1459" t="n">
        <x:f>A1459</x:f>
        <x:v>1442</x:v>
      </x:c>
      <x:c r="J1459" t="n">
        <x:f>F1459</x:f>
        <x:v>99.32871012482663</x:v>
      </x:c>
      <x:c r="K1459" t="n">
        <x:f>G1459</x:f>
        <x:v>100.53096491487338</x:v>
      </x:c>
    </x:row>
    <x:row r="1460">
      <x:c r="A1460" t="n">
        <x:v>1443</x:v>
      </x:c>
      <x:c r="B1460" s="40" t="n">
        <x:v>-1.385592669848966</x:v>
      </x:c>
      <x:c r="C1460" s="40" t="n">
        <x:v>-2.7574084116419777</x:v>
      </x:c>
      <x:c r="D1460" s="40" t="n">
        <x:v>2.549614621624115</x:v>
      </x:c>
      <x:c r="E1460" t="n">
        <x:f>--((B1460^2/$B$4^2+C1460^2/$B$5^2+D1460^2/$B$6^2)&lt;=1)</x:f>
        <x:v>0</x:v>
      </x:c>
      <x:c r="F1460" s="42" t="n">
        <x:f>$B$8*SUM($E$18:E1460)/A1460</x:f>
        <x:v>99.25987525987526</x:v>
      </x:c>
      <x:c r="G1460" s="42" t="n">
        <x:f>$B$11</x:f>
        <x:v>100.53096491487338</x:v>
      </x:c>
      <x:c r="I1460" t="n">
        <x:f>A1460</x:f>
        <x:v>1443</x:v>
      </x:c>
      <x:c r="J1460" t="n">
        <x:f>F1460</x:f>
        <x:v>99.25987525987526</x:v>
      </x:c>
      <x:c r="K1460" t="n">
        <x:f>G1460</x:f>
        <x:v>100.53096491487338</x:v>
      </x:c>
    </x:row>
    <x:row r="1461">
      <x:c r="A1461" t="n">
        <x:v>1444</x:v>
      </x:c>
      <x:c r="B1461" s="40" t="n">
        <x:v>-1.7466860851897676</x:v>
      </x:c>
      <x:c r="C1461" s="40" t="n">
        <x:v>-0.8138305411463325</x:v>
      </x:c>
      <x:c r="D1461" s="40" t="n">
        <x:v>1.9100753590499782</x:v>
      </x:c>
      <x:c r="E1461" t="n">
        <x:f>--((B1461^2/$B$4^2+C1461^2/$B$5^2+D1461^2/$B$6^2)&lt;=1)</x:f>
        <x:v>0</x:v>
      </x:c>
      <x:c r="F1461" s="42" t="n">
        <x:f>$B$8*SUM($E$18:E1461)/A1461</x:f>
        <x:v>99.19113573407202</x:v>
      </x:c>
      <x:c r="G1461" s="42" t="n">
        <x:f>$B$11</x:f>
        <x:v>100.53096491487338</x:v>
      </x:c>
      <x:c r="I1461" t="n">
        <x:f>A1461</x:f>
        <x:v>1444</x:v>
      </x:c>
      <x:c r="J1461" t="n">
        <x:f>F1461</x:f>
        <x:v>99.19113573407202</x:v>
      </x:c>
      <x:c r="K1461" t="n">
        <x:f>G1461</x:f>
        <x:v>100.53096491487338</x:v>
      </x:c>
    </x:row>
    <x:row r="1462">
      <x:c r="A1462" t="n">
        <x:v>1445</x:v>
      </x:c>
      <x:c r="B1462" s="40" t="n">
        <x:v>-1.2195030356306544</x:v>
      </x:c>
      <x:c r="C1462" s="40" t="n">
        <x:v>2.2738132343187445</x:v>
      </x:c>
      <x:c r="D1462" s="40" t="n">
        <x:v>3.684243711237637</x:v>
      </x:c>
      <x:c r="E1462" t="n">
        <x:f>--((B1462^2/$B$4^2+C1462^2/$B$5^2+D1462^2/$B$6^2)&lt;=1)</x:f>
        <x:v>0</x:v>
      </x:c>
      <x:c r="F1462" s="42" t="n">
        <x:f>$B$8*SUM($E$18:E1462)/A1462</x:f>
        <x:v>99.12249134948097</x:v>
      </x:c>
      <x:c r="G1462" s="42" t="n">
        <x:f>$B$11</x:f>
        <x:v>100.53096491487338</x:v>
      </x:c>
      <x:c r="I1462" t="n">
        <x:f>A1462</x:f>
        <x:v>1445</x:v>
      </x:c>
      <x:c r="J1462" t="n">
        <x:f>F1462</x:f>
        <x:v>99.12249134948097</x:v>
      </x:c>
      <x:c r="K1462" t="n">
        <x:f>G1462</x:f>
        <x:v>100.53096491487338</x:v>
      </x:c>
    </x:row>
    <x:row r="1463">
      <x:c r="A1463" t="n">
        <x:v>1446</x:v>
      </x:c>
      <x:c r="B1463" s="40" t="n">
        <x:v>0.27427885881494163</x:v>
      </x:c>
      <x:c r="C1463" s="40" t="n">
        <x:v>-0.979975154415766</x:v>
      </x:c>
      <x:c r="D1463" s="40" t="n">
        <x:v>-1.8356829705166717</x:v>
      </x:c>
      <x:c r="E1463" t="n">
        <x:f>--((B1463^2/$B$4^2+C1463^2/$B$5^2+D1463^2/$B$6^2)&lt;=1)</x:f>
        <x:v>1</x:v>
      </x:c>
      <x:c r="F1463" s="42" t="n">
        <x:f>$B$8*SUM($E$18:E1463)/A1463</x:f>
        <x:v>99.18672199170125</x:v>
      </x:c>
      <x:c r="G1463" s="42" t="n">
        <x:f>$B$11</x:f>
        <x:v>100.53096491487338</x:v>
      </x:c>
      <x:c r="I1463" t="n">
        <x:f>A1463</x:f>
        <x:v>1446</x:v>
      </x:c>
      <x:c r="J1463" t="n">
        <x:f>F1463</x:f>
        <x:v>99.18672199170125</x:v>
      </x:c>
      <x:c r="K1463" t="n">
        <x:f>G1463</x:f>
        <x:v>100.53096491487338</x:v>
      </x:c>
    </x:row>
    <x:row r="1464">
      <x:c r="A1464" t="n">
        <x:v>1447</x:v>
      </x:c>
      <x:c r="B1464" s="40" t="n">
        <x:v>1.6497951851825672</x:v>
      </x:c>
      <x:c r="C1464" s="40" t="n">
        <x:v>1.074445260717562</x:v>
      </x:c>
      <x:c r="D1464" s="40" t="n">
        <x:v>2.6131899119223005</x:v>
      </x:c>
      <x:c r="E1464" t="n">
        <x:f>--((B1464^2/$B$4^2+C1464^2/$B$5^2+D1464^2/$B$6^2)&lt;=1)</x:f>
        <x:v>0</x:v>
      </x:c>
      <x:c r="F1464" s="42" t="n">
        <x:f>$B$8*SUM($E$18:E1464)/A1464</x:f>
        <x:v>99.11817553559088</x:v>
      </x:c>
      <x:c r="G1464" s="42" t="n">
        <x:f>$B$11</x:f>
        <x:v>100.53096491487338</x:v>
      </x:c>
      <x:c r="I1464" t="n">
        <x:f>A1464</x:f>
        <x:v>1447</x:v>
      </x:c>
      <x:c r="J1464" t="n">
        <x:f>F1464</x:f>
        <x:v>99.11817553559088</x:v>
      </x:c>
      <x:c r="K1464" t="n">
        <x:f>G1464</x:f>
        <x:v>100.53096491487338</x:v>
      </x:c>
    </x:row>
    <x:row r="1465">
      <x:c r="A1465" t="n">
        <x:v>1448</x:v>
      </x:c>
      <x:c r="B1465" s="40" t="n">
        <x:v>0.14887553477736004</x:v>
      </x:c>
      <x:c r="C1465" s="40" t="n">
        <x:v>1.5392817804114438</x:v>
      </x:c>
      <x:c r="D1465" s="40" t="n">
        <x:v>-1.1836757596526333</x:v>
      </x:c>
      <x:c r="E1465" t="n">
        <x:f>--((B1465^2/$B$4^2+C1465^2/$B$5^2+D1465^2/$B$6^2)&lt;=1)</x:f>
        <x:v>1</x:v>
      </x:c>
      <x:c r="F1465" s="42" t="n">
        <x:f>$B$8*SUM($E$18:E1465)/A1465</x:f>
        <x:v>99.18232044198895</x:v>
      </x:c>
      <x:c r="G1465" s="42" t="n">
        <x:f>$B$11</x:f>
        <x:v>100.53096491487338</x:v>
      </x:c>
      <x:c r="I1465" t="n">
        <x:f>A1465</x:f>
        <x:v>1448</x:v>
      </x:c>
      <x:c r="J1465" t="n">
        <x:f>F1465</x:f>
        <x:v>99.18232044198895</x:v>
      </x:c>
      <x:c r="K1465" t="n">
        <x:f>G1465</x:f>
        <x:v>100.53096491487338</x:v>
      </x:c>
    </x:row>
    <x:row r="1466">
      <x:c r="A1466" t="n">
        <x:v>1449</x:v>
      </x:c>
      <x:c r="B1466" s="40" t="n">
        <x:v>0.503958226796323</x:v>
      </x:c>
      <x:c r="C1466" s="40" t="n">
        <x:v>-1.0313951448588026</x:v>
      </x:c>
      <x:c r="D1466" s="40" t="n">
        <x:v>0.29918900455472563</x:v>
      </x:c>
      <x:c r="E1466" t="n">
        <x:f>--((B1466^2/$B$4^2+C1466^2/$B$5^2+D1466^2/$B$6^2)&lt;=1)</x:f>
        <x:v>1</x:v>
      </x:c>
      <x:c r="F1466" s="42" t="n">
        <x:f>$B$8*SUM($E$18:E1466)/A1466</x:f>
        <x:v>99.2463768115942</x:v>
      </x:c>
      <x:c r="G1466" s="42" t="n">
        <x:f>$B$11</x:f>
        <x:v>100.53096491487338</x:v>
      </x:c>
      <x:c r="I1466" t="n">
        <x:f>A1466</x:f>
        <x:v>1449</x:v>
      </x:c>
      <x:c r="J1466" t="n">
        <x:f>F1466</x:f>
        <x:v>99.2463768115942</x:v>
      </x:c>
      <x:c r="K1466" t="n">
        <x:f>G1466</x:f>
        <x:v>100.53096491487338</x:v>
      </x:c>
    </x:row>
    <x:row r="1467">
      <x:c r="A1467" t="n">
        <x:v>1450</x:v>
      </x:c>
      <x:c r="B1467" s="40" t="n">
        <x:v>-1.1925309935618356</x:v>
      </x:c>
      <x:c r="C1467" s="40" t="n">
        <x:v>1.9298444100722474</x:v>
      </x:c>
      <x:c r="D1467" s="40" t="n">
        <x:v>-0.4351997623893702</x:v>
      </x:c>
      <x:c r="E1467" t="n">
        <x:f>--((B1467^2/$B$4^2+C1467^2/$B$5^2+D1467^2/$B$6^2)&lt;=1)</x:f>
        <x:v>1</x:v>
      </x:c>
      <x:c r="F1467" s="42" t="n">
        <x:f>$B$8*SUM($E$18:E1467)/A1467</x:f>
        <x:v>99.3103448275862</x:v>
      </x:c>
      <x:c r="G1467" s="42" t="n">
        <x:f>$B$11</x:f>
        <x:v>100.53096491487338</x:v>
      </x:c>
      <x:c r="I1467" t="n">
        <x:f>A1467</x:f>
        <x:v>1450</x:v>
      </x:c>
      <x:c r="J1467" t="n">
        <x:f>F1467</x:f>
        <x:v>99.3103448275862</x:v>
      </x:c>
      <x:c r="K1467" t="n">
        <x:f>G1467</x:f>
        <x:v>100.53096491487338</x:v>
      </x:c>
    </x:row>
    <x:row r="1468">
      <x:c r="A1468" t="n">
        <x:v>1451</x:v>
      </x:c>
      <x:c r="B1468" s="40" t="n">
        <x:v>1.2023344826954006</x:v>
      </x:c>
      <x:c r="C1468" s="40" t="n">
        <x:v>1.1512779580016943</x:v>
      </x:c>
      <x:c r="D1468" s="40" t="n">
        <x:v>-3.953199818611142</x:v>
      </x:c>
      <x:c r="E1468" t="n">
        <x:f>--((B1468^2/$B$4^2+C1468^2/$B$5^2+D1468^2/$B$6^2)&lt;=1)</x:f>
        <x:v>0</x:v>
      </x:c>
      <x:c r="F1468" s="42" t="n">
        <x:f>$B$8*SUM($E$18:E1468)/A1468</x:f>
        <x:v>99.24190213645761</x:v>
      </x:c>
      <x:c r="G1468" s="42" t="n">
        <x:f>$B$11</x:f>
        <x:v>100.53096491487338</x:v>
      </x:c>
      <x:c r="I1468" t="n">
        <x:f>A1468</x:f>
        <x:v>1451</x:v>
      </x:c>
      <x:c r="J1468" t="n">
        <x:f>F1468</x:f>
        <x:v>99.24190213645761</x:v>
      </x:c>
      <x:c r="K1468" t="n">
        <x:f>G1468</x:f>
        <x:v>100.53096491487338</x:v>
      </x:c>
    </x:row>
    <x:row r="1469">
      <x:c r="A1469" t="n">
        <x:v>1452</x:v>
      </x:c>
      <x:c r="B1469" s="40" t="n">
        <x:v>0.47115563402233285</x:v>
      </x:c>
      <x:c r="C1469" s="40" t="n">
        <x:v>0.35545337220570916</x:v>
      </x:c>
      <x:c r="D1469" s="40" t="n">
        <x:v>0.5956975483132618</x:v>
      </x:c>
      <x:c r="E1469" t="n">
        <x:f>--((B1469^2/$B$4^2+C1469^2/$B$5^2+D1469^2/$B$6^2)&lt;=1)</x:f>
        <x:v>1</x:v>
      </x:c>
      <x:c r="F1469" s="42" t="n">
        <x:f>$B$8*SUM($E$18:E1469)/A1469</x:f>
        <x:v>99.30578512396694</x:v>
      </x:c>
      <x:c r="G1469" s="42" t="n">
        <x:f>$B$11</x:f>
        <x:v>100.53096491487338</x:v>
      </x:c>
      <x:c r="I1469" t="n">
        <x:f>A1469</x:f>
        <x:v>1452</x:v>
      </x:c>
      <x:c r="J1469" t="n">
        <x:f>F1469</x:f>
        <x:v>99.30578512396694</x:v>
      </x:c>
      <x:c r="K1469" t="n">
        <x:f>G1469</x:f>
        <x:v>100.53096491487338</x:v>
      </x:c>
    </x:row>
    <x:row r="1470">
      <x:c r="A1470" t="n">
        <x:v>1453</x:v>
      </x:c>
      <x:c r="B1470" s="40" t="n">
        <x:v>1.4565473167708993</x:v>
      </x:c>
      <x:c r="C1470" s="40" t="n">
        <x:v>-2.9940452156962265</x:v>
      </x:c>
      <x:c r="D1470" s="40" t="n">
        <x:v>1.980047102111624</x:v>
      </x:c>
      <x:c r="E1470" t="n">
        <x:f>--((B1470^2/$B$4^2+C1470^2/$B$5^2+D1470^2/$B$6^2)&lt;=1)</x:f>
        <x:v>0</x:v>
      </x:c>
      <x:c r="F1470" s="42" t="n">
        <x:f>$B$8*SUM($E$18:E1470)/A1470</x:f>
        <x:v>99.237439779766</x:v>
      </x:c>
      <x:c r="G1470" s="42" t="n">
        <x:f>$B$11</x:f>
        <x:v>100.53096491487338</x:v>
      </x:c>
      <x:c r="I1470" t="n">
        <x:f>A1470</x:f>
        <x:v>1453</x:v>
      </x:c>
      <x:c r="J1470" t="n">
        <x:f>F1470</x:f>
        <x:v>99.237439779766</x:v>
      </x:c>
      <x:c r="K1470" t="n">
        <x:f>G1470</x:f>
        <x:v>100.53096491487338</x:v>
      </x:c>
    </x:row>
    <x:row r="1471">
      <x:c r="A1471" t="n">
        <x:v>1454</x:v>
      </x:c>
      <x:c r="B1471" s="40" t="n">
        <x:v>1.7953724280231365</x:v>
      </x:c>
      <x:c r="C1471" s="40" t="n">
        <x:v>-2.789455404463151</x:v>
      </x:c>
      <x:c r="D1471" s="40" t="n">
        <x:v>-2.60358093139783</x:v>
      </x:c>
      <x:c r="E1471" t="n">
        <x:f>--((B1471^2/$B$4^2+C1471^2/$B$5^2+D1471^2/$B$6^2)&lt;=1)</x:f>
        <x:v>0</x:v>
      </x:c>
      <x:c r="F1471" s="42" t="n">
        <x:f>$B$8*SUM($E$18:E1471)/A1471</x:f>
        <x:v>99.16918844566713</x:v>
      </x:c>
      <x:c r="G1471" s="42" t="n">
        <x:f>$B$11</x:f>
        <x:v>100.53096491487338</x:v>
      </x:c>
      <x:c r="I1471" t="n">
        <x:f>A1471</x:f>
        <x:v>1454</x:v>
      </x:c>
      <x:c r="J1471" t="n">
        <x:f>F1471</x:f>
        <x:v>99.16918844566713</x:v>
      </x:c>
      <x:c r="K1471" t="n">
        <x:f>G1471</x:f>
        <x:v>100.53096491487338</x:v>
      </x:c>
    </x:row>
    <x:row r="1472">
      <x:c r="A1472" t="n">
        <x:v>1455</x:v>
      </x:c>
      <x:c r="B1472" s="40" t="n">
        <x:v>-0.6083968969736309</x:v>
      </x:c>
      <x:c r="C1472" s="40" t="n">
        <x:v>2.94519506463638</x:v>
      </x:c>
      <x:c r="D1472" s="40" t="n">
        <x:v>3.453246895144299</x:v>
      </x:c>
      <x:c r="E1472" t="n">
        <x:f>--((B1472^2/$B$4^2+C1472^2/$B$5^2+D1472^2/$B$6^2)&lt;=1)</x:f>
        <x:v>0</x:v>
      </x:c>
      <x:c r="F1472" s="42" t="n">
        <x:f>$B$8*SUM($E$18:E1472)/A1472</x:f>
        <x:v>99.10103092783505</x:v>
      </x:c>
      <x:c r="G1472" s="42" t="n">
        <x:f>$B$11</x:f>
        <x:v>100.53096491487338</x:v>
      </x:c>
      <x:c r="I1472" t="n">
        <x:f>A1472</x:f>
        <x:v>1455</x:v>
      </x:c>
      <x:c r="J1472" t="n">
        <x:f>F1472</x:f>
        <x:v>99.10103092783505</x:v>
      </x:c>
      <x:c r="K1472" t="n">
        <x:f>G1472</x:f>
        <x:v>100.53096491487338</x:v>
      </x:c>
    </x:row>
    <x:row r="1473">
      <x:c r="A1473" t="n">
        <x:v>1456</x:v>
      </x:c>
      <x:c r="B1473" s="40" t="n">
        <x:v>-1.6376837658582426</x:v>
      </x:c>
      <x:c r="C1473" s="40" t="n">
        <x:v>1.693703541021356</x:v>
      </x:c>
      <x:c r="D1473" s="40" t="n">
        <x:v>0.24319631534803055</x:v>
      </x:c>
      <x:c r="E1473" t="n">
        <x:f>--((B1473^2/$B$4^2+C1473^2/$B$5^2+D1473^2/$B$6^2)&lt;=1)</x:f>
        <x:v>1</x:v>
      </x:c>
      <x:c r="F1473" s="42" t="n">
        <x:f>$B$8*SUM($E$18:E1473)/A1473</x:f>
        <x:v>99.16483516483517</x:v>
      </x:c>
      <x:c r="G1473" s="42" t="n">
        <x:f>$B$11</x:f>
        <x:v>100.53096491487338</x:v>
      </x:c>
      <x:c r="I1473" t="n">
        <x:f>A1473</x:f>
        <x:v>1456</x:v>
      </x:c>
      <x:c r="J1473" t="n">
        <x:f>F1473</x:f>
        <x:v>99.16483516483517</x:v>
      </x:c>
      <x:c r="K1473" t="n">
        <x:f>G1473</x:f>
        <x:v>100.53096491487338</x:v>
      </x:c>
    </x:row>
    <x:row r="1474">
      <x:c r="A1474" t="n">
        <x:v>1457</x:v>
      </x:c>
      <x:c r="B1474" s="40" t="n">
        <x:v>-1.0962841683328701</x:v>
      </x:c>
      <x:c r="C1474" s="40" t="n">
        <x:v>2.625391552637682</x:v>
      </x:c>
      <x:c r="D1474" s="40" t="n">
        <x:v>-2.574031974791252</x:v>
      </x:c>
      <x:c r="E1474" t="n">
        <x:f>--((B1474^2/$B$4^2+C1474^2/$B$5^2+D1474^2/$B$6^2)&lt;=1)</x:f>
        <x:v>0</x:v>
      </x:c>
      <x:c r="F1474" s="42" t="n">
        <x:f>$B$8*SUM($E$18:E1474)/A1474</x:f>
        <x:v>99.09677419354838</x:v>
      </x:c>
      <x:c r="G1474" s="42" t="n">
        <x:f>$B$11</x:f>
        <x:v>100.53096491487338</x:v>
      </x:c>
      <x:c r="I1474" t="n">
        <x:f>A1474</x:f>
        <x:v>1457</x:v>
      </x:c>
      <x:c r="J1474" t="n">
        <x:f>F1474</x:f>
        <x:v>99.09677419354838</x:v>
      </x:c>
      <x:c r="K1474" t="n">
        <x:f>G1474</x:f>
        <x:v>100.53096491487338</x:v>
      </x:c>
    </x:row>
    <x:row r="1475">
      <x:c r="A1475" t="n">
        <x:v>1458</x:v>
      </x:c>
      <x:c r="B1475" s="40" t="n">
        <x:v>-0.24863373729665117</x:v>
      </x:c>
      <x:c r="C1475" s="40" t="n">
        <x:v>2.4138192295081655</x:v>
      </x:c>
      <x:c r="D1475" s="40" t="n">
        <x:v>1.167580567335082</x:v>
      </x:c>
      <x:c r="E1475" t="n">
        <x:f>--((B1475^2/$B$4^2+C1475^2/$B$5^2+D1475^2/$B$6^2)&lt;=1)</x:f>
        <x:v>1</x:v>
      </x:c>
      <x:c r="F1475" s="42" t="n">
        <x:f>$B$8*SUM($E$18:E1475)/A1475</x:f>
        <x:v>99.1604938271605</x:v>
      </x:c>
      <x:c r="G1475" s="42" t="n">
        <x:f>$B$11</x:f>
        <x:v>100.53096491487338</x:v>
      </x:c>
      <x:c r="I1475" t="n">
        <x:f>A1475</x:f>
        <x:v>1458</x:v>
      </x:c>
      <x:c r="J1475" t="n">
        <x:f>F1475</x:f>
        <x:v>99.1604938271605</x:v>
      </x:c>
      <x:c r="K1475" t="n">
        <x:f>G1475</x:f>
        <x:v>100.53096491487338</x:v>
      </x:c>
    </x:row>
    <x:row r="1476">
      <x:c r="A1476" t="n">
        <x:v>1459</x:v>
      </x:c>
      <x:c r="B1476" s="40" t="n">
        <x:v>1.7827746072978932</x:v>
      </x:c>
      <x:c r="C1476" s="40" t="n">
        <x:v>-2.877342101143495</x:v>
      </x:c>
      <x:c r="D1476" s="40" t="n">
        <x:v>-2.464618331877248</x:v>
      </x:c>
      <x:c r="E1476" t="n">
        <x:f>--((B1476^2/$B$4^2+C1476^2/$B$5^2+D1476^2/$B$6^2)&lt;=1)</x:f>
        <x:v>0</x:v>
      </x:c>
      <x:c r="F1476" s="42" t="n">
        <x:f>$B$8*SUM($E$18:E1476)/A1476</x:f>
        <x:v>99.09252912954078</x:v>
      </x:c>
      <x:c r="G1476" s="42" t="n">
        <x:f>$B$11</x:f>
        <x:v>100.53096491487338</x:v>
      </x:c>
      <x:c r="I1476" t="n">
        <x:f>A1476</x:f>
        <x:v>1459</x:v>
      </x:c>
      <x:c r="J1476" t="n">
        <x:f>F1476</x:f>
        <x:v>99.09252912954078</x:v>
      </x:c>
      <x:c r="K1476" t="n">
        <x:f>G1476</x:f>
        <x:v>100.53096491487338</x:v>
      </x:c>
    </x:row>
    <x:row r="1477">
      <x:c r="A1477" t="n">
        <x:v>1460</x:v>
      </x:c>
      <x:c r="B1477" s="40" t="n">
        <x:v>-0.48676071050633896</x:v>
      </x:c>
      <x:c r="C1477" s="40" t="n">
        <x:v>1.751083738746443</x:v>
      </x:c>
      <x:c r="D1477" s="40" t="n">
        <x:v>-3.4917332136373087</x:v>
      </x:c>
      <x:c r="E1477" t="n">
        <x:f>--((B1477^2/$B$4^2+C1477^2/$B$5^2+D1477^2/$B$6^2)&lt;=1)</x:f>
        <x:v>0</x:v>
      </x:c>
      <x:c r="F1477" s="42" t="n">
        <x:f>$B$8*SUM($E$18:E1477)/A1477</x:f>
        <x:v>99.02465753424657</x:v>
      </x:c>
      <x:c r="G1477" s="42" t="n">
        <x:f>$B$11</x:f>
        <x:v>100.53096491487338</x:v>
      </x:c>
      <x:c r="I1477" t="n">
        <x:f>A1477</x:f>
        <x:v>1460</x:v>
      </x:c>
      <x:c r="J1477" t="n">
        <x:f>F1477</x:f>
        <x:v>99.02465753424657</x:v>
      </x:c>
      <x:c r="K1477" t="n">
        <x:f>G1477</x:f>
        <x:v>100.53096491487338</x:v>
      </x:c>
    </x:row>
    <x:row r="1478">
      <x:c r="A1478" t="n">
        <x:v>1461</x:v>
      </x:c>
      <x:c r="B1478" s="40" t="n">
        <x:v>1.08309285466148</x:v>
      </x:c>
      <x:c r="C1478" s="40" t="n">
        <x:v>-0.29312553593307245</x:v>
      </x:c>
      <x:c r="D1478" s="40" t="n">
        <x:v>1.482521939353938</x:v>
      </x:c>
      <x:c r="E1478" t="n">
        <x:f>--((B1478^2/$B$4^2+C1478^2/$B$5^2+D1478^2/$B$6^2)&lt;=1)</x:f>
        <x:v>1</x:v>
      </x:c>
      <x:c r="F1478" s="42" t="n">
        <x:f>$B$8*SUM($E$18:E1478)/A1478</x:f>
        <x:v>99.08829568788501</x:v>
      </x:c>
      <x:c r="G1478" s="42" t="n">
        <x:f>$B$11</x:f>
        <x:v>100.53096491487338</x:v>
      </x:c>
      <x:c r="I1478" t="n">
        <x:f>A1478</x:f>
        <x:v>1461</x:v>
      </x:c>
      <x:c r="J1478" t="n">
        <x:f>F1478</x:f>
        <x:v>99.08829568788501</x:v>
      </x:c>
      <x:c r="K1478" t="n">
        <x:f>G1478</x:f>
        <x:v>100.53096491487338</x:v>
      </x:c>
    </x:row>
    <x:row r="1479">
      <x:c r="A1479" t="n">
        <x:v>1462</x:v>
      </x:c>
      <x:c r="B1479" s="40" t="n">
        <x:v>0.16190676868302</x:v>
      </x:c>
      <x:c r="C1479" s="40" t="n">
        <x:v>1.7373492240039337</x:v>
      </x:c>
      <x:c r="D1479" s="40" t="n">
        <x:v>-3.114440933556044</x:v>
      </x:c>
      <x:c r="E1479" t="n">
        <x:f>--((B1479^2/$B$4^2+C1479^2/$B$5^2+D1479^2/$B$6^2)&lt;=1)</x:f>
        <x:v>1</x:v>
      </x:c>
      <x:c r="F1479" s="42" t="n">
        <x:f>$B$8*SUM($E$18:E1479)/A1479</x:f>
        <x:v>99.15184678522571</x:v>
      </x:c>
      <x:c r="G1479" s="42" t="n">
        <x:f>$B$11</x:f>
        <x:v>100.53096491487338</x:v>
      </x:c>
      <x:c r="I1479" t="n">
        <x:f>A1479</x:f>
        <x:v>1462</x:v>
      </x:c>
      <x:c r="J1479" t="n">
        <x:f>F1479</x:f>
        <x:v>99.15184678522571</x:v>
      </x:c>
      <x:c r="K1479" t="n">
        <x:f>G1479</x:f>
        <x:v>100.53096491487338</x:v>
      </x:c>
    </x:row>
    <x:row r="1480">
      <x:c r="A1480" t="n">
        <x:v>1463</x:v>
      </x:c>
      <x:c r="B1480" s="40" t="n">
        <x:v>-1.2687649182760938</x:v>
      </x:c>
      <x:c r="C1480" s="40" t="n">
        <x:v>-2.959705295019689</x:v>
      </x:c>
      <x:c r="D1480" s="40" t="n">
        <x:v>-3.1502604129885174</x:v>
      </x:c>
      <x:c r="E1480" t="n">
        <x:f>--((B1480^2/$B$4^2+C1480^2/$B$5^2+D1480^2/$B$6^2)&lt;=1)</x:f>
        <x:v>0</x:v>
      </x:c>
      <x:c r="F1480" s="42" t="n">
        <x:f>$B$8*SUM($E$18:E1480)/A1480</x:f>
        <x:v>99.08407382091593</x:v>
      </x:c>
      <x:c r="G1480" s="42" t="n">
        <x:f>$B$11</x:f>
        <x:v>100.53096491487338</x:v>
      </x:c>
      <x:c r="I1480" t="n">
        <x:f>A1480</x:f>
        <x:v>1463</x:v>
      </x:c>
      <x:c r="J1480" t="n">
        <x:f>F1480</x:f>
        <x:v>99.08407382091593</x:v>
      </x:c>
      <x:c r="K1480" t="n">
        <x:f>G1480</x:f>
        <x:v>100.53096491487338</x:v>
      </x:c>
    </x:row>
    <x:row r="1481">
      <x:c r="A1481" t="n">
        <x:v>1464</x:v>
      </x:c>
      <x:c r="B1481" s="40" t="n">
        <x:v>-0.7170635241861936</x:v>
      </x:c>
      <x:c r="C1481" s="40" t="n">
        <x:v>-1.2708041927966145</x:v>
      </x:c>
      <x:c r="D1481" s="40" t="n">
        <x:v>1.9195485054545065</x:v>
      </x:c>
      <x:c r="E1481" t="n">
        <x:f>--((B1481^2/$B$4^2+C1481^2/$B$5^2+D1481^2/$B$6^2)&lt;=1)</x:f>
        <x:v>1</x:v>
      </x:c>
      <x:c r="F1481" s="42" t="n">
        <x:f>$B$8*SUM($E$18:E1481)/A1481</x:f>
        <x:v>99.14754098360656</x:v>
      </x:c>
      <x:c r="G1481" s="42" t="n">
        <x:f>$B$11</x:f>
        <x:v>100.53096491487338</x:v>
      </x:c>
      <x:c r="I1481" t="n">
        <x:f>A1481</x:f>
        <x:v>1464</x:v>
      </x:c>
      <x:c r="J1481" t="n">
        <x:f>F1481</x:f>
        <x:v>99.14754098360656</x:v>
      </x:c>
      <x:c r="K1481" t="n">
        <x:f>G1481</x:f>
        <x:v>100.53096491487338</x:v>
      </x:c>
    </x:row>
    <x:row r="1482">
      <x:c r="A1482" t="n">
        <x:v>1465</x:v>
      </x:c>
      <x:c r="B1482" s="40" t="n">
        <x:v>0.6127675400912747</x:v>
      </x:c>
      <x:c r="C1482" s="40" t="n">
        <x:v>1.5079426547478132</x:v>
      </x:c>
      <x:c r="D1482" s="40" t="n">
        <x:v>-3.5583821343354307</x:v>
      </x:c>
      <x:c r="E1482" t="n">
        <x:f>--((B1482^2/$B$4^2+C1482^2/$B$5^2+D1482^2/$B$6^2)&lt;=1)</x:f>
        <x:v>0</x:v>
      </x:c>
      <x:c r="F1482" s="42" t="n">
        <x:f>$B$8*SUM($E$18:E1482)/A1482</x:f>
        <x:v>99.07986348122867</x:v>
      </x:c>
      <x:c r="G1482" s="42" t="n">
        <x:f>$B$11</x:f>
        <x:v>100.53096491487338</x:v>
      </x:c>
      <x:c r="I1482" t="n">
        <x:f>A1482</x:f>
        <x:v>1465</x:v>
      </x:c>
      <x:c r="J1482" t="n">
        <x:f>F1482</x:f>
        <x:v>99.07986348122867</x:v>
      </x:c>
      <x:c r="K1482" t="n">
        <x:f>G1482</x:f>
        <x:v>100.53096491487338</x:v>
      </x:c>
    </x:row>
    <x:row r="1483">
      <x:c r="A1483" t="n">
        <x:v>1466</x:v>
      </x:c>
      <x:c r="B1483" s="40" t="n">
        <x:v>0.6914135787395739</x:v>
      </x:c>
      <x:c r="C1483" s="40" t="n">
        <x:v>1.7581247316095387</x:v>
      </x:c>
      <x:c r="D1483" s="40" t="n">
        <x:v>2.478153432383637</x:v>
      </x:c>
      <x:c r="E1483" t="n">
        <x:f>--((B1483^2/$B$4^2+C1483^2/$B$5^2+D1483^2/$B$6^2)&lt;=1)</x:f>
        <x:v>1</x:v>
      </x:c>
      <x:c r="F1483" s="42" t="n">
        <x:f>$B$8*SUM($E$18:E1483)/A1483</x:f>
        <x:v>99.14324693042292</x:v>
      </x:c>
      <x:c r="G1483" s="42" t="n">
        <x:f>$B$11</x:f>
        <x:v>100.53096491487338</x:v>
      </x:c>
      <x:c r="I1483" t="n">
        <x:f>A1483</x:f>
        <x:v>1466</x:v>
      </x:c>
      <x:c r="J1483" t="n">
        <x:f>F1483</x:f>
        <x:v>99.14324693042292</x:v>
      </x:c>
      <x:c r="K1483" t="n">
        <x:f>G1483</x:f>
        <x:v>100.53096491487338</x:v>
      </x:c>
    </x:row>
    <x:row r="1484">
      <x:c r="A1484" t="n">
        <x:v>1467</x:v>
      </x:c>
      <x:c r="B1484" s="40" t="n">
        <x:v>-0.26096101276381534</x:v>
      </x:c>
      <x:c r="C1484" s="40" t="n">
        <x:v>0.7182876072877438</x:v>
      </x:c>
      <x:c r="D1484" s="40" t="n">
        <x:v>2.369190069182621</x:v>
      </x:c>
      <x:c r="E1484" t="n">
        <x:f>--((B1484^2/$B$4^2+C1484^2/$B$5^2+D1484^2/$B$6^2)&lt;=1)</x:f>
        <x:v>1</x:v>
      </x:c>
      <x:c r="F1484" s="42" t="n">
        <x:f>$B$8*SUM($E$18:E1484)/A1484</x:f>
        <x:v>99.20654396728017</x:v>
      </x:c>
      <x:c r="G1484" s="42" t="n">
        <x:f>$B$11</x:f>
        <x:v>100.53096491487338</x:v>
      </x:c>
      <x:c r="I1484" t="n">
        <x:f>A1484</x:f>
        <x:v>1467</x:v>
      </x:c>
      <x:c r="J1484" t="n">
        <x:f>F1484</x:f>
        <x:v>99.20654396728017</x:v>
      </x:c>
      <x:c r="K1484" t="n">
        <x:f>G1484</x:f>
        <x:v>100.53096491487338</x:v>
      </x:c>
    </x:row>
    <x:row r="1485">
      <x:c r="A1485" t="n">
        <x:v>1468</x:v>
      </x:c>
      <x:c r="B1485" s="40" t="n">
        <x:v>-1.0854175893515414</x:v>
      </x:c>
      <x:c r="C1485" s="40" t="n">
        <x:v>-1.1924628633224175</x:v>
      </x:c>
      <x:c r="D1485" s="40" t="n">
        <x:v>-2.868852575377872</x:v>
      </x:c>
      <x:c r="E1485" t="n">
        <x:f>--((B1485^2/$B$4^2+C1485^2/$B$5^2+D1485^2/$B$6^2)&lt;=1)</x:f>
        <x:v>1</x:v>
      </x:c>
      <x:c r="F1485" s="42" t="n">
        <x:f>$B$8*SUM($E$18:E1485)/A1485</x:f>
        <x:v>99.26975476839237</x:v>
      </x:c>
      <x:c r="G1485" s="42" t="n">
        <x:f>$B$11</x:f>
        <x:v>100.53096491487338</x:v>
      </x:c>
      <x:c r="I1485" t="n">
        <x:f>A1485</x:f>
        <x:v>1468</x:v>
      </x:c>
      <x:c r="J1485" t="n">
        <x:f>F1485</x:f>
        <x:v>99.26975476839237</x:v>
      </x:c>
      <x:c r="K1485" t="n">
        <x:f>G1485</x:f>
        <x:v>100.53096491487338</x:v>
      </x:c>
    </x:row>
    <x:row r="1486">
      <x:c r="A1486" t="n">
        <x:v>1469</x:v>
      </x:c>
      <x:c r="B1486" s="40" t="n">
        <x:v>0.8876271180507054</x:v>
      </x:c>
      <x:c r="C1486" s="40" t="n">
        <x:v>-1.1378244522728225</x:v>
      </x:c>
      <x:c r="D1486" s="40" t="n">
        <x:v>0.14704517821575092</x:v>
      </x:c>
      <x:c r="E1486" t="n">
        <x:f>--((B1486^2/$B$4^2+C1486^2/$B$5^2+D1486^2/$B$6^2)&lt;=1)</x:f>
        <x:v>1</x:v>
      </x:c>
      <x:c r="F1486" s="42" t="n">
        <x:f>$B$8*SUM($E$18:E1486)/A1486</x:f>
        <x:v>99.33287950987066</x:v>
      </x:c>
      <x:c r="G1486" s="42" t="n">
        <x:f>$B$11</x:f>
        <x:v>100.53096491487338</x:v>
      </x:c>
      <x:c r="I1486" t="n">
        <x:f>A1486</x:f>
        <x:v>1469</x:v>
      </x:c>
      <x:c r="J1486" t="n">
        <x:f>F1486</x:f>
        <x:v>99.33287950987066</x:v>
      </x:c>
      <x:c r="K1486" t="n">
        <x:f>G1486</x:f>
        <x:v>100.53096491487338</x:v>
      </x:c>
    </x:row>
    <x:row r="1487">
      <x:c r="A1487" t="n">
        <x:v>1470</x:v>
      </x:c>
      <x:c r="B1487" s="40" t="n">
        <x:v>-1.324507833549141</x:v>
      </x:c>
      <x:c r="C1487" s="40" t="n">
        <x:v>2.800583781852196</x:v>
      </x:c>
      <x:c r="D1487" s="40" t="n">
        <x:v>-3.226996072248461</x:v>
      </x:c>
      <x:c r="E1487" t="n">
        <x:f>--((B1487^2/$B$4^2+C1487^2/$B$5^2+D1487^2/$B$6^2)&lt;=1)</x:f>
        <x:v>0</x:v>
      </x:c>
      <x:c r="F1487" s="42" t="n">
        <x:f>$B$8*SUM($E$18:E1487)/A1487</x:f>
        <x:v>99.26530612244898</x:v>
      </x:c>
      <x:c r="G1487" s="42" t="n">
        <x:f>$B$11</x:f>
        <x:v>100.53096491487338</x:v>
      </x:c>
      <x:c r="I1487" t="n">
        <x:f>A1487</x:f>
        <x:v>1470</x:v>
      </x:c>
      <x:c r="J1487" t="n">
        <x:f>F1487</x:f>
        <x:v>99.26530612244898</x:v>
      </x:c>
      <x:c r="K1487" t="n">
        <x:f>G1487</x:f>
        <x:v>100.53096491487338</x:v>
      </x:c>
    </x:row>
    <x:row r="1488">
      <x:c r="A1488" t="n">
        <x:v>1471</x:v>
      </x:c>
      <x:c r="B1488" s="40" t="n">
        <x:v>1.7466787674605064</x:v>
      </x:c>
      <x:c r="C1488" s="40" t="n">
        <x:v>-0.36472692459477285</x:v>
      </x:c>
      <x:c r="D1488" s="40" t="n">
        <x:v>1.0605697582878975</x:v>
      </x:c>
      <x:c r="E1488" t="n">
        <x:f>--((B1488^2/$B$4^2+C1488^2/$B$5^2+D1488^2/$B$6^2)&lt;=1)</x:f>
        <x:v>1</x:v>
      </x:c>
      <x:c r="F1488" s="42" t="n">
        <x:f>$B$8*SUM($E$18:E1488)/A1488</x:f>
        <x:v>99.32834806254249</x:v>
      </x:c>
      <x:c r="G1488" s="42" t="n">
        <x:f>$B$11</x:f>
        <x:v>100.53096491487338</x:v>
      </x:c>
      <x:c r="I1488" t="n">
        <x:f>A1488</x:f>
        <x:v>1471</x:v>
      </x:c>
      <x:c r="J1488" t="n">
        <x:f>F1488</x:f>
        <x:v>99.32834806254249</x:v>
      </x:c>
      <x:c r="K1488" t="n">
        <x:f>G1488</x:f>
        <x:v>100.53096491487338</x:v>
      </x:c>
    </x:row>
    <x:row r="1489">
      <x:c r="A1489" t="n">
        <x:v>1472</x:v>
      </x:c>
      <x:c r="B1489" s="40" t="n">
        <x:v>-1.2483856838540932</x:v>
      </x:c>
      <x:c r="C1489" s="40" t="n">
        <x:v>-0.3172466985369775</x:v>
      </x:c>
      <x:c r="D1489" s="40" t="n">
        <x:v>-3.4965598962356275</x:v>
      </x:c>
      <x:c r="E1489" t="n">
        <x:f>--((B1489^2/$B$4^2+C1489^2/$B$5^2+D1489^2/$B$6^2)&lt;=1)</x:f>
        <x:v>0</x:v>
      </x:c>
      <x:c r="F1489" s="42" t="n">
        <x:f>$B$8*SUM($E$18:E1489)/A1489</x:f>
        <x:v>99.26086956521739</x:v>
      </x:c>
      <x:c r="G1489" s="42" t="n">
        <x:f>$B$11</x:f>
        <x:v>100.53096491487338</x:v>
      </x:c>
      <x:c r="I1489" t="n">
        <x:f>A1489</x:f>
        <x:v>1472</x:v>
      </x:c>
      <x:c r="J1489" t="n">
        <x:f>F1489</x:f>
        <x:v>99.26086956521739</x:v>
      </x:c>
      <x:c r="K1489" t="n">
        <x:f>G1489</x:f>
        <x:v>100.53096491487338</x:v>
      </x:c>
    </x:row>
    <x:row r="1490">
      <x:c r="A1490" t="n">
        <x:v>1473</x:v>
      </x:c>
      <x:c r="B1490" s="40" t="n">
        <x:v>-1.5707505486699183</x:v>
      </x:c>
      <x:c r="C1490" s="40" t="n">
        <x:v>0.3139965014441968</x:v>
      </x:c>
      <x:c r="D1490" s="40" t="n">
        <x:v>3.555846850581978</x:v>
      </x:c>
      <x:c r="E1490" t="n">
        <x:f>--((B1490^2/$B$4^2+C1490^2/$B$5^2+D1490^2/$B$6^2)&lt;=1)</x:f>
        <x:v>0</x:v>
      </x:c>
      <x:c r="F1490" s="42" t="n">
        <x:f>$B$8*SUM($E$18:E1490)/A1490</x:f>
        <x:v>99.19348268839104</x:v>
      </x:c>
      <x:c r="G1490" s="42" t="n">
        <x:f>$B$11</x:f>
        <x:v>100.53096491487338</x:v>
      </x:c>
      <x:c r="I1490" t="n">
        <x:f>A1490</x:f>
        <x:v>1473</x:v>
      </x:c>
      <x:c r="J1490" t="n">
        <x:f>F1490</x:f>
        <x:v>99.19348268839104</x:v>
      </x:c>
      <x:c r="K1490" t="n">
        <x:f>G1490</x:f>
        <x:v>100.53096491487338</x:v>
      </x:c>
    </x:row>
    <x:row r="1491">
      <x:c r="A1491" t="n">
        <x:v>1474</x:v>
      </x:c>
      <x:c r="B1491" s="40" t="n">
        <x:v>-0.009409190538484768</x:v>
      </x:c>
      <x:c r="C1491" s="40" t="n">
        <x:v>-0.5429859788136673</x:v>
      </x:c>
      <x:c r="D1491" s="40" t="n">
        <x:v>-2.338154117043347</x:v>
      </x:c>
      <x:c r="E1491" t="n">
        <x:f>--((B1491^2/$B$4^2+C1491^2/$B$5^2+D1491^2/$B$6^2)&lt;=1)</x:f>
        <x:v>1</x:v>
      </x:c>
      <x:c r="F1491" s="42" t="n">
        <x:f>$B$8*SUM($E$18:E1491)/A1491</x:f>
        <x:v>99.25644504748982</x:v>
      </x:c>
      <x:c r="G1491" s="42" t="n">
        <x:f>$B$11</x:f>
        <x:v>100.53096491487338</x:v>
      </x:c>
      <x:c r="I1491" t="n">
        <x:f>A1491</x:f>
        <x:v>1474</x:v>
      </x:c>
      <x:c r="J1491" t="n">
        <x:f>F1491</x:f>
        <x:v>99.25644504748982</x:v>
      </x:c>
      <x:c r="K1491" t="n">
        <x:f>G1491</x:f>
        <x:v>100.53096491487338</x:v>
      </x:c>
    </x:row>
    <x:row r="1492">
      <x:c r="A1492" t="n">
        <x:v>1475</x:v>
      </x:c>
      <x:c r="B1492" s="40" t="n">
        <x:v>0.07819839243877613</x:v>
      </x:c>
      <x:c r="C1492" s="40" t="n">
        <x:v>0.31602938758448484</x:v>
      </x:c>
      <x:c r="D1492" s="40" t="n">
        <x:v>1.4631572475891605</x:v>
      </x:c>
      <x:c r="E1492" t="n">
        <x:f>--((B1492^2/$B$4^2+C1492^2/$B$5^2+D1492^2/$B$6^2)&lt;=1)</x:f>
        <x:v>1</x:v>
      </x:c>
      <x:c r="F1492" s="42" t="n">
        <x:f>$B$8*SUM($E$18:E1492)/A1492</x:f>
        <x:v>99.3193220338983</x:v>
      </x:c>
      <x:c r="G1492" s="42" t="n">
        <x:f>$B$11</x:f>
        <x:v>100.53096491487338</x:v>
      </x:c>
      <x:c r="I1492" t="n">
        <x:f>A1492</x:f>
        <x:v>1475</x:v>
      </x:c>
      <x:c r="J1492" t="n">
        <x:f>F1492</x:f>
        <x:v>99.3193220338983</x:v>
      </x:c>
      <x:c r="K1492" t="n">
        <x:f>G1492</x:f>
        <x:v>100.53096491487338</x:v>
      </x:c>
    </x:row>
    <x:row r="1493">
      <x:c r="A1493" t="n">
        <x:v>1476</x:v>
      </x:c>
      <x:c r="B1493" s="40" t="n">
        <x:v>0.03277165911297919</x:v>
      </x:c>
      <x:c r="C1493" s="40" t="n">
        <x:v>-0.40598746339465297</x:v>
      </x:c>
      <x:c r="D1493" s="40" t="n">
        <x:v>-2.9736686049831196</x:v>
      </x:c>
      <x:c r="E1493" t="n">
        <x:f>--((B1493^2/$B$4^2+C1493^2/$B$5^2+D1493^2/$B$6^2)&lt;=1)</x:f>
        <x:v>1</x:v>
      </x:c>
      <x:c r="F1493" s="42" t="n">
        <x:f>$B$8*SUM($E$18:E1493)/A1493</x:f>
        <x:v>99.3821138211382</x:v>
      </x:c>
      <x:c r="G1493" s="42" t="n">
        <x:f>$B$11</x:f>
        <x:v>100.53096491487338</x:v>
      </x:c>
      <x:c r="I1493" t="n">
        <x:f>A1493</x:f>
        <x:v>1476</x:v>
      </x:c>
      <x:c r="J1493" t="n">
        <x:f>F1493</x:f>
        <x:v>99.3821138211382</x:v>
      </x:c>
      <x:c r="K1493" t="n">
        <x:f>G1493</x:f>
        <x:v>100.53096491487338</x:v>
      </x:c>
    </x:row>
    <x:row r="1494">
      <x:c r="A1494" t="n">
        <x:v>1477</x:v>
      </x:c>
      <x:c r="B1494" s="40" t="n">
        <x:v>-0.2533300426446421</x:v>
      </x:c>
      <x:c r="C1494" s="40" t="n">
        <x:v>1.9602895176131199</x:v>
      </x:c>
      <x:c r="D1494" s="40" t="n">
        <x:v>-2.323228413385788</x:v>
      </x:c>
      <x:c r="E1494" t="n">
        <x:f>--((B1494^2/$B$4^2+C1494^2/$B$5^2+D1494^2/$B$6^2)&lt;=1)</x:f>
        <x:v>1</x:v>
      </x:c>
      <x:c r="F1494" s="42" t="n">
        <x:f>$B$8*SUM($E$18:E1494)/A1494</x:f>
        <x:v>99.44482058226134</x:v>
      </x:c>
      <x:c r="G1494" s="42" t="n">
        <x:f>$B$11</x:f>
        <x:v>100.53096491487338</x:v>
      </x:c>
      <x:c r="I1494" t="n">
        <x:f>A1494</x:f>
        <x:v>1477</x:v>
      </x:c>
      <x:c r="J1494" t="n">
        <x:f>F1494</x:f>
        <x:v>99.44482058226134</x:v>
      </x:c>
      <x:c r="K1494" t="n">
        <x:f>G1494</x:f>
        <x:v>100.53096491487338</x:v>
      </x:c>
    </x:row>
    <x:row r="1495">
      <x:c r="A1495" t="n">
        <x:v>1478</x:v>
      </x:c>
      <x:c r="B1495" s="40" t="n">
        <x:v>1.9792595713184333</x:v>
      </x:c>
      <x:c r="C1495" s="40" t="n">
        <x:v>2.454306118789704</x:v>
      </x:c>
      <x:c r="D1495" s="40" t="n">
        <x:v>-0.3924028089330349</x:v>
      </x:c>
      <x:c r="E1495" t="n">
        <x:f>--((B1495^2/$B$4^2+C1495^2/$B$5^2+D1495^2/$B$6^2)&lt;=1)</x:f>
        <x:v>0</x:v>
      </x:c>
      <x:c r="F1495" s="42" t="n">
        <x:f>$B$8*SUM($E$18:E1495)/A1495</x:f>
        <x:v>99.37753721244925</x:v>
      </x:c>
      <x:c r="G1495" s="42" t="n">
        <x:f>$B$11</x:f>
        <x:v>100.53096491487338</x:v>
      </x:c>
      <x:c r="I1495" t="n">
        <x:f>A1495</x:f>
        <x:v>1478</x:v>
      </x:c>
      <x:c r="J1495" t="n">
        <x:f>F1495</x:f>
        <x:v>99.37753721244925</x:v>
      </x:c>
      <x:c r="K1495" t="n">
        <x:f>G1495</x:f>
        <x:v>100.53096491487338</x:v>
      </x:c>
    </x:row>
    <x:row r="1496">
      <x:c r="A1496" t="n">
        <x:v>1479</x:v>
      </x:c>
      <x:c r="B1496" s="40" t="n">
        <x:v>-0.054877549317672525</x:v>
      </x:c>
      <x:c r="C1496" s="40" t="n">
        <x:v>2.5926615588921695</x:v>
      </x:c>
      <x:c r="D1496" s="40" t="n">
        <x:v>0.5847691307321297</x:v>
      </x:c>
      <x:c r="E1496" t="n">
        <x:f>--((B1496^2/$B$4^2+C1496^2/$B$5^2+D1496^2/$B$6^2)&lt;=1)</x:f>
        <x:v>1</x:v>
      </x:c>
      <x:c r="F1496" s="42" t="n">
        <x:f>$B$8*SUM($E$18:E1496)/A1496</x:f>
        <x:v>99.44016227180528</x:v>
      </x:c>
      <x:c r="G1496" s="42" t="n">
        <x:f>$B$11</x:f>
        <x:v>100.53096491487338</x:v>
      </x:c>
      <x:c r="I1496" t="n">
        <x:f>A1496</x:f>
        <x:v>1479</x:v>
      </x:c>
      <x:c r="J1496" t="n">
        <x:f>F1496</x:f>
        <x:v>99.44016227180528</x:v>
      </x:c>
      <x:c r="K1496" t="n">
        <x:f>G1496</x:f>
        <x:v>100.53096491487338</x:v>
      </x:c>
    </x:row>
    <x:row r="1497">
      <x:c r="A1497" t="n">
        <x:v>1480</x:v>
      </x:c>
      <x:c r="B1497" s="40" t="n">
        <x:v>-0.08821367704067606</x:v>
      </x:c>
      <x:c r="C1497" s="40" t="n">
        <x:v>0.3857772349763193</x:v>
      </x:c>
      <x:c r="D1497" s="40" t="n">
        <x:v>3.9909059231334636</x:v>
      </x:c>
      <x:c r="E1497" t="n">
        <x:f>--((B1497^2/$B$4^2+C1497^2/$B$5^2+D1497^2/$B$6^2)&lt;=1)</x:f>
        <x:v>0</x:v>
      </x:c>
      <x:c r="F1497" s="42" t="n">
        <x:f>$B$8*SUM($E$18:E1497)/A1497</x:f>
        <x:v>99.37297297297297</x:v>
      </x:c>
      <x:c r="G1497" s="42" t="n">
        <x:f>$B$11</x:f>
        <x:v>100.53096491487338</x:v>
      </x:c>
      <x:c r="I1497" t="n">
        <x:f>A1497</x:f>
        <x:v>1480</x:v>
      </x:c>
      <x:c r="J1497" t="n">
        <x:f>F1497</x:f>
        <x:v>99.37297297297297</x:v>
      </x:c>
      <x:c r="K1497" t="n">
        <x:f>G1497</x:f>
        <x:v>100.53096491487338</x:v>
      </x:c>
    </x:row>
    <x:row r="1498">
      <x:c r="A1498" t="n">
        <x:v>1481</x:v>
      </x:c>
      <x:c r="B1498" s="40" t="n">
        <x:v>-0.3129357491417548</x:v>
      </x:c>
      <x:c r="C1498" s="40" t="n">
        <x:v>-0.34710865521302825</x:v>
      </x:c>
      <x:c r="D1498" s="40" t="n">
        <x:v>-3.792590175272447</x:v>
      </x:c>
      <x:c r="E1498" t="n">
        <x:f>--((B1498^2/$B$4^2+C1498^2/$B$5^2+D1498^2/$B$6^2)&lt;=1)</x:f>
        <x:v>1</x:v>
      </x:c>
      <x:c r="F1498" s="42" t="n">
        <x:f>$B$8*SUM($E$18:E1498)/A1498</x:f>
        <x:v>99.43551654287643</x:v>
      </x:c>
      <x:c r="G1498" s="42" t="n">
        <x:f>$B$11</x:f>
        <x:v>100.53096491487338</x:v>
      </x:c>
      <x:c r="I1498" t="n">
        <x:f>A1498</x:f>
        <x:v>1481</x:v>
      </x:c>
      <x:c r="J1498" t="n">
        <x:f>F1498</x:f>
        <x:v>99.43551654287643</x:v>
      </x:c>
      <x:c r="K1498" t="n">
        <x:f>G1498</x:f>
        <x:v>100.53096491487338</x:v>
      </x:c>
    </x:row>
    <x:row r="1499">
      <x:c r="A1499" t="n">
        <x:v>1482</x:v>
      </x:c>
      <x:c r="B1499" s="40" t="n">
        <x:v>-1.7326969811941484</x:v>
      </x:c>
      <x:c r="C1499" s="40" t="n">
        <x:v>1.2314403527510276</x:v>
      </x:c>
      <x:c r="D1499" s="40" t="n">
        <x:v>-3.9974846428473043</x:v>
      </x:c>
      <x:c r="E1499" t="n">
        <x:f>--((B1499^2/$B$4^2+C1499^2/$B$5^2+D1499^2/$B$6^2)&lt;=1)</x:f>
        <x:v>0</x:v>
      </x:c>
      <x:c r="F1499" s="42" t="n">
        <x:f>$B$8*SUM($E$18:E1499)/A1499</x:f>
        <x:v>99.36842105263158</x:v>
      </x:c>
      <x:c r="G1499" s="42" t="n">
        <x:f>$B$11</x:f>
        <x:v>100.53096491487338</x:v>
      </x:c>
      <x:c r="I1499" t="n">
        <x:f>A1499</x:f>
        <x:v>1482</x:v>
      </x:c>
      <x:c r="J1499" t="n">
        <x:f>F1499</x:f>
        <x:v>99.36842105263158</x:v>
      </x:c>
      <x:c r="K1499" t="n">
        <x:f>G1499</x:f>
        <x:v>100.53096491487338</x:v>
      </x:c>
    </x:row>
    <x:row r="1500">
      <x:c r="A1500" t="n">
        <x:v>1483</x:v>
      </x:c>
      <x:c r="B1500" s="40" t="n">
        <x:v>0.3718265245984642</x:v>
      </x:c>
      <x:c r="C1500" s="40" t="n">
        <x:v>2.02994154777544</x:v>
      </x:c>
      <x:c r="D1500" s="40" t="n">
        <x:v>-1.1970632422804162</x:v>
      </x:c>
      <x:c r="E1500" t="n">
        <x:f>--((B1500^2/$B$4^2+C1500^2/$B$5^2+D1500^2/$B$6^2)&lt;=1)</x:f>
        <x:v>1</x:v>
      </x:c>
      <x:c r="F1500" s="42" t="n">
        <x:f>$B$8*SUM($E$18:E1500)/A1500</x:f>
        <x:v>99.43088334457181</x:v>
      </x:c>
      <x:c r="G1500" s="42" t="n">
        <x:f>$B$11</x:f>
        <x:v>100.53096491487338</x:v>
      </x:c>
      <x:c r="I1500" t="n">
        <x:f>A1500</x:f>
        <x:v>1483</x:v>
      </x:c>
      <x:c r="J1500" t="n">
        <x:f>F1500</x:f>
        <x:v>99.43088334457181</x:v>
      </x:c>
      <x:c r="K1500" t="n">
        <x:f>G1500</x:f>
        <x:v>100.53096491487338</x:v>
      </x:c>
    </x:row>
    <x:row r="1501">
      <x:c r="A1501" t="n">
        <x:v>1484</x:v>
      </x:c>
      <x:c r="B1501" s="40" t="n">
        <x:v>-1.0881289111072703</x:v>
      </x:c>
      <x:c r="C1501" s="40" t="n">
        <x:v>0.3778934523982631</x:v>
      </x:c>
      <x:c r="D1501" s="40" t="n">
        <x:v>-1.0707490575806409</x:v>
      </x:c>
      <x:c r="E1501" t="n">
        <x:f>--((B1501^2/$B$4^2+C1501^2/$B$5^2+D1501^2/$B$6^2)&lt;=1)</x:f>
        <x:v>1</x:v>
      </x:c>
      <x:c r="F1501" s="42" t="n">
        <x:f>$B$8*SUM($E$18:E1501)/A1501</x:f>
        <x:v>99.49326145552561</x:v>
      </x:c>
      <x:c r="G1501" s="42" t="n">
        <x:f>$B$11</x:f>
        <x:v>100.53096491487338</x:v>
      </x:c>
      <x:c r="I1501" t="n">
        <x:f>A1501</x:f>
        <x:v>1484</x:v>
      </x:c>
      <x:c r="J1501" t="n">
        <x:f>F1501</x:f>
        <x:v>99.49326145552561</x:v>
      </x:c>
      <x:c r="K1501" t="n">
        <x:f>G1501</x:f>
        <x:v>100.53096491487338</x:v>
      </x:c>
    </x:row>
    <x:row r="1502">
      <x:c r="A1502" t="n">
        <x:v>1485</x:v>
      </x:c>
      <x:c r="B1502" s="40" t="n">
        <x:v>0.5504359209161995</x:v>
      </x:c>
      <x:c r="C1502" s="40" t="n">
        <x:v>1.1998861309335673</x:v>
      </x:c>
      <x:c r="D1502" s="40" t="n">
        <x:v>3.070697888789053</x:v>
      </x:c>
      <x:c r="E1502" t="n">
        <x:f>--((B1502^2/$B$4^2+C1502^2/$B$5^2+D1502^2/$B$6^2)&lt;=1)</x:f>
        <x:v>1</x:v>
      </x:c>
      <x:c r="F1502" s="42" t="n">
        <x:f>$B$8*SUM($E$18:E1502)/A1502</x:f>
        <x:v>99.55555555555556</x:v>
      </x:c>
      <x:c r="G1502" s="42" t="n">
        <x:f>$B$11</x:f>
        <x:v>100.53096491487338</x:v>
      </x:c>
      <x:c r="I1502" t="n">
        <x:f>A1502</x:f>
        <x:v>1485</x:v>
      </x:c>
      <x:c r="J1502" t="n">
        <x:f>F1502</x:f>
        <x:v>99.55555555555556</x:v>
      </x:c>
      <x:c r="K1502" t="n">
        <x:f>G1502</x:f>
        <x:v>100.53096491487338</x:v>
      </x:c>
    </x:row>
    <x:row r="1503">
      <x:c r="A1503" t="n">
        <x:v>1486</x:v>
      </x:c>
      <x:c r="B1503" s="40" t="n">
        <x:v>-1.7966661522060914</x:v>
      </x:c>
      <x:c r="C1503" s="40" t="n">
        <x:v>1.4983761043274884</x:v>
      </x:c>
      <x:c r="D1503" s="40" t="n">
        <x:v>3.3006603815784157</x:v>
      </x:c>
      <x:c r="E1503" t="n">
        <x:f>--((B1503^2/$B$4^2+C1503^2/$B$5^2+D1503^2/$B$6^2)&lt;=1)</x:f>
        <x:v>0</x:v>
      </x:c>
      <x:c r="F1503" s="42" t="n">
        <x:f>$B$8*SUM($E$18:E1503)/A1503</x:f>
        <x:v>99.4885598923284</x:v>
      </x:c>
      <x:c r="G1503" s="42" t="n">
        <x:f>$B$11</x:f>
        <x:v>100.53096491487338</x:v>
      </x:c>
      <x:c r="I1503" t="n">
        <x:f>A1503</x:f>
        <x:v>1486</x:v>
      </x:c>
      <x:c r="J1503" t="n">
        <x:f>F1503</x:f>
        <x:v>99.4885598923284</x:v>
      </x:c>
      <x:c r="K1503" t="n">
        <x:f>G1503</x:f>
        <x:v>100.53096491487338</x:v>
      </x:c>
    </x:row>
    <x:row r="1504">
      <x:c r="A1504" t="n">
        <x:v>1487</x:v>
      </x:c>
      <x:c r="B1504" s="40" t="n">
        <x:v>1.9255484050120066</x:v>
      </x:c>
      <x:c r="C1504" s="40" t="n">
        <x:v>1.05836266030372</x:v>
      </x:c>
      <x:c r="D1504" s="40" t="n">
        <x:v>3.0441998108745505</x:v>
      </x:c>
      <x:c r="E1504" t="n">
        <x:f>--((B1504^2/$B$4^2+C1504^2/$B$5^2+D1504^2/$B$6^2)&lt;=1)</x:f>
        <x:v>0</x:v>
      </x:c>
      <x:c r="F1504" s="42" t="n">
        <x:f>$B$8*SUM($E$18:E1504)/A1504</x:f>
        <x:v>99.42165433759247</x:v>
      </x:c>
      <x:c r="G1504" s="42" t="n">
        <x:f>$B$11</x:f>
        <x:v>100.53096491487338</x:v>
      </x:c>
      <x:c r="I1504" t="n">
        <x:f>A1504</x:f>
        <x:v>1487</x:v>
      </x:c>
      <x:c r="J1504" t="n">
        <x:f>F1504</x:f>
        <x:v>99.42165433759247</x:v>
      </x:c>
      <x:c r="K1504" t="n">
        <x:f>G1504</x:f>
        <x:v>100.53096491487338</x:v>
      </x:c>
    </x:row>
    <x:row r="1505">
      <x:c r="A1505" t="n">
        <x:v>1488</x:v>
      </x:c>
      <x:c r="B1505" s="40" t="n">
        <x:v>-0.12397968394931125</x:v>
      </x:c>
      <x:c r="C1505" s="40" t="n">
        <x:v>1.4768013343758568</x:v>
      </x:c>
      <x:c r="D1505" s="40" t="n">
        <x:v>-2.8545699961116178</x:v>
      </x:c>
      <x:c r="E1505" t="n">
        <x:f>--((B1505^2/$B$4^2+C1505^2/$B$5^2+D1505^2/$B$6^2)&lt;=1)</x:f>
        <x:v>1</x:v>
      </x:c>
      <x:c r="F1505" s="42" t="n">
        <x:f>$B$8*SUM($E$18:E1505)/A1505</x:f>
        <x:v>99.48387096774194</x:v>
      </x:c>
      <x:c r="G1505" s="42" t="n">
        <x:f>$B$11</x:f>
        <x:v>100.53096491487338</x:v>
      </x:c>
      <x:c r="I1505" t="n">
        <x:f>A1505</x:f>
        <x:v>1488</x:v>
      </x:c>
      <x:c r="J1505" t="n">
        <x:f>F1505</x:f>
        <x:v>99.48387096774194</x:v>
      </x:c>
      <x:c r="K1505" t="n">
        <x:f>G1505</x:f>
        <x:v>100.53096491487338</x:v>
      </x:c>
    </x:row>
    <x:row r="1506">
      <x:c r="A1506" t="n">
        <x:v>1489</x:v>
      </x:c>
      <x:c r="B1506" s="40" t="n">
        <x:v>1.5870214863627936</x:v>
      </x:c>
      <x:c r="C1506" s="40" t="n">
        <x:v>-1.7481280046640097</x:v>
      </x:c>
      <x:c r="D1506" s="40" t="n">
        <x:v>-0.7031613185514125</x:v>
      </x:c>
      <x:c r="E1506" t="n">
        <x:f>--((B1506^2/$B$4^2+C1506^2/$B$5^2+D1506^2/$B$6^2)&lt;=1)</x:f>
        <x:v>0</x:v>
      </x:c>
      <x:c r="F1506" s="42" t="n">
        <x:f>$B$8*SUM($E$18:E1506)/A1506</x:f>
        <x:v>99.41705842847549</x:v>
      </x:c>
      <x:c r="G1506" s="42" t="n">
        <x:f>$B$11</x:f>
        <x:v>100.53096491487338</x:v>
      </x:c>
      <x:c r="I1506" t="n">
        <x:f>A1506</x:f>
        <x:v>1489</x:v>
      </x:c>
      <x:c r="J1506" t="n">
        <x:f>F1506</x:f>
        <x:v>99.41705842847549</x:v>
      </x:c>
      <x:c r="K1506" t="n">
        <x:f>G1506</x:f>
        <x:v>100.53096491487338</x:v>
      </x:c>
    </x:row>
    <x:row r="1507">
      <x:c r="A1507" t="n">
        <x:v>1490</x:v>
      </x:c>
      <x:c r="B1507" s="40" t="n">
        <x:v>-0.09775530706826085</x:v>
      </x:c>
      <x:c r="C1507" s="40" t="n">
        <x:v>-0.009752717869214944</x:v>
      </x:c>
      <x:c r="D1507" s="40" t="n">
        <x:v>1.9670812983601857</x:v>
      </x:c>
      <x:c r="E1507" t="n">
        <x:f>--((B1507^2/$B$4^2+C1507^2/$B$5^2+D1507^2/$B$6^2)&lt;=1)</x:f>
        <x:v>1</x:v>
      </x:c>
      <x:c r="F1507" s="42" t="n">
        <x:f>$B$8*SUM($E$18:E1507)/A1507</x:f>
        <x:v>99.47919463087248</x:v>
      </x:c>
      <x:c r="G1507" s="42" t="n">
        <x:f>$B$11</x:f>
        <x:v>100.53096491487338</x:v>
      </x:c>
      <x:c r="I1507" t="n">
        <x:f>A1507</x:f>
        <x:v>1490</x:v>
      </x:c>
      <x:c r="J1507" t="n">
        <x:f>F1507</x:f>
        <x:v>99.47919463087248</x:v>
      </x:c>
      <x:c r="K1507" t="n">
        <x:f>G1507</x:f>
        <x:v>100.53096491487338</x:v>
      </x:c>
    </x:row>
    <x:row r="1508">
      <x:c r="A1508" t="n">
        <x:v>1491</x:v>
      </x:c>
      <x:c r="B1508" s="40" t="n">
        <x:v>-1.758676725703113</x:v>
      </x:c>
      <x:c r="C1508" s="40" t="n">
        <x:v>0.5296113276305232</x:v>
      </x:c>
      <x:c r="D1508" s="40" t="n">
        <x:v>-1.4991114577260687</x:v>
      </x:c>
      <x:c r="E1508" t="n">
        <x:f>--((B1508^2/$B$4^2+C1508^2/$B$5^2+D1508^2/$B$6^2)&lt;=1)</x:f>
        <x:v>1</x:v>
      </x:c>
      <x:c r="F1508" s="42" t="n">
        <x:f>$B$8*SUM($E$18:E1508)/A1508</x:f>
        <x:v>99.54124748490946</x:v>
      </x:c>
      <x:c r="G1508" s="42" t="n">
        <x:f>$B$11</x:f>
        <x:v>100.53096491487338</x:v>
      </x:c>
      <x:c r="I1508" t="n">
        <x:f>A1508</x:f>
        <x:v>1491</x:v>
      </x:c>
      <x:c r="J1508" t="n">
        <x:f>F1508</x:f>
        <x:v>99.54124748490946</x:v>
      </x:c>
      <x:c r="K1508" t="n">
        <x:f>G1508</x:f>
        <x:v>100.53096491487338</x:v>
      </x:c>
    </x:row>
    <x:row r="1509">
      <x:c r="A1509" t="n">
        <x:v>1492</x:v>
      </x:c>
      <x:c r="B1509" s="40" t="n">
        <x:v>1.2888541843752277</x:v>
      </x:c>
      <x:c r="C1509" s="40" t="n">
        <x:v>-2.9851324148578615</x:v>
      </x:c>
      <x:c r="D1509" s="40" t="n">
        <x:v>1.30590422808441</x:v>
      </x:c>
      <x:c r="E1509" t="n">
        <x:f>--((B1509^2/$B$4^2+C1509^2/$B$5^2+D1509^2/$B$6^2)&lt;=1)</x:f>
        <x:v>0</x:v>
      </x:c>
      <x:c r="F1509" s="42" t="n">
        <x:f>$B$8*SUM($E$18:E1509)/A1509</x:f>
        <x:v>99.4745308310992</x:v>
      </x:c>
      <x:c r="G1509" s="42" t="n">
        <x:f>$B$11</x:f>
        <x:v>100.53096491487338</x:v>
      </x:c>
      <x:c r="I1509" t="n">
        <x:f>A1509</x:f>
        <x:v>1492</x:v>
      </x:c>
      <x:c r="J1509" t="n">
        <x:f>F1509</x:f>
        <x:v>99.4745308310992</x:v>
      </x:c>
      <x:c r="K1509" t="n">
        <x:f>G1509</x:f>
        <x:v>100.53096491487338</x:v>
      </x:c>
    </x:row>
    <x:row r="1510">
      <x:c r="A1510" t="n">
        <x:v>1493</x:v>
      </x:c>
      <x:c r="B1510" s="40" t="n">
        <x:v>0.5927349186685373</x:v>
      </x:c>
      <x:c r="C1510" s="40" t="n">
        <x:v>2.1357750528820922</x:v>
      </x:c>
      <x:c r="D1510" s="40" t="n">
        <x:v>-2.102857094471264</x:v>
      </x:c>
      <x:c r="E1510" t="n">
        <x:f>--((B1510^2/$B$4^2+C1510^2/$B$5^2+D1510^2/$B$6^2)&lt;=1)</x:f>
        <x:v>1</x:v>
      </x:c>
      <x:c r="F1510" s="42" t="n">
        <x:f>$B$8*SUM($E$18:E1510)/A1510</x:f>
        <x:v>99.536503683858</x:v>
      </x:c>
      <x:c r="G1510" s="42" t="n">
        <x:f>$B$11</x:f>
        <x:v>100.53096491487338</x:v>
      </x:c>
      <x:c r="I1510" t="n">
        <x:f>A1510</x:f>
        <x:v>1493</x:v>
      </x:c>
      <x:c r="J1510" t="n">
        <x:f>F1510</x:f>
        <x:v>99.536503683858</x:v>
      </x:c>
      <x:c r="K1510" t="n">
        <x:f>G1510</x:f>
        <x:v>100.53096491487338</x:v>
      </x:c>
    </x:row>
    <x:row r="1511">
      <x:c r="A1511" t="n">
        <x:v>1494</x:v>
      </x:c>
      <x:c r="B1511" s="40" t="n">
        <x:v>1.1270281902957806</x:v>
      </x:c>
      <x:c r="C1511" s="40" t="n">
        <x:v>0.6601470506694724</x:v>
      </x:c>
      <x:c r="D1511" s="40" t="n">
        <x:v>-1.4126459363135355</x:v>
      </x:c>
      <x:c r="E1511" t="n">
        <x:f>--((B1511^2/$B$4^2+C1511^2/$B$5^2+D1511^2/$B$6^2)&lt;=1)</x:f>
        <x:v>1</x:v>
      </x:c>
      <x:c r="F1511" s="42" t="n">
        <x:f>$B$8*SUM($E$18:E1511)/A1511</x:f>
        <x:v>99.59839357429719</x:v>
      </x:c>
      <x:c r="G1511" s="42" t="n">
        <x:f>$B$11</x:f>
        <x:v>100.53096491487338</x:v>
      </x:c>
      <x:c r="I1511" t="n">
        <x:f>A1511</x:f>
        <x:v>1494</x:v>
      </x:c>
      <x:c r="J1511" t="n">
        <x:f>F1511</x:f>
        <x:v>99.59839357429719</x:v>
      </x:c>
      <x:c r="K1511" t="n">
        <x:f>G1511</x:f>
        <x:v>100.53096491487338</x:v>
      </x:c>
    </x:row>
    <x:row r="1512">
      <x:c r="A1512" t="n">
        <x:v>1495</x:v>
      </x:c>
      <x:c r="B1512" s="40" t="n">
        <x:v>-0.28732054596450674</x:v>
      </x:c>
      <x:c r="C1512" s="40" t="n">
        <x:v>-2.2251820098107804</x:v>
      </x:c>
      <x:c r="D1512" s="40" t="n">
        <x:v>2.883437194787871</x:v>
      </x:c>
      <x:c r="E1512" t="n">
        <x:f>--((B1512^2/$B$4^2+C1512^2/$B$5^2+D1512^2/$B$6^2)&lt;=1)</x:f>
        <x:v>0</x:v>
      </x:c>
      <x:c r="F1512" s="42" t="n">
        <x:f>$B$8*SUM($E$18:E1512)/A1512</x:f>
        <x:v>99.53177257525084</x:v>
      </x:c>
      <x:c r="G1512" s="42" t="n">
        <x:f>$B$11</x:f>
        <x:v>100.53096491487338</x:v>
      </x:c>
      <x:c r="I1512" t="n">
        <x:f>A1512</x:f>
        <x:v>1495</x:v>
      </x:c>
      <x:c r="J1512" t="n">
        <x:f>F1512</x:f>
        <x:v>99.53177257525084</x:v>
      </x:c>
      <x:c r="K1512" t="n">
        <x:f>G1512</x:f>
        <x:v>100.53096491487338</x:v>
      </x:c>
    </x:row>
    <x:row r="1513">
      <x:c r="A1513" t="n">
        <x:v>1496</x:v>
      </x:c>
      <x:c r="B1513" s="40" t="n">
        <x:v>0.5517469769865797</x:v>
      </x:c>
      <x:c r="C1513" s="40" t="n">
        <x:v>1.8981424354549628</x:v>
      </x:c>
      <x:c r="D1513" s="40" t="n">
        <x:v>-1.9959277112880391</x:v>
      </x:c>
      <x:c r="E1513" t="n">
        <x:f>--((B1513^2/$B$4^2+C1513^2/$B$5^2+D1513^2/$B$6^2)&lt;=1)</x:f>
        <x:v>1</x:v>
      </x:c>
      <x:c r="F1513" s="42" t="n">
        <x:f>$B$8*SUM($E$18:E1513)/A1513</x:f>
        <x:v>99.59358288770053</x:v>
      </x:c>
      <x:c r="G1513" s="42" t="n">
        <x:f>$B$11</x:f>
        <x:v>100.53096491487338</x:v>
      </x:c>
      <x:c r="I1513" t="n">
        <x:f>A1513</x:f>
        <x:v>1496</x:v>
      </x:c>
      <x:c r="J1513" t="n">
        <x:f>F1513</x:f>
        <x:v>99.59358288770053</x:v>
      </x:c>
      <x:c r="K1513" t="n">
        <x:f>G1513</x:f>
        <x:v>100.53096491487338</x:v>
      </x:c>
    </x:row>
    <x:row r="1514">
      <x:c r="A1514" t="n">
        <x:v>1497</x:v>
      </x:c>
      <x:c r="B1514" s="40" t="n">
        <x:v>1.42491601518643</x:v>
      </x:c>
      <x:c r="C1514" s="40" t="n">
        <x:v>1.3023417986432673</x:v>
      </x:c>
      <x:c r="D1514" s="40" t="n">
        <x:v>3.7145926950789034</x:v>
      </x:c>
      <x:c r="E1514" t="n">
        <x:f>--((B1514^2/$B$4^2+C1514^2/$B$5^2+D1514^2/$B$6^2)&lt;=1)</x:f>
        <x:v>0</x:v>
      </x:c>
      <x:c r="F1514" s="42" t="n">
        <x:f>$B$8*SUM($E$18:E1514)/A1514</x:f>
        <x:v>99.52705410821643</x:v>
      </x:c>
      <x:c r="G1514" s="42" t="n">
        <x:f>$B$11</x:f>
        <x:v>100.53096491487338</x:v>
      </x:c>
      <x:c r="I1514" t="n">
        <x:f>A1514</x:f>
        <x:v>1497</x:v>
      </x:c>
      <x:c r="J1514" t="n">
        <x:f>F1514</x:f>
        <x:v>99.52705410821643</x:v>
      </x:c>
      <x:c r="K1514" t="n">
        <x:f>G1514</x:f>
        <x:v>100.53096491487338</x:v>
      </x:c>
    </x:row>
    <x:row r="1515">
      <x:c r="A1515" t="n">
        <x:v>1498</x:v>
      </x:c>
      <x:c r="B1515" s="40" t="n">
        <x:v>0.5242617714875499</x:v>
      </x:c>
      <x:c r="C1515" s="40" t="n">
        <x:v>1.5497972607818227</x:v>
      </x:c>
      <x:c r="D1515" s="40" t="n">
        <x:v>-1.5499235125052246</x:v>
      </x:c>
      <x:c r="E1515" t="n">
        <x:f>--((B1515^2/$B$4^2+C1515^2/$B$5^2+D1515^2/$B$6^2)&lt;=1)</x:f>
        <x:v>1</x:v>
      </x:c>
      <x:c r="F1515" s="42" t="n">
        <x:f>$B$8*SUM($E$18:E1515)/A1515</x:f>
        <x:v>99.58878504672897</x:v>
      </x:c>
      <x:c r="G1515" s="42" t="n">
        <x:f>$B$11</x:f>
        <x:v>100.53096491487338</x:v>
      </x:c>
      <x:c r="I1515" t="n">
        <x:f>A1515</x:f>
        <x:v>1498</x:v>
      </x:c>
      <x:c r="J1515" t="n">
        <x:f>F1515</x:f>
        <x:v>99.58878504672897</x:v>
      </x:c>
      <x:c r="K1515" t="n">
        <x:f>G1515</x:f>
        <x:v>100.53096491487338</x:v>
      </x:c>
    </x:row>
    <x:row r="1516">
      <x:c r="A1516" t="n">
        <x:v>1499</x:v>
      </x:c>
      <x:c r="B1516" s="40" t="n">
        <x:v>-0.6093054606563868</x:v>
      </x:c>
      <x:c r="C1516" s="40" t="n">
        <x:v>-0.647745228828863</x:v>
      </x:c>
      <x:c r="D1516" s="40" t="n">
        <x:v>-3.811775121413781</x:v>
      </x:c>
      <x:c r="E1516" t="n">
        <x:f>--((B1516^2/$B$4^2+C1516^2/$B$5^2+D1516^2/$B$6^2)&lt;=1)</x:f>
        <x:v>0</x:v>
      </x:c>
      <x:c r="F1516" s="42" t="n">
        <x:f>$B$8*SUM($E$18:E1516)/A1516</x:f>
        <x:v>99.52234823215477</x:v>
      </x:c>
      <x:c r="G1516" s="42" t="n">
        <x:f>$B$11</x:f>
        <x:v>100.53096491487338</x:v>
      </x:c>
      <x:c r="I1516" t="n">
        <x:f>A1516</x:f>
        <x:v>1499</x:v>
      </x:c>
      <x:c r="J1516" t="n">
        <x:f>F1516</x:f>
        <x:v>99.52234823215477</x:v>
      </x:c>
      <x:c r="K1516" t="n">
        <x:f>G1516</x:f>
        <x:v>100.53096491487338</x:v>
      </x:c>
    </x:row>
    <x:row r="1517">
      <x:c r="A1517" t="n">
        <x:v>1500</x:v>
      </x:c>
      <x:c r="B1517" s="40" t="n">
        <x:v>0.6501183774647994</x:v>
      </x:c>
      <x:c r="C1517" s="40" t="n">
        <x:v>2.1252150401699526</x:v>
      </x:c>
      <x:c r="D1517" s="40" t="n">
        <x:v>-1.9607927695794363</x:v>
      </x:c>
      <x:c r="E1517" t="n">
        <x:f>--((B1517^2/$B$4^2+C1517^2/$B$5^2+D1517^2/$B$6^2)&lt;=1)</x:f>
        <x:v>1</x:v>
      </x:c>
      <x:c r="F1517" s="42" t="n">
        <x:f>$B$8*SUM($E$18:E1517)/A1517</x:f>
        <x:v>99.584</x:v>
      </x:c>
      <x:c r="G1517" s="42" t="n">
        <x:f>$B$11</x:f>
        <x:v>100.53096491487338</x:v>
      </x:c>
      <x:c r="I1517" t="n">
        <x:f>A1517</x:f>
        <x:v>1500</x:v>
      </x:c>
      <x:c r="J1517" t="n">
        <x:f>F1517</x:f>
        <x:v>99.584</x:v>
      </x:c>
      <x:c r="K1517" t="n">
        <x:f>G1517</x:f>
        <x:v>100.53096491487338</x:v>
      </x:c>
    </x:row>
    <x:row r="1518">
      <x:c r="A1518" t="n">
        <x:v>1501</x:v>
      </x:c>
      <x:c r="B1518" s="40" t="n">
        <x:v>0.6874167544562693</x:v>
      </x:c>
      <x:c r="C1518" s="40" t="n">
        <x:v>-0.5158345072058266</x:v>
      </x:c>
      <x:c r="D1518" s="40" t="n">
        <x:v>-2.630360462052594</x:v>
      </x:c>
      <x:c r="E1518" t="n">
        <x:f>--((B1518^2/$B$4^2+C1518^2/$B$5^2+D1518^2/$B$6^2)&lt;=1)</x:f>
        <x:v>1</x:v>
      </x:c>
      <x:c r="F1518" s="42" t="n">
        <x:f>$B$8*SUM($E$18:E1518)/A1518</x:f>
        <x:v>99.64556962025317</x:v>
      </x:c>
      <x:c r="G1518" s="42" t="n">
        <x:f>$B$11</x:f>
        <x:v>100.53096491487338</x:v>
      </x:c>
      <x:c r="I1518" t="n">
        <x:f>A1518</x:f>
        <x:v>1501</x:v>
      </x:c>
      <x:c r="J1518" t="n">
        <x:f>F1518</x:f>
        <x:v>99.64556962025317</x:v>
      </x:c>
      <x:c r="K1518" t="n">
        <x:f>G1518</x:f>
        <x:v>100.53096491487338</x:v>
      </x:c>
    </x:row>
    <x:row r="1519">
      <x:c r="A1519" t="n">
        <x:v>1502</x:v>
      </x:c>
      <x:c r="B1519" s="40" t="n">
        <x:v>1.8423478500265</x:v>
      </x:c>
      <x:c r="C1519" s="40" t="n">
        <x:v>0.4230549176735483</x:v>
      </x:c>
      <x:c r="D1519" s="40" t="n">
        <x:v>0.05461572974039797</x:v>
      </x:c>
      <x:c r="E1519" t="n">
        <x:f>--((B1519^2/$B$4^2+C1519^2/$B$5^2+D1519^2/$B$6^2)&lt;=1)</x:f>
        <x:v>1</x:v>
      </x:c>
      <x:c r="F1519" s="42" t="n">
        <x:f>$B$8*SUM($E$18:E1519)/A1519</x:f>
        <x:v>99.70705725699068</x:v>
      </x:c>
      <x:c r="G1519" s="42" t="n">
        <x:f>$B$11</x:f>
        <x:v>100.53096491487338</x:v>
      </x:c>
      <x:c r="I1519" t="n">
        <x:f>A1519</x:f>
        <x:v>1502</x:v>
      </x:c>
      <x:c r="J1519" t="n">
        <x:f>F1519</x:f>
        <x:v>99.70705725699068</x:v>
      </x:c>
      <x:c r="K1519" t="n">
        <x:f>G1519</x:f>
        <x:v>100.53096491487338</x:v>
      </x:c>
    </x:row>
    <x:row r="1520">
      <x:c r="A1520" t="n">
        <x:v>1503</x:v>
      </x:c>
      <x:c r="B1520" s="40" t="n">
        <x:v>-0.5163507138333232</x:v>
      </x:c>
      <x:c r="C1520" s="40" t="n">
        <x:v>-2.9961461778007576</x:v>
      </x:c>
      <x:c r="D1520" s="40" t="n">
        <x:v>-3.09827146937712</x:v>
      </x:c>
      <x:c r="E1520" t="n">
        <x:f>--((B1520^2/$B$4^2+C1520^2/$B$5^2+D1520^2/$B$6^2)&lt;=1)</x:f>
        <x:v>0</x:v>
      </x:c>
      <x:c r="F1520" s="42" t="n">
        <x:f>$B$8*SUM($E$18:E1520)/A1520</x:f>
        <x:v>99.64071856287426</x:v>
      </x:c>
      <x:c r="G1520" s="42" t="n">
        <x:f>$B$11</x:f>
        <x:v>100.53096491487338</x:v>
      </x:c>
      <x:c r="I1520" t="n">
        <x:f>A1520</x:f>
        <x:v>1503</x:v>
      </x:c>
      <x:c r="J1520" t="n">
        <x:f>F1520</x:f>
        <x:v>99.64071856287426</x:v>
      </x:c>
      <x:c r="K1520" t="n">
        <x:f>G1520</x:f>
        <x:v>100.53096491487338</x:v>
      </x:c>
    </x:row>
    <x:row r="1521">
      <x:c r="A1521" t="n">
        <x:v>1504</x:v>
      </x:c>
      <x:c r="B1521" s="40" t="n">
        <x:v>-0.2996729299434753</x:v>
      </x:c>
      <x:c r="C1521" s="40" t="n">
        <x:v>0.8692386880671732</x:v>
      </x:c>
      <x:c r="D1521" s="40" t="n">
        <x:v>1.0083910179632776</x:v>
      </x:c>
      <x:c r="E1521" t="n">
        <x:f>--((B1521^2/$B$4^2+C1521^2/$B$5^2+D1521^2/$B$6^2)&lt;=1)</x:f>
        <x:v>1</x:v>
      </x:c>
      <x:c r="F1521" s="42" t="n">
        <x:f>$B$8*SUM($E$18:E1521)/A1521</x:f>
        <x:v>99.70212765957447</x:v>
      </x:c>
      <x:c r="G1521" s="42" t="n">
        <x:f>$B$11</x:f>
        <x:v>100.53096491487338</x:v>
      </x:c>
      <x:c r="I1521" t="n">
        <x:f>A1521</x:f>
        <x:v>1504</x:v>
      </x:c>
      <x:c r="J1521" t="n">
        <x:f>F1521</x:f>
        <x:v>99.70212765957447</x:v>
      </x:c>
      <x:c r="K1521" t="n">
        <x:f>G1521</x:f>
        <x:v>100.53096491487338</x:v>
      </x:c>
    </x:row>
    <x:row r="1522">
      <x:c r="A1522" t="n">
        <x:v>1505</x:v>
      </x:c>
      <x:c r="B1522" s="40" t="n">
        <x:v>1.2484918447482367</x:v>
      </x:c>
      <x:c r="C1522" s="40" t="n">
        <x:v>1.3090547527676204</x:v>
      </x:c>
      <x:c r="D1522" s="40" t="n">
        <x:v>2.999192564451957</x:v>
      </x:c>
      <x:c r="E1522" t="n">
        <x:f>--((B1522^2/$B$4^2+C1522^2/$B$5^2+D1522^2/$B$6^2)&lt;=1)</x:f>
        <x:v>0</x:v>
      </x:c>
      <x:c r="F1522" s="42" t="n">
        <x:f>$B$8*SUM($E$18:E1522)/A1522</x:f>
        <x:v>99.63588039867109</x:v>
      </x:c>
      <x:c r="G1522" s="42" t="n">
        <x:f>$B$11</x:f>
        <x:v>100.53096491487338</x:v>
      </x:c>
      <x:c r="I1522" t="n">
        <x:f>A1522</x:f>
        <x:v>1505</x:v>
      </x:c>
      <x:c r="J1522" t="n">
        <x:f>F1522</x:f>
        <x:v>99.63588039867109</x:v>
      </x:c>
      <x:c r="K1522" t="n">
        <x:f>G1522</x:f>
        <x:v>100.53096491487338</x:v>
      </x:c>
    </x:row>
    <x:row r="1523">
      <x:c r="A1523" t="n">
        <x:v>1506</x:v>
      </x:c>
      <x:c r="B1523" s="40" t="n">
        <x:v>0.023049258970964992</x:v>
      </x:c>
      <x:c r="C1523" s="40" t="n">
        <x:v>0.4026561929327537</x:v>
      </x:c>
      <x:c r="D1523" s="40" t="n">
        <x:v>-1.0998489455701144</x:v>
      </x:c>
      <x:c r="E1523" t="n">
        <x:f>--((B1523^2/$B$4^2+C1523^2/$B$5^2+D1523^2/$B$6^2)&lt;=1)</x:f>
        <x:v>1</x:v>
      </x:c>
      <x:c r="F1523" s="42" t="n">
        <x:f>$B$8*SUM($E$18:E1523)/A1523</x:f>
        <x:v>99.69721115537848</x:v>
      </x:c>
      <x:c r="G1523" s="42" t="n">
        <x:f>$B$11</x:f>
        <x:v>100.53096491487338</x:v>
      </x:c>
      <x:c r="I1523" t="n">
        <x:f>A1523</x:f>
        <x:v>1506</x:v>
      </x:c>
      <x:c r="J1523" t="n">
        <x:f>F1523</x:f>
        <x:v>99.69721115537848</x:v>
      </x:c>
      <x:c r="K1523" t="n">
        <x:f>G1523</x:f>
        <x:v>100.53096491487338</x:v>
      </x:c>
    </x:row>
    <x:row r="1524">
      <x:c r="A1524" t="n">
        <x:v>1507</x:v>
      </x:c>
      <x:c r="B1524" s="40" t="n">
        <x:v>0.9462923724629322</x:v>
      </x:c>
      <x:c r="C1524" s="40" t="n">
        <x:v>-0.020647097738303977</x:v>
      </x:c>
      <x:c r="D1524" s="40" t="n">
        <x:v>-2.6520582455567645</x:v>
      </x:c>
      <x:c r="E1524" t="n">
        <x:f>--((B1524^2/$B$4^2+C1524^2/$B$5^2+D1524^2/$B$6^2)&lt;=1)</x:f>
        <x:v>1</x:v>
      </x:c>
      <x:c r="F1524" s="42" t="n">
        <x:f>$B$8*SUM($E$18:E1524)/A1524</x:f>
        <x:v>99.75846051758461</x:v>
      </x:c>
      <x:c r="G1524" s="42" t="n">
        <x:f>$B$11</x:f>
        <x:v>100.53096491487338</x:v>
      </x:c>
      <x:c r="I1524" t="n">
        <x:f>A1524</x:f>
        <x:v>1507</x:v>
      </x:c>
      <x:c r="J1524" t="n">
        <x:f>F1524</x:f>
        <x:v>99.75846051758461</x:v>
      </x:c>
      <x:c r="K1524" t="n">
        <x:f>G1524</x:f>
        <x:v>100.53096491487338</x:v>
      </x:c>
    </x:row>
    <x:row r="1525">
      <x:c r="A1525" t="n">
        <x:v>1508</x:v>
      </x:c>
      <x:c r="B1525" s="40" t="n">
        <x:v>-0.16116214218563174</x:v>
      </x:c>
      <x:c r="C1525" s="40" t="n">
        <x:v>1.8596188422702493</x:v>
      </x:c>
      <x:c r="D1525" s="40" t="n">
        <x:v>-0.7998000337246962</x:v>
      </x:c>
      <x:c r="E1525" t="n">
        <x:f>--((B1525^2/$B$4^2+C1525^2/$B$5^2+D1525^2/$B$6^2)&lt;=1)</x:f>
        <x:v>1</x:v>
      </x:c>
      <x:c r="F1525" s="42" t="n">
        <x:f>$B$8*SUM($E$18:E1525)/A1525</x:f>
        <x:v>99.81962864721486</x:v>
      </x:c>
      <x:c r="G1525" s="42" t="n">
        <x:f>$B$11</x:f>
        <x:v>100.53096491487338</x:v>
      </x:c>
      <x:c r="I1525" t="n">
        <x:f>A1525</x:f>
        <x:v>1508</x:v>
      </x:c>
      <x:c r="J1525" t="n">
        <x:f>F1525</x:f>
        <x:v>99.81962864721486</x:v>
      </x:c>
      <x:c r="K1525" t="n">
        <x:f>G1525</x:f>
        <x:v>100.53096491487338</x:v>
      </x:c>
    </x:row>
    <x:row r="1526">
      <x:c r="A1526" t="n">
        <x:v>1509</x:v>
      </x:c>
      <x:c r="B1526" s="40" t="n">
        <x:v>-1.1380194327491981</x:v>
      </x:c>
      <x:c r="C1526" s="40" t="n">
        <x:v>1.0882363029914508</x:v>
      </x:c>
      <x:c r="D1526" s="40" t="n">
        <x:v>2.287734571605016</x:v>
      </x:c>
      <x:c r="E1526" t="n">
        <x:f>--((B1526^2/$B$4^2+C1526^2/$B$5^2+D1526^2/$B$6^2)&lt;=1)</x:f>
        <x:v>1</x:v>
      </x:c>
      <x:c r="F1526" s="42" t="n">
        <x:f>$B$8*SUM($E$18:E1526)/A1526</x:f>
        <x:v>99.88071570576541</x:v>
      </x:c>
      <x:c r="G1526" s="42" t="n">
        <x:f>$B$11</x:f>
        <x:v>100.53096491487338</x:v>
      </x:c>
      <x:c r="I1526" t="n">
        <x:f>A1526</x:f>
        <x:v>1509</x:v>
      </x:c>
      <x:c r="J1526" t="n">
        <x:f>F1526</x:f>
        <x:v>99.88071570576541</x:v>
      </x:c>
      <x:c r="K1526" t="n">
        <x:f>G1526</x:f>
        <x:v>100.53096491487338</x:v>
      </x:c>
    </x:row>
    <x:row r="1527">
      <x:c r="A1527" t="n">
        <x:v>1510</x:v>
      </x:c>
      <x:c r="B1527" s="40" t="n">
        <x:v>0.9808153711240433</x:v>
      </x:c>
      <x:c r="C1527" s="40" t="n">
        <x:v>-1.3315557616798621</x:v>
      </x:c>
      <x:c r="D1527" s="40" t="n">
        <x:v>0.7319013926367646</x:v>
      </x:c>
      <x:c r="E1527" t="n">
        <x:f>--((B1527^2/$B$4^2+C1527^2/$B$5^2+D1527^2/$B$6^2)&lt;=1)</x:f>
        <x:v>1</x:v>
      </x:c>
      <x:c r="F1527" s="42" t="n">
        <x:f>$B$8*SUM($E$18:E1527)/A1527</x:f>
        <x:v>99.94172185430463</x:v>
      </x:c>
      <x:c r="G1527" s="42" t="n">
        <x:f>$B$11</x:f>
        <x:v>100.53096491487338</x:v>
      </x:c>
      <x:c r="I1527" t="n">
        <x:f>A1527</x:f>
        <x:v>1510</x:v>
      </x:c>
      <x:c r="J1527" t="n">
        <x:f>F1527</x:f>
        <x:v>99.94172185430463</x:v>
      </x:c>
      <x:c r="K1527" t="n">
        <x:f>G1527</x:f>
        <x:v>100.53096491487338</x:v>
      </x:c>
    </x:row>
    <x:row r="1528">
      <x:c r="A1528" t="n">
        <x:v>1511</x:v>
      </x:c>
      <x:c r="B1528" s="40" t="n">
        <x:v>-1.4753793232611603</x:v>
      </x:c>
      <x:c r="C1528" s="40" t="n">
        <x:v>2.754440028479915</x:v>
      </x:c>
      <x:c r="D1528" s="40" t="n">
        <x:v>-3.190854293379175</x:v>
      </x:c>
      <x:c r="E1528" t="n">
        <x:f>--((B1528^2/$B$4^2+C1528^2/$B$5^2+D1528^2/$B$6^2)&lt;=1)</x:f>
        <x:v>0</x:v>
      </x:c>
      <x:c r="F1528" s="42" t="n">
        <x:f>$B$8*SUM($E$18:E1528)/A1528</x:f>
        <x:v>99.87557908669756</x:v>
      </x:c>
      <x:c r="G1528" s="42" t="n">
        <x:f>$B$11</x:f>
        <x:v>100.53096491487338</x:v>
      </x:c>
      <x:c r="I1528" t="n">
        <x:f>A1528</x:f>
        <x:v>1511</x:v>
      </x:c>
      <x:c r="J1528" t="n">
        <x:f>F1528</x:f>
        <x:v>99.87557908669756</x:v>
      </x:c>
      <x:c r="K1528" t="n">
        <x:f>G1528</x:f>
        <x:v>100.53096491487338</x:v>
      </x:c>
    </x:row>
    <x:row r="1529">
      <x:c r="A1529" t="n">
        <x:v>1512</x:v>
      </x:c>
      <x:c r="B1529" s="40" t="n">
        <x:v>-1.2056653458747677</x:v>
      </x:c>
      <x:c r="C1529" s="40" t="n">
        <x:v>1.2436031651720452</x:v>
      </x:c>
      <x:c r="D1529" s="40" t="n">
        <x:v>0.29749723461626676</x:v>
      </x:c>
      <x:c r="E1529" t="n">
        <x:f>--((B1529^2/$B$4^2+C1529^2/$B$5^2+D1529^2/$B$6^2)&lt;=1)</x:f>
        <x:v>1</x:v>
      </x:c>
      <x:c r="F1529" s="42" t="n">
        <x:f>$B$8*SUM($E$18:E1529)/A1529</x:f>
        <x:v>99.93650793650794</x:v>
      </x:c>
      <x:c r="G1529" s="42" t="n">
        <x:f>$B$11</x:f>
        <x:v>100.53096491487338</x:v>
      </x:c>
      <x:c r="I1529" t="n">
        <x:f>A1529</x:f>
        <x:v>1512</x:v>
      </x:c>
      <x:c r="J1529" t="n">
        <x:f>F1529</x:f>
        <x:v>99.93650793650794</x:v>
      </x:c>
      <x:c r="K1529" t="n">
        <x:f>G1529</x:f>
        <x:v>100.53096491487338</x:v>
      </x:c>
    </x:row>
    <x:row r="1530">
      <x:c r="A1530" t="n">
        <x:v>1513</x:v>
      </x:c>
      <x:c r="B1530" s="40" t="n">
        <x:v>0.5072999311368345</x:v>
      </x:c>
      <x:c r="C1530" s="40" t="n">
        <x:v>2.927633573474548</x:v>
      </x:c>
      <x:c r="D1530" s="40" t="n">
        <x:v>-0.2553169483552544</x:v>
      </x:c>
      <x:c r="E1530" t="n">
        <x:f>--((B1530^2/$B$4^2+C1530^2/$B$5^2+D1530^2/$B$6^2)&lt;=1)</x:f>
        <x:v>0</x:v>
      </x:c>
      <x:c r="F1530" s="42" t="n">
        <x:f>$B$8*SUM($E$18:E1530)/A1530</x:f>
        <x:v>99.87045604758758</x:v>
      </x:c>
      <x:c r="G1530" s="42" t="n">
        <x:f>$B$11</x:f>
        <x:v>100.53096491487338</x:v>
      </x:c>
      <x:c r="I1530" t="n">
        <x:f>A1530</x:f>
        <x:v>1513</x:v>
      </x:c>
      <x:c r="J1530" t="n">
        <x:f>F1530</x:f>
        <x:v>99.87045604758758</x:v>
      </x:c>
      <x:c r="K1530" t="n">
        <x:f>G1530</x:f>
        <x:v>100.53096491487338</x:v>
      </x:c>
    </x:row>
    <x:row r="1531">
      <x:c r="A1531" t="n">
        <x:v>1514</x:v>
      </x:c>
      <x:c r="B1531" s="40" t="n">
        <x:v>0.9890792007682792</x:v>
      </x:c>
      <x:c r="C1531" s="40" t="n">
        <x:v>2.8275678976132106</x:v>
      </x:c>
      <x:c r="D1531" s="40" t="n">
        <x:v>-1.3831019518307084</x:v>
      </x:c>
      <x:c r="E1531" t="n">
        <x:f>--((B1531^2/$B$4^2+C1531^2/$B$5^2+D1531^2/$B$6^2)&lt;=1)</x:f>
        <x:v>0</x:v>
      </x:c>
      <x:c r="F1531" s="42" t="n">
        <x:f>$B$8*SUM($E$18:E1531)/A1531</x:f>
        <x:v>99.80449141347424</x:v>
      </x:c>
      <x:c r="G1531" s="42" t="n">
        <x:f>$B$11</x:f>
        <x:v>100.53096491487338</x:v>
      </x:c>
      <x:c r="I1531" t="n">
        <x:f>A1531</x:f>
        <x:v>1514</x:v>
      </x:c>
      <x:c r="J1531" t="n">
        <x:f>F1531</x:f>
        <x:v>99.80449141347424</x:v>
      </x:c>
      <x:c r="K1531" t="n">
        <x:f>G1531</x:f>
        <x:v>100.53096491487338</x:v>
      </x:c>
    </x:row>
    <x:row r="1532">
      <x:c r="A1532" t="n">
        <x:v>1515</x:v>
      </x:c>
      <x:c r="B1532" s="40" t="n">
        <x:v>1.57875154747126</x:v>
      </x:c>
      <x:c r="C1532" s="40" t="n">
        <x:v>2.5134583368605394</x:v>
      </x:c>
      <x:c r="D1532" s="40" t="n">
        <x:v>-3.1187152315734137</x:v>
      </x:c>
      <x:c r="E1532" t="n">
        <x:f>--((B1532^2/$B$4^2+C1532^2/$B$5^2+D1532^2/$B$6^2)&lt;=1)</x:f>
        <x:v>0</x:v>
      </x:c>
      <x:c r="F1532" s="42" t="n">
        <x:f>$B$8*SUM($E$18:E1532)/A1532</x:f>
        <x:v>99.73861386138614</x:v>
      </x:c>
      <x:c r="G1532" s="42" t="n">
        <x:f>$B$11</x:f>
        <x:v>100.53096491487338</x:v>
      </x:c>
      <x:c r="I1532" t="n">
        <x:f>A1532</x:f>
        <x:v>1515</x:v>
      </x:c>
      <x:c r="J1532" t="n">
        <x:f>F1532</x:f>
        <x:v>99.73861386138614</x:v>
      </x:c>
      <x:c r="K1532" t="n">
        <x:f>G1532</x:f>
        <x:v>100.53096491487338</x:v>
      </x:c>
    </x:row>
    <x:row r="1533">
      <x:c r="A1533" t="n">
        <x:v>1516</x:v>
      </x:c>
      <x:c r="B1533" s="40" t="n">
        <x:v>-0.9096540103364332</x:v>
      </x:c>
      <x:c r="C1533" s="40" t="n">
        <x:v>1.5322292473518457</x:v>
      </x:c>
      <x:c r="D1533" s="40" t="n">
        <x:v>3.848895484962199</x:v>
      </x:c>
      <x:c r="E1533" t="n">
        <x:f>--((B1533^2/$B$4^2+C1533^2/$B$5^2+D1533^2/$B$6^2)&lt;=1)</x:f>
        <x:v>0</x:v>
      </x:c>
      <x:c r="F1533" s="42" t="n">
        <x:f>$B$8*SUM($E$18:E1533)/A1533</x:f>
        <x:v>99.67282321899737</x:v>
      </x:c>
      <x:c r="G1533" s="42" t="n">
        <x:f>$B$11</x:f>
        <x:v>100.53096491487338</x:v>
      </x:c>
      <x:c r="I1533" t="n">
        <x:f>A1533</x:f>
        <x:v>1516</x:v>
      </x:c>
      <x:c r="J1533" t="n">
        <x:f>F1533</x:f>
        <x:v>99.67282321899737</x:v>
      </x:c>
      <x:c r="K1533" t="n">
        <x:f>G1533</x:f>
        <x:v>100.53096491487338</x:v>
      </x:c>
    </x:row>
    <x:row r="1534">
      <x:c r="A1534" t="n">
        <x:v>1517</x:v>
      </x:c>
      <x:c r="B1534" s="40" t="n">
        <x:v>-1.5571029655977826</x:v>
      </x:c>
      <x:c r="C1534" s="40" t="n">
        <x:v>0.6565762109818043</x:v>
      </x:c>
      <x:c r="D1534" s="40" t="n">
        <x:v>-2.591653440853955</x:v>
      </x:c>
      <x:c r="E1534" t="n">
        <x:f>--((B1534^2/$B$4^2+C1534^2/$B$5^2+D1534^2/$B$6^2)&lt;=1)</x:f>
        <x:v>0</x:v>
      </x:c>
      <x:c r="F1534" s="42" t="n">
        <x:f>$B$8*SUM($E$18:E1534)/A1534</x:f>
        <x:v>99.60711931443639</x:v>
      </x:c>
      <x:c r="G1534" s="42" t="n">
        <x:f>$B$11</x:f>
        <x:v>100.53096491487338</x:v>
      </x:c>
      <x:c r="I1534" t="n">
        <x:f>A1534</x:f>
        <x:v>1517</x:v>
      </x:c>
      <x:c r="J1534" t="n">
        <x:f>F1534</x:f>
        <x:v>99.60711931443639</x:v>
      </x:c>
      <x:c r="K1534" t="n">
        <x:f>G1534</x:f>
        <x:v>100.53096491487338</x:v>
      </x:c>
    </x:row>
    <x:row r="1535">
      <x:c r="A1535" t="n">
        <x:v>1518</x:v>
      </x:c>
      <x:c r="B1535" s="40" t="n">
        <x:v>1.8241866380905165</x:v>
      </x:c>
      <x:c r="C1535" s="40" t="n">
        <x:v>-1.9669760179024547</x:v>
      </x:c>
      <x:c r="D1535" s="40" t="n">
        <x:v>-2.4580568736740362</x:v>
      </x:c>
      <x:c r="E1535" t="n">
        <x:f>--((B1535^2/$B$4^2+C1535^2/$B$5^2+D1535^2/$B$6^2)&lt;=1)</x:f>
        <x:v>0</x:v>
      </x:c>
      <x:c r="F1535" s="42" t="n">
        <x:f>$B$8*SUM($E$18:E1535)/A1535</x:f>
        <x:v>99.54150197628458</x:v>
      </x:c>
      <x:c r="G1535" s="42" t="n">
        <x:f>$B$11</x:f>
        <x:v>100.53096491487338</x:v>
      </x:c>
      <x:c r="I1535" t="n">
        <x:f>A1535</x:f>
        <x:v>1518</x:v>
      </x:c>
      <x:c r="J1535" t="n">
        <x:f>F1535</x:f>
        <x:v>99.54150197628458</x:v>
      </x:c>
      <x:c r="K1535" t="n">
        <x:f>G1535</x:f>
        <x:v>100.53096491487338</x:v>
      </x:c>
    </x:row>
    <x:row r="1536">
      <x:c r="A1536" t="n">
        <x:v>1519</x:v>
      </x:c>
      <x:c r="B1536" s="40" t="n">
        <x:v>-1.3823076479114302</x:v>
      </x:c>
      <x:c r="C1536" s="40" t="n">
        <x:v>0.2601085045425462</x:v>
      </x:c>
      <x:c r="D1536" s="40" t="n">
        <x:v>-2.8353384631821132</x:v>
      </x:c>
      <x:c r="E1536" t="n">
        <x:f>--((B1536^2/$B$4^2+C1536^2/$B$5^2+D1536^2/$B$6^2)&lt;=1)</x:f>
        <x:v>1</x:v>
      </x:c>
      <x:c r="F1536" s="42" t="n">
        <x:f>$B$8*SUM($E$18:E1536)/A1536</x:f>
        <x:v>99.60236998025016</x:v>
      </x:c>
      <x:c r="G1536" s="42" t="n">
        <x:f>$B$11</x:f>
        <x:v>100.53096491487338</x:v>
      </x:c>
      <x:c r="I1536" t="n">
        <x:f>A1536</x:f>
        <x:v>1519</x:v>
      </x:c>
      <x:c r="J1536" t="n">
        <x:f>F1536</x:f>
        <x:v>99.60236998025016</x:v>
      </x:c>
      <x:c r="K1536" t="n">
        <x:f>G1536</x:f>
        <x:v>100.53096491487338</x:v>
      </x:c>
    </x:row>
    <x:row r="1537">
      <x:c r="A1537" t="n">
        <x:v>1520</x:v>
      </x:c>
      <x:c r="B1537" s="40" t="n">
        <x:v>-1.209332070981442</x:v>
      </x:c>
      <x:c r="C1537" s="40" t="n">
        <x:v>1.592259134365964</x:v>
      </x:c>
      <x:c r="D1537" s="40" t="n">
        <x:v>0.5615443095915049</x:v>
      </x:c>
      <x:c r="E1537" t="n">
        <x:f>--((B1537^2/$B$4^2+C1537^2/$B$5^2+D1537^2/$B$6^2)&lt;=1)</x:f>
        <x:v>1</x:v>
      </x:c>
      <x:c r="F1537" s="42" t="n">
        <x:f>$B$8*SUM($E$18:E1537)/A1537</x:f>
        <x:v>99.66315789473684</x:v>
      </x:c>
      <x:c r="G1537" s="42" t="n">
        <x:f>$B$11</x:f>
        <x:v>100.53096491487338</x:v>
      </x:c>
      <x:c r="I1537" t="n">
        <x:f>A1537</x:f>
        <x:v>1520</x:v>
      </x:c>
      <x:c r="J1537" t="n">
        <x:f>F1537</x:f>
        <x:v>99.66315789473684</x:v>
      </x:c>
      <x:c r="K1537" t="n">
        <x:f>G1537</x:f>
        <x:v>100.53096491487338</x:v>
      </x:c>
    </x:row>
    <x:row r="1538">
      <x:c r="A1538" t="n">
        <x:v>1521</x:v>
      </x:c>
      <x:c r="B1538" s="40" t="n">
        <x:v>-0.8346821857661371</x:v>
      </x:c>
      <x:c r="C1538" s="40" t="n">
        <x:v>0.1251429522334071</x:v>
      </x:c>
      <x:c r="D1538" s="40" t="n">
        <x:v>-0.4506434041383969</x:v>
      </x:c>
      <x:c r="E1538" t="n">
        <x:f>--((B1538^2/$B$4^2+C1538^2/$B$5^2+D1538^2/$B$6^2)&lt;=1)</x:f>
        <x:v>1</x:v>
      </x:c>
      <x:c r="F1538" s="42" t="n">
        <x:f>$B$8*SUM($E$18:E1538)/A1538</x:f>
        <x:v>99.72386587771203</x:v>
      </x:c>
      <x:c r="G1538" s="42" t="n">
        <x:f>$B$11</x:f>
        <x:v>100.53096491487338</x:v>
      </x:c>
      <x:c r="I1538" t="n">
        <x:f>A1538</x:f>
        <x:v>1521</x:v>
      </x:c>
      <x:c r="J1538" t="n">
        <x:f>F1538</x:f>
        <x:v>99.72386587771203</x:v>
      </x:c>
      <x:c r="K1538" t="n">
        <x:f>G1538</x:f>
        <x:v>100.53096491487338</x:v>
      </x:c>
    </x:row>
    <x:row r="1539">
      <x:c r="A1539" t="n">
        <x:v>1522</x:v>
      </x:c>
      <x:c r="B1539" s="40" t="n">
        <x:v>0.11756541610514981</x:v>
      </x:c>
      <x:c r="C1539" s="40" t="n">
        <x:v>2.2094347704339468</x:v>
      </x:c>
      <x:c r="D1539" s="40" t="n">
        <x:v>-2.0035425437875523</x:v>
      </x:c>
      <x:c r="E1539" t="n">
        <x:f>--((B1539^2/$B$4^2+C1539^2/$B$5^2+D1539^2/$B$6^2)&lt;=1)</x:f>
        <x:v>1</x:v>
      </x:c>
      <x:c r="F1539" s="42" t="n">
        <x:f>$B$8*SUM($E$18:E1539)/A1539</x:f>
        <x:v>99.78449408672799</x:v>
      </x:c>
      <x:c r="G1539" s="42" t="n">
        <x:f>$B$11</x:f>
        <x:v>100.53096491487338</x:v>
      </x:c>
      <x:c r="I1539" t="n">
        <x:f>A1539</x:f>
        <x:v>1522</x:v>
      </x:c>
      <x:c r="J1539" t="n">
        <x:f>F1539</x:f>
        <x:v>99.78449408672799</x:v>
      </x:c>
      <x:c r="K1539" t="n">
        <x:f>G1539</x:f>
        <x:v>100.53096491487338</x:v>
      </x:c>
    </x:row>
    <x:row r="1540">
      <x:c r="A1540" t="n">
        <x:v>1523</x:v>
      </x:c>
      <x:c r="B1540" s="40" t="n">
        <x:v>1.531302264136312</x:v>
      </x:c>
      <x:c r="C1540" s="40" t="n">
        <x:v>-2.3420646048498104</x:v>
      </x:c>
      <x:c r="D1540" s="40" t="n">
        <x:v>-0.5646129358277747</x:v>
      </x:c>
      <x:c r="E1540" t="n">
        <x:f>--((B1540^2/$B$4^2+C1540^2/$B$5^2+D1540^2/$B$6^2)&lt;=1)</x:f>
        <x:v>0</x:v>
      </x:c>
      <x:c r="F1540" s="42" t="n">
        <x:f>$B$8*SUM($E$18:E1540)/A1540</x:f>
        <x:v>99.71897570584373</x:v>
      </x:c>
      <x:c r="G1540" s="42" t="n">
        <x:f>$B$11</x:f>
        <x:v>100.53096491487338</x:v>
      </x:c>
      <x:c r="I1540" t="n">
        <x:f>A1540</x:f>
        <x:v>1523</x:v>
      </x:c>
      <x:c r="J1540" t="n">
        <x:f>F1540</x:f>
        <x:v>99.71897570584373</x:v>
      </x:c>
      <x:c r="K1540" t="n">
        <x:f>G1540</x:f>
        <x:v>100.53096491487338</x:v>
      </x:c>
    </x:row>
    <x:row r="1541">
      <x:c r="A1541" t="n">
        <x:v>1524</x:v>
      </x:c>
      <x:c r="B1541" s="40" t="n">
        <x:v>1.0421840909194677</x:v>
      </x:c>
      <x:c r="C1541" s="40" t="n">
        <x:v>-0.7143579117081957</x:v>
      </x:c>
      <x:c r="D1541" s="40" t="n">
        <x:v>1.3881748084937433</x:v>
      </x:c>
      <x:c r="E1541" t="n">
        <x:f>--((B1541^2/$B$4^2+C1541^2/$B$5^2+D1541^2/$B$6^2)&lt;=1)</x:f>
        <x:v>1</x:v>
      </x:c>
      <x:c r="F1541" s="42" t="n">
        <x:f>$B$8*SUM($E$18:E1541)/A1541</x:f>
        <x:v>99.77952755905511</x:v>
      </x:c>
      <x:c r="G1541" s="42" t="n">
        <x:f>$B$11</x:f>
        <x:v>100.53096491487338</x:v>
      </x:c>
      <x:c r="I1541" t="n">
        <x:f>A1541</x:f>
        <x:v>1524</x:v>
      </x:c>
      <x:c r="J1541" t="n">
        <x:f>F1541</x:f>
        <x:v>99.77952755905511</x:v>
      </x:c>
      <x:c r="K1541" t="n">
        <x:f>G1541</x:f>
        <x:v>100.53096491487338</x:v>
      </x:c>
    </x:row>
    <x:row r="1542">
      <x:c r="A1542" t="n">
        <x:v>1525</x:v>
      </x:c>
      <x:c r="B1542" s="40" t="n">
        <x:v>0.8326302153705405</x:v>
      </x:c>
      <x:c r="C1542" s="40" t="n">
        <x:v>0.03578651156194379</x:v>
      </x:c>
      <x:c r="D1542" s="40" t="n">
        <x:v>-1.7463957480109586</x:v>
      </x:c>
      <x:c r="E1542" t="n">
        <x:f>--((B1542^2/$B$4^2+C1542^2/$B$5^2+D1542^2/$B$6^2)&lt;=1)</x:f>
        <x:v>1</x:v>
      </x:c>
      <x:c r="F1542" s="42" t="n">
        <x:f>$B$8*SUM($E$18:E1542)/A1542</x:f>
        <x:v>99.84</x:v>
      </x:c>
      <x:c r="G1542" s="42" t="n">
        <x:f>$B$11</x:f>
        <x:v>100.53096491487338</x:v>
      </x:c>
      <x:c r="I1542" t="n">
        <x:f>A1542</x:f>
        <x:v>1525</x:v>
      </x:c>
      <x:c r="J1542" t="n">
        <x:f>F1542</x:f>
        <x:v>99.84</x:v>
      </x:c>
      <x:c r="K1542" t="n">
        <x:f>G1542</x:f>
        <x:v>100.53096491487338</x:v>
      </x:c>
    </x:row>
    <x:row r="1543">
      <x:c r="A1543" t="n">
        <x:v>1526</x:v>
      </x:c>
      <x:c r="B1543" s="40" t="n">
        <x:v>-1.2992777285759853</x:v>
      </x:c>
      <x:c r="C1543" s="40" t="n">
        <x:v>-0.4060482247853514</x:v>
      </x:c>
      <x:c r="D1543" s="40" t="n">
        <x:v>3.321966208243043</x:v>
      </x:c>
      <x:c r="E1543" t="n">
        <x:f>--((B1543^2/$B$4^2+C1543^2/$B$5^2+D1543^2/$B$6^2)&lt;=1)</x:f>
        <x:v>0</x:v>
      </x:c>
      <x:c r="F1543" s="42" t="n">
        <x:f>$B$8*SUM($E$18:E1543)/A1543</x:f>
        <x:v>99.7745740498034</x:v>
      </x:c>
      <x:c r="G1543" s="42" t="n">
        <x:f>$B$11</x:f>
        <x:v>100.53096491487338</x:v>
      </x:c>
      <x:c r="I1543" t="n">
        <x:f>A1543</x:f>
        <x:v>1526</x:v>
      </x:c>
      <x:c r="J1543" t="n">
        <x:f>F1543</x:f>
        <x:v>99.7745740498034</x:v>
      </x:c>
      <x:c r="K1543" t="n">
        <x:f>G1543</x:f>
        <x:v>100.53096491487338</x:v>
      </x:c>
    </x:row>
    <x:row r="1544">
      <x:c r="A1544" t="n">
        <x:v>1527</x:v>
      </x:c>
      <x:c r="B1544" s="40" t="n">
        <x:v>-0.569269473896103</x:v>
      </x:c>
      <x:c r="C1544" s="40" t="n">
        <x:v>-2.3484807130706815</x:v>
      </x:c>
      <x:c r="D1544" s="40" t="n">
        <x:v>-1.5492301025783535</x:v>
      </x:c>
      <x:c r="E1544" t="n">
        <x:f>--((B1544^2/$B$4^2+C1544^2/$B$5^2+D1544^2/$B$6^2)&lt;=1)</x:f>
        <x:v>1</x:v>
      </x:c>
      <x:c r="F1544" s="42" t="n">
        <x:f>$B$8*SUM($E$18:E1544)/A1544</x:f>
        <x:v>99.83497053045187</x:v>
      </x:c>
      <x:c r="G1544" s="42" t="n">
        <x:f>$B$11</x:f>
        <x:v>100.53096491487338</x:v>
      </x:c>
      <x:c r="I1544" t="n">
        <x:f>A1544</x:f>
        <x:v>1527</x:v>
      </x:c>
      <x:c r="J1544" t="n">
        <x:f>F1544</x:f>
        <x:v>99.83497053045187</x:v>
      </x:c>
      <x:c r="K1544" t="n">
        <x:f>G1544</x:f>
        <x:v>100.53096491487338</x:v>
      </x:c>
    </x:row>
    <x:row r="1545">
      <x:c r="A1545" t="n">
        <x:v>1528</x:v>
      </x:c>
      <x:c r="B1545" s="40" t="n">
        <x:v>-0.0863802956532882</x:v>
      </x:c>
      <x:c r="C1545" s="40" t="n">
        <x:v>-2.078830235732217</x:v>
      </x:c>
      <x:c r="D1545" s="40" t="n">
        <x:v>-2.414567753417174</x:v>
      </x:c>
      <x:c r="E1545" t="n">
        <x:f>--((B1545^2/$B$4^2+C1545^2/$B$5^2+D1545^2/$B$6^2)&lt;=1)</x:f>
        <x:v>1</x:v>
      </x:c>
      <x:c r="F1545" s="42" t="n">
        <x:f>$B$8*SUM($E$18:E1545)/A1545</x:f>
        <x:v>99.89528795811518</x:v>
      </x:c>
      <x:c r="G1545" s="42" t="n">
        <x:f>$B$11</x:f>
        <x:v>100.53096491487338</x:v>
      </x:c>
      <x:c r="I1545" t="n">
        <x:f>A1545</x:f>
        <x:v>1528</x:v>
      </x:c>
      <x:c r="J1545" t="n">
        <x:f>F1545</x:f>
        <x:v>99.89528795811518</x:v>
      </x:c>
      <x:c r="K1545" t="n">
        <x:f>G1545</x:f>
        <x:v>100.53096491487338</x:v>
      </x:c>
    </x:row>
    <x:row r="1546">
      <x:c r="A1546" t="n">
        <x:v>1529</x:v>
      </x:c>
      <x:c r="B1546" s="40" t="n">
        <x:v>-1.4102961860576566</x:v>
      </x:c>
      <x:c r="C1546" s="40" t="n">
        <x:v>2.0257037571329226</x:v>
      </x:c>
      <x:c r="D1546" s="40" t="n">
        <x:v>3.636542774982516</x:v>
      </x:c>
      <x:c r="E1546" t="n">
        <x:f>--((B1546^2/$B$4^2+C1546^2/$B$5^2+D1546^2/$B$6^2)&lt;=1)</x:f>
        <x:v>0</x:v>
      </x:c>
      <x:c r="F1546" s="42" t="n">
        <x:f>$B$8*SUM($E$18:E1546)/A1546</x:f>
        <x:v>99.82995421844343</x:v>
      </x:c>
      <x:c r="G1546" s="42" t="n">
        <x:f>$B$11</x:f>
        <x:v>100.53096491487338</x:v>
      </x:c>
      <x:c r="I1546" t="n">
        <x:f>A1546</x:f>
        <x:v>1529</x:v>
      </x:c>
      <x:c r="J1546" t="n">
        <x:f>F1546</x:f>
        <x:v>99.82995421844343</x:v>
      </x:c>
      <x:c r="K1546" t="n">
        <x:f>G1546</x:f>
        <x:v>100.53096491487338</x:v>
      </x:c>
    </x:row>
    <x:row r="1547">
      <x:c r="A1547" t="n">
        <x:v>1530</x:v>
      </x:c>
      <x:c r="B1547" s="40" t="n">
        <x:v>-0.90628119149331</x:v>
      </x:c>
      <x:c r="C1547" s="40" t="n">
        <x:v>-0.09369444479129374</x:v>
      </x:c>
      <x:c r="D1547" s="40" t="n">
        <x:v>2.484484880945435</x:v>
      </x:c>
      <x:c r="E1547" t="n">
        <x:f>--((B1547^2/$B$4^2+C1547^2/$B$5^2+D1547^2/$B$6^2)&lt;=1)</x:f>
        <x:v>1</x:v>
      </x:c>
      <x:c r="F1547" s="42" t="n">
        <x:f>$B$8*SUM($E$18:E1547)/A1547</x:f>
        <x:v>99.89019607843137</x:v>
      </x:c>
      <x:c r="G1547" s="42" t="n">
        <x:f>$B$11</x:f>
        <x:v>100.53096491487338</x:v>
      </x:c>
      <x:c r="I1547" t="n">
        <x:f>A1547</x:f>
        <x:v>1530</x:v>
      </x:c>
      <x:c r="J1547" t="n">
        <x:f>F1547</x:f>
        <x:v>99.89019607843137</x:v>
      </x:c>
      <x:c r="K1547" t="n">
        <x:f>G1547</x:f>
        <x:v>100.53096491487338</x:v>
      </x:c>
    </x:row>
    <x:row r="1548">
      <x:c r="A1548" t="n">
        <x:v>1531</x:v>
      </x:c>
      <x:c r="B1548" s="40" t="n">
        <x:v>-0.766667184188623</x:v>
      </x:c>
      <x:c r="C1548" s="40" t="n">
        <x:v>-2.707665439483634</x:v>
      </x:c>
      <x:c r="D1548" s="40" t="n">
        <x:v>-1.2548990012522756</x:v>
      </x:c>
      <x:c r="E1548" t="n">
        <x:f>--((B1548^2/$B$4^2+C1548^2/$B$5^2+D1548^2/$B$6^2)&lt;=1)</x:f>
        <x:v>0</x:v>
      </x:c>
      <x:c r="F1548" s="42" t="n">
        <x:f>$B$8*SUM($E$18:E1548)/A1548</x:f>
        <x:v>99.8249510124102</x:v>
      </x:c>
      <x:c r="G1548" s="42" t="n">
        <x:f>$B$11</x:f>
        <x:v>100.53096491487338</x:v>
      </x:c>
      <x:c r="I1548" t="n">
        <x:f>A1548</x:f>
        <x:v>1531</x:v>
      </x:c>
      <x:c r="J1548" t="n">
        <x:f>F1548</x:f>
        <x:v>99.8249510124102</x:v>
      </x:c>
      <x:c r="K1548" t="n">
        <x:f>G1548</x:f>
        <x:v>100.53096491487338</x:v>
      </x:c>
    </x:row>
    <x:row r="1549">
      <x:c r="A1549" t="n">
        <x:v>1532</x:v>
      </x:c>
      <x:c r="B1549" s="40" t="n">
        <x:v>-1.490895206683843</x:v>
      </x:c>
      <x:c r="C1549" s="40" t="n">
        <x:v>-2.9010524461341003</x:v>
      </x:c>
      <x:c r="D1549" s="40" t="n">
        <x:v>2.731454809151008</x:v>
      </x:c>
      <x:c r="E1549" t="n">
        <x:f>--((B1549^2/$B$4^2+C1549^2/$B$5^2+D1549^2/$B$6^2)&lt;=1)</x:f>
        <x:v>0</x:v>
      </x:c>
      <x:c r="F1549" s="42" t="n">
        <x:f>$B$8*SUM($E$18:E1549)/A1549</x:f>
        <x:v>99.7597911227154</x:v>
      </x:c>
      <x:c r="G1549" s="42" t="n">
        <x:f>$B$11</x:f>
        <x:v>100.53096491487338</x:v>
      </x:c>
      <x:c r="I1549" t="n">
        <x:f>A1549</x:f>
        <x:v>1532</x:v>
      </x:c>
      <x:c r="J1549" t="n">
        <x:f>F1549</x:f>
        <x:v>99.7597911227154</x:v>
      </x:c>
      <x:c r="K1549" t="n">
        <x:f>G1549</x:f>
        <x:v>100.53096491487338</x:v>
      </x:c>
    </x:row>
    <x:row r="1550">
      <x:c r="A1550" t="n">
        <x:v>1533</x:v>
      </x:c>
      <x:c r="B1550" s="40" t="n">
        <x:v>0.20095876763303044</x:v>
      </x:c>
      <x:c r="C1550" s="40" t="n">
        <x:v>-0.1591475880340405</x:v>
      </x:c>
      <x:c r="D1550" s="40" t="n">
        <x:v>0.15051399323040027</x:v>
      </x:c>
      <x:c r="E1550" t="n">
        <x:f>--((B1550^2/$B$4^2+C1550^2/$B$5^2+D1550^2/$B$6^2)&lt;=1)</x:f>
        <x:v>1</x:v>
      </x:c>
      <x:c r="F1550" s="42" t="n">
        <x:f>$B$8*SUM($E$18:E1550)/A1550</x:f>
        <x:v>99.81996086105676</x:v>
      </x:c>
      <x:c r="G1550" s="42" t="n">
        <x:f>$B$11</x:f>
        <x:v>100.53096491487338</x:v>
      </x:c>
      <x:c r="I1550" t="n">
        <x:f>A1550</x:f>
        <x:v>1533</x:v>
      </x:c>
      <x:c r="J1550" t="n">
        <x:f>F1550</x:f>
        <x:v>99.81996086105676</x:v>
      </x:c>
      <x:c r="K1550" t="n">
        <x:f>G1550</x:f>
        <x:v>100.53096491487338</x:v>
      </x:c>
    </x:row>
    <x:row r="1551">
      <x:c r="A1551" t="n">
        <x:v>1534</x:v>
      </x:c>
      <x:c r="B1551" s="40" t="n">
        <x:v>0.8201127860967716</x:v>
      </x:c>
      <x:c r="C1551" s="40" t="n">
        <x:v>-2.013727644453338</x:v>
      </x:c>
      <x:c r="D1551" s="40" t="n">
        <x:v>-1.2259800139114976</x:v>
      </x:c>
      <x:c r="E1551" t="n">
        <x:f>--((B1551^2/$B$4^2+C1551^2/$B$5^2+D1551^2/$B$6^2)&lt;=1)</x:f>
        <x:v>1</x:v>
      </x:c>
      <x:c r="F1551" s="42" t="n">
        <x:f>$B$8*SUM($E$18:E1551)/A1551</x:f>
        <x:v>99.88005215123859</x:v>
      </x:c>
      <x:c r="G1551" s="42" t="n">
        <x:f>$B$11</x:f>
        <x:v>100.53096491487338</x:v>
      </x:c>
      <x:c r="I1551" t="n">
        <x:f>A1551</x:f>
        <x:v>1534</x:v>
      </x:c>
      <x:c r="J1551" t="n">
        <x:f>F1551</x:f>
        <x:v>99.88005215123859</x:v>
      </x:c>
      <x:c r="K1551" t="n">
        <x:f>G1551</x:f>
        <x:v>100.53096491487338</x:v>
      </x:c>
    </x:row>
    <x:row r="1552">
      <x:c r="A1552" t="n">
        <x:v>1535</x:v>
      </x:c>
      <x:c r="B1552" s="40" t="n">
        <x:v>-1.7202734740925552</x:v>
      </x:c>
      <x:c r="C1552" s="40" t="n">
        <x:v>1.230755675995331</x:v>
      </x:c>
      <x:c r="D1552" s="40" t="n">
        <x:v>2.7168927163137147</x:v>
      </x:c>
      <x:c r="E1552" t="n">
        <x:f>--((B1552^2/$B$4^2+C1552^2/$B$5^2+D1552^2/$B$6^2)&lt;=1)</x:f>
        <x:v>0</x:v>
      </x:c>
      <x:c r="F1552" s="42" t="n">
        <x:f>$B$8*SUM($E$18:E1552)/A1552</x:f>
        <x:v>99.81498371335505</x:v>
      </x:c>
      <x:c r="G1552" s="42" t="n">
        <x:f>$B$11</x:f>
        <x:v>100.53096491487338</x:v>
      </x:c>
      <x:c r="I1552" t="n">
        <x:f>A1552</x:f>
        <x:v>1535</x:v>
      </x:c>
      <x:c r="J1552" t="n">
        <x:f>F1552</x:f>
        <x:v>99.81498371335505</x:v>
      </x:c>
      <x:c r="K1552" t="n">
        <x:f>G1552</x:f>
        <x:v>100.53096491487338</x:v>
      </x:c>
    </x:row>
    <x:row r="1553">
      <x:c r="A1553" t="n">
        <x:v>1536</x:v>
      </x:c>
      <x:c r="B1553" s="40" t="n">
        <x:v>-0.07550759294740095</x:v>
      </x:c>
      <x:c r="C1553" s="40" t="n">
        <x:v>1.7719407751665077</x:v>
      </x:c>
      <x:c r="D1553" s="40" t="n">
        <x:v>2.017320534915523</x:v>
      </x:c>
      <x:c r="E1553" t="n">
        <x:f>--((B1553^2/$B$4^2+C1553^2/$B$5^2+D1553^2/$B$6^2)&lt;=1)</x:f>
        <x:v>1</x:v>
      </x:c>
      <x:c r="F1553" s="42" t="n">
        <x:f>$B$8*SUM($E$18:E1553)/A1553</x:f>
        <x:v>99.875</x:v>
      </x:c>
      <x:c r="G1553" s="42" t="n">
        <x:f>$B$11</x:f>
        <x:v>100.53096491487338</x:v>
      </x:c>
      <x:c r="I1553" t="n">
        <x:f>A1553</x:f>
        <x:v>1536</x:v>
      </x:c>
      <x:c r="J1553" t="n">
        <x:f>F1553</x:f>
        <x:v>99.875</x:v>
      </x:c>
      <x:c r="K1553" t="n">
        <x:f>G1553</x:f>
        <x:v>100.53096491487338</x:v>
      </x:c>
    </x:row>
    <x:row r="1554">
      <x:c r="A1554" t="n">
        <x:v>1537</x:v>
      </x:c>
      <x:c r="B1554" s="40" t="n">
        <x:v>1.1288447810711801</x:v>
      </x:c>
      <x:c r="C1554" s="40" t="n">
        <x:v>-1.6302197492573665</x:v>
      </x:c>
      <x:c r="D1554" s="40" t="n">
        <x:v>-1.6170012588551534</x:v>
      </x:c>
      <x:c r="E1554" t="n">
        <x:f>--((B1554^2/$B$4^2+C1554^2/$B$5^2+D1554^2/$B$6^2)&lt;=1)</x:f>
        <x:v>1</x:v>
      </x:c>
      <x:c r="F1554" s="42" t="n">
        <x:f>$B$8*SUM($E$18:E1554)/A1554</x:f>
        <x:v>99.93493819128172</x:v>
      </x:c>
      <x:c r="G1554" s="42" t="n">
        <x:f>$B$11</x:f>
        <x:v>100.53096491487338</x:v>
      </x:c>
      <x:c r="I1554" t="n">
        <x:f>A1554</x:f>
        <x:v>1537</x:v>
      </x:c>
      <x:c r="J1554" t="n">
        <x:f>F1554</x:f>
        <x:v>99.93493819128172</x:v>
      </x:c>
      <x:c r="K1554" t="n">
        <x:f>G1554</x:f>
        <x:v>100.53096491487338</x:v>
      </x:c>
    </x:row>
    <x:row r="1555">
      <x:c r="A1555" t="n">
        <x:v>1538</x:v>
      </x:c>
      <x:c r="B1555" s="40" t="n">
        <x:v>0.9919605158097875</x:v>
      </x:c>
      <x:c r="C1555" s="40" t="n">
        <x:v>0.5530616692906847</x:v>
      </x:c>
      <x:c r="D1555" s="40" t="n">
        <x:v>0.8534281220637903</x:v>
      </x:c>
      <x:c r="E1555" t="n">
        <x:f>--((B1555^2/$B$4^2+C1555^2/$B$5^2+D1555^2/$B$6^2)&lt;=1)</x:f>
        <x:v>1</x:v>
      </x:c>
      <x:c r="F1555" s="42" t="n">
        <x:f>$B$8*SUM($E$18:E1555)/A1555</x:f>
        <x:v>99.99479843953186</x:v>
      </x:c>
      <x:c r="G1555" s="42" t="n">
        <x:f>$B$11</x:f>
        <x:v>100.53096491487338</x:v>
      </x:c>
      <x:c r="I1555" t="n">
        <x:f>A1555</x:f>
        <x:v>1538</x:v>
      </x:c>
      <x:c r="J1555" t="n">
        <x:f>F1555</x:f>
        <x:v>99.99479843953186</x:v>
      </x:c>
      <x:c r="K1555" t="n">
        <x:f>G1555</x:f>
        <x:v>100.53096491487338</x:v>
      </x:c>
    </x:row>
    <x:row r="1556">
      <x:c r="A1556" t="n">
        <x:v>1539</x:v>
      </x:c>
      <x:c r="B1556" s="40" t="n">
        <x:v>1.2602923848750165</x:v>
      </x:c>
      <x:c r="C1556" s="40" t="n">
        <x:v>-2.073332139087684</x:v>
      </x:c>
      <x:c r="D1556" s="40" t="n">
        <x:v>-1.0448782118416222</x:v>
      </x:c>
      <x:c r="E1556" t="n">
        <x:f>--((B1556^2/$B$4^2+C1556^2/$B$5^2+D1556^2/$B$6^2)&lt;=1)</x:f>
        <x:v>1</x:v>
      </x:c>
      <x:c r="F1556" s="42" t="n">
        <x:f>$B$8*SUM($E$18:E1556)/A1556</x:f>
        <x:v>100.05458089668616</x:v>
      </x:c>
      <x:c r="G1556" s="42" t="n">
        <x:f>$B$11</x:f>
        <x:v>100.53096491487338</x:v>
      </x:c>
      <x:c r="I1556" t="n">
        <x:f>A1556</x:f>
        <x:v>1539</x:v>
      </x:c>
      <x:c r="J1556" t="n">
        <x:f>F1556</x:f>
        <x:v>100.05458089668616</x:v>
      </x:c>
      <x:c r="K1556" t="n">
        <x:f>G1556</x:f>
        <x:v>100.53096491487338</x:v>
      </x:c>
    </x:row>
    <x:row r="1557">
      <x:c r="A1557" t="n">
        <x:v>1540</x:v>
      </x:c>
      <x:c r="B1557" s="40" t="n">
        <x:v>-0.2070374673175719</x:v>
      </x:c>
      <x:c r="C1557" s="40" t="n">
        <x:v>-1.1785040904336779</x:v>
      </x:c>
      <x:c r="D1557" s="40" t="n">
        <x:v>-3.991584219516895</x:v>
      </x:c>
      <x:c r="E1557" t="n">
        <x:f>--((B1557^2/$B$4^2+C1557^2/$B$5^2+D1557^2/$B$6^2)&lt;=1)</x:f>
        <x:v>0</x:v>
      </x:c>
      <x:c r="F1557" s="42" t="n">
        <x:f>$B$8*SUM($E$18:E1557)/A1557</x:f>
        <x:v>99.98961038961039</x:v>
      </x:c>
      <x:c r="G1557" s="42" t="n">
        <x:f>$B$11</x:f>
        <x:v>100.53096491487338</x:v>
      </x:c>
      <x:c r="I1557" t="n">
        <x:f>A1557</x:f>
        <x:v>1540</x:v>
      </x:c>
      <x:c r="J1557" t="n">
        <x:f>F1557</x:f>
        <x:v>99.98961038961039</x:v>
      </x:c>
      <x:c r="K1557" t="n">
        <x:f>G1557</x:f>
        <x:v>100.53096491487338</x:v>
      </x:c>
    </x:row>
    <x:row r="1558">
      <x:c r="A1558" t="n">
        <x:v>1541</x:v>
      </x:c>
      <x:c r="B1558" s="40" t="n">
        <x:v>1.2822283305594429</x:v>
      </x:c>
      <x:c r="C1558" s="40" t="n">
        <x:v>2.3327729650885995</x:v>
      </x:c>
      <x:c r="D1558" s="40" t="n">
        <x:v>3.694525931202235</x:v>
      </x:c>
      <x:c r="E1558" t="n">
        <x:f>--((B1558^2/$B$4^2+C1558^2/$B$5^2+D1558^2/$B$6^2)&lt;=1)</x:f>
        <x:v>0</x:v>
      </x:c>
      <x:c r="F1558" s="42" t="n">
        <x:f>$B$8*SUM($E$18:E1558)/A1558</x:f>
        <x:v>99.92472420506165</x:v>
      </x:c>
      <x:c r="G1558" s="42" t="n">
        <x:f>$B$11</x:f>
        <x:v>100.53096491487338</x:v>
      </x:c>
      <x:c r="I1558" t="n">
        <x:f>A1558</x:f>
        <x:v>1541</x:v>
      </x:c>
      <x:c r="J1558" t="n">
        <x:f>F1558</x:f>
        <x:v>99.92472420506165</x:v>
      </x:c>
      <x:c r="K1558" t="n">
        <x:f>G1558</x:f>
        <x:v>100.53096491487338</x:v>
      </x:c>
    </x:row>
    <x:row r="1559">
      <x:c r="A1559" t="n">
        <x:v>1542</x:v>
      </x:c>
      <x:c r="B1559" s="40" t="n">
        <x:v>-1.036987715142922</x:v>
      </x:c>
      <x:c r="C1559" s="40" t="n">
        <x:v>0.26458854889386485</x:v>
      </x:c>
      <x:c r="D1559" s="40" t="n">
        <x:v>0.39703260858269385</x:v>
      </x:c>
      <x:c r="E1559" t="n">
        <x:f>--((B1559^2/$B$4^2+C1559^2/$B$5^2+D1559^2/$B$6^2)&lt;=1)</x:f>
        <x:v>1</x:v>
      </x:c>
      <x:c r="F1559" s="42" t="n">
        <x:f>$B$8*SUM($E$18:E1559)/A1559</x:f>
        <x:v>99.98443579766537</x:v>
      </x:c>
      <x:c r="G1559" s="42" t="n">
        <x:f>$B$11</x:f>
        <x:v>100.53096491487338</x:v>
      </x:c>
      <x:c r="I1559" t="n">
        <x:f>A1559</x:f>
        <x:v>1542</x:v>
      </x:c>
      <x:c r="J1559" t="n">
        <x:f>F1559</x:f>
        <x:v>99.98443579766537</x:v>
      </x:c>
      <x:c r="K1559" t="n">
        <x:f>G1559</x:f>
        <x:v>100.53096491487338</x:v>
      </x:c>
    </x:row>
    <x:row r="1560">
      <x:c r="A1560" t="n">
        <x:v>1543</x:v>
      </x:c>
      <x:c r="B1560" s="40" t="n">
        <x:v>-0.5567577543299387</x:v>
      </x:c>
      <x:c r="C1560" s="40" t="n">
        <x:v>2.315332170865201</x:v>
      </x:c>
      <x:c r="D1560" s="40" t="n">
        <x:v>0.7874608133262653</x:v>
      </x:c>
      <x:c r="E1560" t="n">
        <x:f>--((B1560^2/$B$4^2+C1560^2/$B$5^2+D1560^2/$B$6^2)&lt;=1)</x:f>
        <x:v>1</x:v>
      </x:c>
      <x:c r="F1560" s="42" t="n">
        <x:f>$B$8*SUM($E$18:E1560)/A1560</x:f>
        <x:v>100.04406999351912</x:v>
      </x:c>
      <x:c r="G1560" s="42" t="n">
        <x:f>$B$11</x:f>
        <x:v>100.53096491487338</x:v>
      </x:c>
      <x:c r="I1560" t="n">
        <x:f>A1560</x:f>
        <x:v>1543</x:v>
      </x:c>
      <x:c r="J1560" t="n">
        <x:f>F1560</x:f>
        <x:v>100.04406999351912</x:v>
      </x:c>
      <x:c r="K1560" t="n">
        <x:f>G1560</x:f>
        <x:v>100.53096491487338</x:v>
      </x:c>
    </x:row>
    <x:row r="1561">
      <x:c r="A1561" t="n">
        <x:v>1544</x:v>
      </x:c>
      <x:c r="B1561" s="40" t="n">
        <x:v>-1.2945776943287948</x:v>
      </x:c>
      <x:c r="C1561" s="40" t="n">
        <x:v>-1.6485131749229582</x:v>
      </x:c>
      <x:c r="D1561" s="40" t="n">
        <x:v>0.7991314054183594</x:v>
      </x:c>
      <x:c r="E1561" t="n">
        <x:f>--((B1561^2/$B$4^2+C1561^2/$B$5^2+D1561^2/$B$6^2)&lt;=1)</x:f>
        <x:v>1</x:v>
      </x:c>
      <x:c r="F1561" s="42" t="n">
        <x:f>$B$8*SUM($E$18:E1561)/A1561</x:f>
        <x:v>100.10362694300518</x:v>
      </x:c>
      <x:c r="G1561" s="42" t="n">
        <x:f>$B$11</x:f>
        <x:v>100.53096491487338</x:v>
      </x:c>
      <x:c r="I1561" t="n">
        <x:f>A1561</x:f>
        <x:v>1544</x:v>
      </x:c>
      <x:c r="J1561" t="n">
        <x:f>F1561</x:f>
        <x:v>100.10362694300518</x:v>
      </x:c>
      <x:c r="K1561" t="n">
        <x:f>G1561</x:f>
        <x:v>100.53096491487338</x:v>
      </x:c>
    </x:row>
    <x:row r="1562">
      <x:c r="A1562" t="n">
        <x:v>1545</x:v>
      </x:c>
      <x:c r="B1562" s="40" t="n">
        <x:v>-0.13006184228571271</x:v>
      </x:c>
      <x:c r="C1562" s="40" t="n">
        <x:v>-1.0198539405080038</x:v>
      </x:c>
      <x:c r="D1562" s="40" t="n">
        <x:v>0.40513168655522236</x:v>
      </x:c>
      <x:c r="E1562" t="n">
        <x:f>--((B1562^2/$B$4^2+C1562^2/$B$5^2+D1562^2/$B$6^2)&lt;=1)</x:f>
        <x:v>1</x:v>
      </x:c>
      <x:c r="F1562" s="42" t="n">
        <x:f>$B$8*SUM($E$18:E1562)/A1562</x:f>
        <x:v>100.16310679611651</x:v>
      </x:c>
      <x:c r="G1562" s="42" t="n">
        <x:f>$B$11</x:f>
        <x:v>100.53096491487338</x:v>
      </x:c>
      <x:c r="I1562" t="n">
        <x:f>A1562</x:f>
        <x:v>1545</x:v>
      </x:c>
      <x:c r="J1562" t="n">
        <x:f>F1562</x:f>
        <x:v>100.16310679611651</x:v>
      </x:c>
      <x:c r="K1562" t="n">
        <x:f>G1562</x:f>
        <x:v>100.53096491487338</x:v>
      </x:c>
    </x:row>
    <x:row r="1563">
      <x:c r="A1563" t="n">
        <x:v>1546</x:v>
      </x:c>
      <x:c r="B1563" s="40" t="n">
        <x:v>-0.431759910338227</x:v>
      </x:c>
      <x:c r="C1563" s="40" t="n">
        <x:v>-0.17428716925909793</x:v>
      </x:c>
      <x:c r="D1563" s="40" t="n">
        <x:v>-1.6796172418112523</x:v>
      </x:c>
      <x:c r="E1563" t="n">
        <x:f>--((B1563^2/$B$4^2+C1563^2/$B$5^2+D1563^2/$B$6^2)&lt;=1)</x:f>
        <x:v>1</x:v>
      </x:c>
      <x:c r="F1563" s="42" t="n">
        <x:f>$B$8*SUM($E$18:E1563)/A1563</x:f>
        <x:v>100.22250970245796</x:v>
      </x:c>
      <x:c r="G1563" s="42" t="n">
        <x:f>$B$11</x:f>
        <x:v>100.53096491487338</x:v>
      </x:c>
      <x:c r="I1563" t="n">
        <x:f>A1563</x:f>
        <x:v>1546</x:v>
      </x:c>
      <x:c r="J1563" t="n">
        <x:f>F1563</x:f>
        <x:v>100.22250970245796</x:v>
      </x:c>
      <x:c r="K1563" t="n">
        <x:f>G1563</x:f>
        <x:v>100.53096491487338</x:v>
      </x:c>
    </x:row>
    <x:row r="1564">
      <x:c r="A1564" t="n">
        <x:v>1547</x:v>
      </x:c>
      <x:c r="B1564" s="40" t="n">
        <x:v>-1.0362915343427512</x:v>
      </x:c>
      <x:c r="C1564" s="40" t="n">
        <x:v>-0.11951954883274274</x:v>
      </x:c>
      <x:c r="D1564" s="40" t="n">
        <x:v>3.77260899926445</x:v>
      </x:c>
      <x:c r="E1564" t="n">
        <x:f>--((B1564^2/$B$4^2+C1564^2/$B$5^2+D1564^2/$B$6^2)&lt;=1)</x:f>
        <x:v>0</x:v>
      </x:c>
      <x:c r="F1564" s="42" t="n">
        <x:f>$B$8*SUM($E$18:E1564)/A1564</x:f>
        <x:v>100.15772462831286</x:v>
      </x:c>
      <x:c r="G1564" s="42" t="n">
        <x:f>$B$11</x:f>
        <x:v>100.53096491487338</x:v>
      </x:c>
      <x:c r="I1564" t="n">
        <x:f>A1564</x:f>
        <x:v>1547</x:v>
      </x:c>
      <x:c r="J1564" t="n">
        <x:f>F1564</x:f>
        <x:v>100.15772462831286</x:v>
      </x:c>
      <x:c r="K1564" t="n">
        <x:f>G1564</x:f>
        <x:v>100.53096491487338</x:v>
      </x:c>
    </x:row>
    <x:row r="1565">
      <x:c r="A1565" t="n">
        <x:v>1548</x:v>
      </x:c>
      <x:c r="B1565" s="40" t="n">
        <x:v>1.0071228369231262</x:v>
      </x:c>
      <x:c r="C1565" s="40" t="n">
        <x:v>2.9858878031022025</x:v>
      </x:c>
      <x:c r="D1565" s="40" t="n">
        <x:v>0.9733473001222794</x:v>
      </x:c>
      <x:c r="E1565" t="n">
        <x:f>--((B1565^2/$B$4^2+C1565^2/$B$5^2+D1565^2/$B$6^2)&lt;=1)</x:f>
        <x:v>0</x:v>
      </x:c>
      <x:c r="F1565" s="42" t="n">
        <x:f>$B$8*SUM($E$18:E1565)/A1565</x:f>
        <x:v>100.09302325581395</x:v>
      </x:c>
      <x:c r="G1565" s="42" t="n">
        <x:f>$B$11</x:f>
        <x:v>100.53096491487338</x:v>
      </x:c>
      <x:c r="I1565" t="n">
        <x:f>A1565</x:f>
        <x:v>1548</x:v>
      </x:c>
      <x:c r="J1565" t="n">
        <x:f>F1565</x:f>
        <x:v>100.09302325581395</x:v>
      </x:c>
      <x:c r="K1565" t="n">
        <x:f>G1565</x:f>
        <x:v>100.53096491487338</x:v>
      </x:c>
    </x:row>
    <x:row r="1566">
      <x:c r="A1566" t="n">
        <x:v>1549</x:v>
      </x:c>
      <x:c r="B1566" s="40" t="n">
        <x:v>-0.7446129115534137</x:v>
      </x:c>
      <x:c r="C1566" s="40" t="n">
        <x:v>-2.3133280861732195</x:v>
      </x:c>
      <x:c r="D1566" s="40" t="n">
        <x:v>1.3673708844316916</x:v>
      </x:c>
      <x:c r="E1566" t="n">
        <x:f>--((B1566^2/$B$4^2+C1566^2/$B$5^2+D1566^2/$B$6^2)&lt;=1)</x:f>
        <x:v>1</x:v>
      </x:c>
      <x:c r="F1566" s="42" t="n">
        <x:f>$B$8*SUM($E$18:E1566)/A1566</x:f>
        <x:v>100.15235635894125</x:v>
      </x:c>
      <x:c r="G1566" s="42" t="n">
        <x:f>$B$11</x:f>
        <x:v>100.53096491487338</x:v>
      </x:c>
      <x:c r="I1566" t="n">
        <x:f>A1566</x:f>
        <x:v>1549</x:v>
      </x:c>
      <x:c r="J1566" t="n">
        <x:f>F1566</x:f>
        <x:v>100.15235635894125</x:v>
      </x:c>
      <x:c r="K1566" t="n">
        <x:f>G1566</x:f>
        <x:v>100.53096491487338</x:v>
      </x:c>
    </x:row>
    <x:row r="1567">
      <x:c r="A1567" t="n">
        <x:v>1550</x:v>
      </x:c>
      <x:c r="B1567" s="40" t="n">
        <x:v>-0.9087826794166571</x:v>
      </x:c>
      <x:c r="C1567" s="40" t="n">
        <x:v>2.1117902136095443</x:v>
      </x:c>
      <x:c r="D1567" s="40" t="n">
        <x:v>-0.3616579414636014</x:v>
      </x:c>
      <x:c r="E1567" t="n">
        <x:f>--((B1567^2/$B$4^2+C1567^2/$B$5^2+D1567^2/$B$6^2)&lt;=1)</x:f>
        <x:v>1</x:v>
      </x:c>
      <x:c r="F1567" s="42" t="n">
        <x:f>$B$8*SUM($E$18:E1567)/A1567</x:f>
        <x:v>100.21161290322581</x:v>
      </x:c>
      <x:c r="G1567" s="42" t="n">
        <x:f>$B$11</x:f>
        <x:v>100.53096491487338</x:v>
      </x:c>
      <x:c r="I1567" t="n">
        <x:f>A1567</x:f>
        <x:v>1550</x:v>
      </x:c>
      <x:c r="J1567" t="n">
        <x:f>F1567</x:f>
        <x:v>100.21161290322581</x:v>
      </x:c>
      <x:c r="K1567" t="n">
        <x:f>G1567</x:f>
        <x:v>100.53096491487338</x:v>
      </x:c>
    </x:row>
    <x:row r="1568">
      <x:c r="A1568" t="n">
        <x:v>1551</x:v>
      </x:c>
      <x:c r="B1568" s="40" t="n">
        <x:v>-1.4764386765980198</x:v>
      </x:c>
      <x:c r="C1568" s="40" t="n">
        <x:v>2.182092236531221</x:v>
      </x:c>
      <x:c r="D1568" s="40" t="n">
        <x:v>-1.6971087960737394</x:v>
      </x:c>
      <x:c r="E1568" t="n">
        <x:f>--((B1568^2/$B$4^2+C1568^2/$B$5^2+D1568^2/$B$6^2)&lt;=1)</x:f>
        <x:v>0</x:v>
      </x:c>
      <x:c r="F1568" s="42" t="n">
        <x:f>$B$8*SUM($E$18:E1568)/A1568</x:f>
        <x:v>100.14700193423597</x:v>
      </x:c>
      <x:c r="G1568" s="42" t="n">
        <x:f>$B$11</x:f>
        <x:v>100.53096491487338</x:v>
      </x:c>
      <x:c r="I1568" t="n">
        <x:f>A1568</x:f>
        <x:v>1551</x:v>
      </x:c>
      <x:c r="J1568" t="n">
        <x:f>F1568</x:f>
        <x:v>100.14700193423597</x:v>
      </x:c>
      <x:c r="K1568" t="n">
        <x:f>G1568</x:f>
        <x:v>100.53096491487338</x:v>
      </x:c>
    </x:row>
    <x:row r="1569">
      <x:c r="A1569" t="n">
        <x:v>1552</x:v>
      </x:c>
      <x:c r="B1569" s="40" t="n">
        <x:v>-0.24471319279220527</x:v>
      </x:c>
      <x:c r="C1569" s="40" t="n">
        <x:v>0.319191789226724</x:v>
      </x:c>
      <x:c r="D1569" s="40" t="n">
        <x:v>-3.485208142600565</x:v>
      </x:c>
      <x:c r="E1569" t="n">
        <x:f>--((B1569^2/$B$4^2+C1569^2/$B$5^2+D1569^2/$B$6^2)&lt;=1)</x:f>
        <x:v>1</x:v>
      </x:c>
      <x:c r="F1569" s="42" t="n">
        <x:f>$B$8*SUM($E$18:E1569)/A1569</x:f>
        <x:v>100.20618556701031</x:v>
      </x:c>
      <x:c r="G1569" s="42" t="n">
        <x:f>$B$11</x:f>
        <x:v>100.53096491487338</x:v>
      </x:c>
      <x:c r="I1569" t="n">
        <x:f>A1569</x:f>
        <x:v>1552</x:v>
      </x:c>
      <x:c r="J1569" t="n">
        <x:f>F1569</x:f>
        <x:v>100.20618556701031</x:v>
      </x:c>
      <x:c r="K1569" t="n">
        <x:f>G1569</x:f>
        <x:v>100.53096491487338</x:v>
      </x:c>
    </x:row>
    <x:row r="1570">
      <x:c r="A1570" t="n">
        <x:v>1553</x:v>
      </x:c>
      <x:c r="B1570" s="40" t="n">
        <x:v>-0.7881414846507919</x:v>
      </x:c>
      <x:c r="C1570" s="40" t="n">
        <x:v>-0.9357769904450777</x:v>
      </x:c>
      <x:c r="D1570" s="40" t="n">
        <x:v>-1.1981584274569101</x:v>
      </x:c>
      <x:c r="E1570" t="n">
        <x:f>--((B1570^2/$B$4^2+C1570^2/$B$5^2+D1570^2/$B$6^2)&lt;=1)</x:f>
        <x:v>1</x:v>
      </x:c>
      <x:c r="F1570" s="42" t="n">
        <x:f>$B$8*SUM($E$18:E1570)/A1570</x:f>
        <x:v>100.26529298132647</x:v>
      </x:c>
      <x:c r="G1570" s="42" t="n">
        <x:f>$B$11</x:f>
        <x:v>100.53096491487338</x:v>
      </x:c>
      <x:c r="I1570" t="n">
        <x:f>A1570</x:f>
        <x:v>1553</x:v>
      </x:c>
      <x:c r="J1570" t="n">
        <x:f>F1570</x:f>
        <x:v>100.26529298132647</x:v>
      </x:c>
      <x:c r="K1570" t="n">
        <x:f>G1570</x:f>
        <x:v>100.53096491487338</x:v>
      </x:c>
    </x:row>
    <x:row r="1571">
      <x:c r="A1571" t="n">
        <x:v>1554</x:v>
      </x:c>
      <x:c r="B1571" s="40" t="n">
        <x:v>-0.5229086346361256</x:v>
      </x:c>
      <x:c r="C1571" s="40" t="n">
        <x:v>0.11535662572977712</x:v>
      </x:c>
      <x:c r="D1571" s="40" t="n">
        <x:v>-2.591220565852863</x:v>
      </x:c>
      <x:c r="E1571" t="n">
        <x:f>--((B1571^2/$B$4^2+C1571^2/$B$5^2+D1571^2/$B$6^2)&lt;=1)</x:f>
        <x:v>1</x:v>
      </x:c>
      <x:c r="F1571" s="42" t="n">
        <x:f>$B$8*SUM($E$18:E1571)/A1571</x:f>
        <x:v>100.32432432432432</x:v>
      </x:c>
      <x:c r="G1571" s="42" t="n">
        <x:f>$B$11</x:f>
        <x:v>100.53096491487338</x:v>
      </x:c>
      <x:c r="I1571" t="n">
        <x:f>A1571</x:f>
        <x:v>1554</x:v>
      </x:c>
      <x:c r="J1571" t="n">
        <x:f>F1571</x:f>
        <x:v>100.32432432432432</x:v>
      </x:c>
      <x:c r="K1571" t="n">
        <x:f>G1571</x:f>
        <x:v>100.53096491487338</x:v>
      </x:c>
    </x:row>
    <x:row r="1572">
      <x:c r="A1572" t="n">
        <x:v>1555</x:v>
      </x:c>
      <x:c r="B1572" s="40" t="n">
        <x:v>-1.0560109495177894</x:v>
      </x:c>
      <x:c r="C1572" s="40" t="n">
        <x:v>-1.2451937711606171</x:v>
      </x:c>
      <x:c r="D1572" s="40" t="n">
        <x:v>1.2967061460560947</x:v>
      </x:c>
      <x:c r="E1572" t="n">
        <x:f>--((B1572^2/$B$4^2+C1572^2/$B$5^2+D1572^2/$B$6^2)&lt;=1)</x:f>
        <x:v>1</x:v>
      </x:c>
      <x:c r="F1572" s="42" t="n">
        <x:f>$B$8*SUM($E$18:E1572)/A1572</x:f>
        <x:v>100.38327974276527</x:v>
      </x:c>
      <x:c r="G1572" s="42" t="n">
        <x:f>$B$11</x:f>
        <x:v>100.53096491487338</x:v>
      </x:c>
      <x:c r="I1572" t="n">
        <x:f>A1572</x:f>
        <x:v>1555</x:v>
      </x:c>
      <x:c r="J1572" t="n">
        <x:f>F1572</x:f>
        <x:v>100.38327974276527</x:v>
      </x:c>
      <x:c r="K1572" t="n">
        <x:f>G1572</x:f>
        <x:v>100.53096491487338</x:v>
      </x:c>
    </x:row>
    <x:row r="1573">
      <x:c r="A1573" t="n">
        <x:v>1556</x:v>
      </x:c>
      <x:c r="B1573" s="40" t="n">
        <x:v>1.0526219592796018</x:v>
      </x:c>
      <x:c r="C1573" s="40" t="n">
        <x:v>1.794644690639637</x:v>
      </x:c>
      <x:c r="D1573" s="40" t="n">
        <x:v>3.0320310784217552</x:v>
      </x:c>
      <x:c r="E1573" t="n">
        <x:f>--((B1573^2/$B$4^2+C1573^2/$B$5^2+D1573^2/$B$6^2)&lt;=1)</x:f>
        <x:v>0</x:v>
      </x:c>
      <x:c r="F1573" s="42" t="n">
        <x:f>$B$8*SUM($E$18:E1573)/A1573</x:f>
        <x:v>100.31876606683805</x:v>
      </x:c>
      <x:c r="G1573" s="42" t="n">
        <x:f>$B$11</x:f>
        <x:v>100.53096491487338</x:v>
      </x:c>
      <x:c r="I1573" t="n">
        <x:f>A1573</x:f>
        <x:v>1556</x:v>
      </x:c>
      <x:c r="J1573" t="n">
        <x:f>F1573</x:f>
        <x:v>100.31876606683805</x:v>
      </x:c>
      <x:c r="K1573" t="n">
        <x:f>G1573</x:f>
        <x:v>100.53096491487338</x:v>
      </x:c>
    </x:row>
    <x:row r="1574">
      <x:c r="A1574" t="n">
        <x:v>1557</x:v>
      </x:c>
      <x:c r="B1574" s="40" t="n">
        <x:v>1.7200133894188694</x:v>
      </x:c>
      <x:c r="C1574" s="40" t="n">
        <x:v>-0.010325047738019233</x:v>
      </x:c>
      <x:c r="D1574" s="40" t="n">
        <x:v>-1.5779611340347817</x:v>
      </x:c>
      <x:c r="E1574" t="n">
        <x:f>--((B1574^2/$B$4^2+C1574^2/$B$5^2+D1574^2/$B$6^2)&lt;=1)</x:f>
        <x:v>1</x:v>
      </x:c>
      <x:c r="F1574" s="42" t="n">
        <x:f>$B$8*SUM($E$18:E1574)/A1574</x:f>
        <x:v>100.37764932562621</x:v>
      </x:c>
      <x:c r="G1574" s="42" t="n">
        <x:f>$B$11</x:f>
        <x:v>100.53096491487338</x:v>
      </x:c>
      <x:c r="I1574" t="n">
        <x:f>A1574</x:f>
        <x:v>1557</x:v>
      </x:c>
      <x:c r="J1574" t="n">
        <x:f>F1574</x:f>
        <x:v>100.37764932562621</x:v>
      </x:c>
      <x:c r="K1574" t="n">
        <x:f>G1574</x:f>
        <x:v>100.53096491487338</x:v>
      </x:c>
    </x:row>
    <x:row r="1575">
      <x:c r="A1575" t="n">
        <x:v>1558</x:v>
      </x:c>
      <x:c r="B1575" s="40" t="n">
        <x:v>-0.00827258884444948</x:v>
      </x:c>
      <x:c r="C1575" s="40" t="n">
        <x:v>2.5550530732647037</x:v>
      </x:c>
      <x:c r="D1575" s="40" t="n">
        <x:v>-1.3369389966876275</x:v>
      </x:c>
      <x:c r="E1575" t="n">
        <x:f>--((B1575^2/$B$4^2+C1575^2/$B$5^2+D1575^2/$B$6^2)&lt;=1)</x:f>
        <x:v>1</x:v>
      </x:c>
      <x:c r="F1575" s="42" t="n">
        <x:f>$B$8*SUM($E$18:E1575)/A1575</x:f>
        <x:v>100.4364569961489</x:v>
      </x:c>
      <x:c r="G1575" s="42" t="n">
        <x:f>$B$11</x:f>
        <x:v>100.53096491487338</x:v>
      </x:c>
      <x:c r="I1575" t="n">
        <x:f>A1575</x:f>
        <x:v>1558</x:v>
      </x:c>
      <x:c r="J1575" t="n">
        <x:f>F1575</x:f>
        <x:v>100.4364569961489</x:v>
      </x:c>
      <x:c r="K1575" t="n">
        <x:f>G1575</x:f>
        <x:v>100.53096491487338</x:v>
      </x:c>
    </x:row>
    <x:row r="1576">
      <x:c r="A1576" t="n">
        <x:v>1559</x:v>
      </x:c>
      <x:c r="B1576" s="40" t="n">
        <x:v>0.5719936933633303</x:v>
      </x:c>
      <x:c r="C1576" s="40" t="n">
        <x:v>0.7361480661362627</x:v>
      </x:c>
      <x:c r="D1576" s="40" t="n">
        <x:v>1.3629160306320935</x:v>
      </x:c>
      <x:c r="E1576" t="n">
        <x:f>--((B1576^2/$B$4^2+C1576^2/$B$5^2+D1576^2/$B$6^2)&lt;=1)</x:f>
        <x:v>1</x:v>
      </x:c>
      <x:c r="F1576" s="42" t="n">
        <x:f>$B$8*SUM($E$18:E1576)/A1576</x:f>
        <x:v>100.49518922386144</x:v>
      </x:c>
      <x:c r="G1576" s="42" t="n">
        <x:f>$B$11</x:f>
        <x:v>100.53096491487338</x:v>
      </x:c>
      <x:c r="I1576" t="n">
        <x:f>A1576</x:f>
        <x:v>1559</x:v>
      </x:c>
      <x:c r="J1576" t="n">
        <x:f>F1576</x:f>
        <x:v>100.49518922386144</x:v>
      </x:c>
      <x:c r="K1576" t="n">
        <x:f>G1576</x:f>
        <x:v>100.53096491487338</x:v>
      </x:c>
    </x:row>
    <x:row r="1577">
      <x:c r="A1577" t="n">
        <x:v>1560</x:v>
      </x:c>
      <x:c r="B1577" s="40" t="n">
        <x:v>1.4686891064268242</x:v>
      </x:c>
      <x:c r="C1577" s="40" t="n">
        <x:v>0.08591599868810018</x:v>
      </x:c>
      <x:c r="D1577" s="40" t="n">
        <x:v>-2.8058285260701092</x:v>
      </x:c>
      <x:c r="E1577" t="n">
        <x:f>--((B1577^2/$B$4^2+C1577^2/$B$5^2+D1577^2/$B$6^2)&lt;=1)</x:f>
        <x:v>0</x:v>
      </x:c>
      <x:c r="F1577" s="42" t="n">
        <x:f>$B$8*SUM($E$18:E1577)/A1577</x:f>
        <x:v>100.43076923076923</x:v>
      </x:c>
      <x:c r="G1577" s="42" t="n">
        <x:f>$B$11</x:f>
        <x:v>100.53096491487338</x:v>
      </x:c>
      <x:c r="I1577" t="n">
        <x:f>A1577</x:f>
        <x:v>1560</x:v>
      </x:c>
      <x:c r="J1577" t="n">
        <x:f>F1577</x:f>
        <x:v>100.43076923076923</x:v>
      </x:c>
      <x:c r="K1577" t="n">
        <x:f>G1577</x:f>
        <x:v>100.53096491487338</x:v>
      </x:c>
    </x:row>
    <x:row r="1578">
      <x:c r="A1578" t="n">
        <x:v>1561</x:v>
      </x:c>
      <x:c r="B1578" s="40" t="n">
        <x:v>1.9953185493346344</x:v>
      </x:c>
      <x:c r="C1578" s="40" t="n">
        <x:v>1.2664161238659135</x:v>
      </x:c>
      <x:c r="D1578" s="40" t="n">
        <x:v>3.435499413421593</x:v>
      </x:c>
      <x:c r="E1578" t="n">
        <x:f>--((B1578^2/$B$4^2+C1578^2/$B$5^2+D1578^2/$B$6^2)&lt;=1)</x:f>
        <x:v>0</x:v>
      </x:c>
      <x:c r="F1578" s="42" t="n">
        <x:f>$B$8*SUM($E$18:E1578)/A1578</x:f>
        <x:v>100.36643177450352</x:v>
      </x:c>
      <x:c r="G1578" s="42" t="n">
        <x:f>$B$11</x:f>
        <x:v>100.53096491487338</x:v>
      </x:c>
      <x:c r="I1578" t="n">
        <x:f>A1578</x:f>
        <x:v>1561</x:v>
      </x:c>
      <x:c r="J1578" t="n">
        <x:f>F1578</x:f>
        <x:v>100.36643177450352</x:v>
      </x:c>
      <x:c r="K1578" t="n">
        <x:f>G1578</x:f>
        <x:v>100.53096491487338</x:v>
      </x:c>
    </x:row>
    <x:row r="1579">
      <x:c r="A1579" t="n">
        <x:v>1562</x:v>
      </x:c>
      <x:c r="B1579" s="40" t="n">
        <x:v>0.45406593891932845</x:v>
      </x:c>
      <x:c r="C1579" s="40" t="n">
        <x:v>0.023597786581405877</x:v>
      </x:c>
      <x:c r="D1579" s="40" t="n">
        <x:v>-1.0892257517961355</x:v>
      </x:c>
      <x:c r="E1579" t="n">
        <x:f>--((B1579^2/$B$4^2+C1579^2/$B$5^2+D1579^2/$B$6^2)&lt;=1)</x:f>
        <x:v>1</x:v>
      </x:c>
      <x:c r="F1579" s="42" t="n">
        <x:f>$B$8*SUM($E$18:E1579)/A1579</x:f>
        <x:v>100.42509603072983</x:v>
      </x:c>
      <x:c r="G1579" s="42" t="n">
        <x:f>$B$11</x:f>
        <x:v>100.53096491487338</x:v>
      </x:c>
      <x:c r="I1579" t="n">
        <x:f>A1579</x:f>
        <x:v>1562</x:v>
      </x:c>
      <x:c r="J1579" t="n">
        <x:f>F1579</x:f>
        <x:v>100.42509603072983</x:v>
      </x:c>
      <x:c r="K1579" t="n">
        <x:f>G1579</x:f>
        <x:v>100.53096491487338</x:v>
      </x:c>
    </x:row>
    <x:row r="1580">
      <x:c r="A1580" t="n">
        <x:v>1563</x:v>
      </x:c>
      <x:c r="B1580" s="40" t="n">
        <x:v>1.559117866159475</x:v>
      </x:c>
      <x:c r="C1580" s="40" t="n">
        <x:v>2.4270381025166827</x:v>
      </x:c>
      <x:c r="D1580" s="40" t="n">
        <x:v>-3.1904044325858028</x:v>
      </x:c>
      <x:c r="E1580" t="n">
        <x:f>--((B1580^2/$B$4^2+C1580^2/$B$5^2+D1580^2/$B$6^2)&lt;=1)</x:f>
        <x:v>0</x:v>
      </x:c>
      <x:c r="F1580" s="42" t="n">
        <x:f>$B$8*SUM($E$18:E1580)/A1580</x:f>
        <x:v>100.36084452975048</x:v>
      </x:c>
      <x:c r="G1580" s="42" t="n">
        <x:f>$B$11</x:f>
        <x:v>100.53096491487338</x:v>
      </x:c>
      <x:c r="I1580" t="n">
        <x:f>A1580</x:f>
        <x:v>1563</x:v>
      </x:c>
      <x:c r="J1580" t="n">
        <x:f>F1580</x:f>
        <x:v>100.36084452975048</x:v>
      </x:c>
      <x:c r="K1580" t="n">
        <x:f>G1580</x:f>
        <x:v>100.53096491487338</x:v>
      </x:c>
    </x:row>
    <x:row r="1581">
      <x:c r="A1581" t="n">
        <x:v>1564</x:v>
      </x:c>
      <x:c r="B1581" s="40" t="n">
        <x:v>1.634432986222568</x:v>
      </x:c>
      <x:c r="C1581" s="40" t="n">
        <x:v>-1.8933242346789523</x:v>
      </x:c>
      <x:c r="D1581" s="40" t="n">
        <x:v>-2.602527960634868</x:v>
      </x:c>
      <x:c r="E1581" t="n">
        <x:f>--((B1581^2/$B$4^2+C1581^2/$B$5^2+D1581^2/$B$6^2)&lt;=1)</x:f>
        <x:v>0</x:v>
      </x:c>
      <x:c r="F1581" s="42" t="n">
        <x:f>$B$8*SUM($E$18:E1581)/A1581</x:f>
        <x:v>100.29667519181585</x:v>
      </x:c>
      <x:c r="G1581" s="42" t="n">
        <x:f>$B$11</x:f>
        <x:v>100.53096491487338</x:v>
      </x:c>
      <x:c r="I1581" t="n">
        <x:f>A1581</x:f>
        <x:v>1564</x:v>
      </x:c>
      <x:c r="J1581" t="n">
        <x:f>F1581</x:f>
        <x:v>100.29667519181585</x:v>
      </x:c>
      <x:c r="K1581" t="n">
        <x:f>G1581</x:f>
        <x:v>100.53096491487338</x:v>
      </x:c>
    </x:row>
    <x:row r="1582">
      <x:c r="A1582" t="n">
        <x:v>1565</x:v>
      </x:c>
      <x:c r="B1582" s="40" t="n">
        <x:v>1.1658059512304892</x:v>
      </x:c>
      <x:c r="C1582" s="40" t="n">
        <x:v>2.8400921024754338</x:v>
      </x:c>
      <x:c r="D1582" s="40" t="n">
        <x:v>3.4619686080596646</x:v>
      </x:c>
      <x:c r="E1582" t="n">
        <x:f>--((B1582^2/$B$4^2+C1582^2/$B$5^2+D1582^2/$B$6^2)&lt;=1)</x:f>
        <x:v>0</x:v>
      </x:c>
      <x:c r="F1582" s="42" t="n">
        <x:f>$B$8*SUM($E$18:E1582)/A1582</x:f>
        <x:v>100.23258785942492</x:v>
      </x:c>
      <x:c r="G1582" s="42" t="n">
        <x:f>$B$11</x:f>
        <x:v>100.53096491487338</x:v>
      </x:c>
      <x:c r="I1582" t="n">
        <x:f>A1582</x:f>
        <x:v>1565</x:v>
      </x:c>
      <x:c r="J1582" t="n">
        <x:f>F1582</x:f>
        <x:v>100.23258785942492</x:v>
      </x:c>
      <x:c r="K1582" t="n">
        <x:f>G1582</x:f>
        <x:v>100.53096491487338</x:v>
      </x:c>
    </x:row>
    <x:row r="1583">
      <x:c r="A1583" t="n">
        <x:v>1566</x:v>
      </x:c>
      <x:c r="B1583" s="40" t="n">
        <x:v>-0.15627443570755917</x:v>
      </x:c>
      <x:c r="C1583" s="40" t="n">
        <x:v>1.8731433111071523</x:v>
      </x:c>
      <x:c r="D1583" s="40" t="n">
        <x:v>-2.02304569304784</x:v>
      </x:c>
      <x:c r="E1583" t="n">
        <x:f>--((B1583^2/$B$4^2+C1583^2/$B$5^2+D1583^2/$B$6^2)&lt;=1)</x:f>
        <x:v>1</x:v>
      </x:c>
      <x:c r="F1583" s="42" t="n">
        <x:f>$B$8*SUM($E$18:E1583)/A1583</x:f>
        <x:v>100.2911877394636</x:v>
      </x:c>
      <x:c r="G1583" s="42" t="n">
        <x:f>$B$11</x:f>
        <x:v>100.53096491487338</x:v>
      </x:c>
      <x:c r="I1583" t="n">
        <x:f>A1583</x:f>
        <x:v>1566</x:v>
      </x:c>
      <x:c r="J1583" t="n">
        <x:f>F1583</x:f>
        <x:v>100.2911877394636</x:v>
      </x:c>
      <x:c r="K1583" t="n">
        <x:f>G1583</x:f>
        <x:v>100.53096491487338</x:v>
      </x:c>
    </x:row>
    <x:row r="1584">
      <x:c r="A1584" t="n">
        <x:v>1567</x:v>
      </x:c>
      <x:c r="B1584" s="40" t="n">
        <x:v>-1.6753839983044028</x:v>
      </x:c>
      <x:c r="C1584" s="40" t="n">
        <x:v>2.164400171189218</x:v>
      </x:c>
      <x:c r="D1584" s="40" t="n">
        <x:v>1.2981504306502911</x:v>
      </x:c>
      <x:c r="E1584" t="n">
        <x:f>--((B1584^2/$B$4^2+C1584^2/$B$5^2+D1584^2/$B$6^2)&lt;=1)</x:f>
        <x:v>0</x:v>
      </x:c>
      <x:c r="F1584" s="42" t="n">
        <x:f>$B$8*SUM($E$18:E1584)/A1584</x:f>
        <x:v>100.22718570516912</x:v>
      </x:c>
      <x:c r="G1584" s="42" t="n">
        <x:f>$B$11</x:f>
        <x:v>100.53096491487338</x:v>
      </x:c>
      <x:c r="I1584" t="n">
        <x:f>A1584</x:f>
        <x:v>1567</x:v>
      </x:c>
      <x:c r="J1584" t="n">
        <x:f>F1584</x:f>
        <x:v>100.22718570516912</x:v>
      </x:c>
      <x:c r="K1584" t="n">
        <x:f>G1584</x:f>
        <x:v>100.53096491487338</x:v>
      </x:c>
    </x:row>
    <x:row r="1585">
      <x:c r="A1585" t="n">
        <x:v>1568</x:v>
      </x:c>
      <x:c r="B1585" s="40" t="n">
        <x:v>-1.9367777782394646</x:v>
      </x:c>
      <x:c r="C1585" s="40" t="n">
        <x:v>-0.10255300577357307</x:v>
      </x:c>
      <x:c r="D1585" s="40" t="n">
        <x:v>-2.750678211693879</x:v>
      </x:c>
      <x:c r="E1585" t="n">
        <x:f>--((B1585^2/$B$4^2+C1585^2/$B$5^2+D1585^2/$B$6^2)&lt;=1)</x:f>
        <x:v>0</x:v>
      </x:c>
      <x:c r="F1585" s="42" t="n">
        <x:f>$B$8*SUM($E$18:E1585)/A1585</x:f>
        <x:v>100.16326530612245</x:v>
      </x:c>
      <x:c r="G1585" s="42" t="n">
        <x:f>$B$11</x:f>
        <x:v>100.53096491487338</x:v>
      </x:c>
      <x:c r="I1585" t="n">
        <x:f>A1585</x:f>
        <x:v>1568</x:v>
      </x:c>
      <x:c r="J1585" t="n">
        <x:f>F1585</x:f>
        <x:v>100.16326530612245</x:v>
      </x:c>
      <x:c r="K1585" t="n">
        <x:f>G1585</x:f>
        <x:v>100.53096491487338</x:v>
      </x:c>
    </x:row>
    <x:row r="1586">
      <x:c r="A1586" t="n">
        <x:v>1569</x:v>
      </x:c>
      <x:c r="B1586" s="40" t="n">
        <x:v>-0.09119746686830155</x:v>
      </x:c>
      <x:c r="C1586" s="40" t="n">
        <x:v>2.023209296025584</x:v>
      </x:c>
      <x:c r="D1586" s="40" t="n">
        <x:v>-2.4471864612097782</x:v>
      </x:c>
      <x:c r="E1586" t="n">
        <x:f>--((B1586^2/$B$4^2+C1586^2/$B$5^2+D1586^2/$B$6^2)&lt;=1)</x:f>
        <x:v>1</x:v>
      </x:c>
      <x:c r="F1586" s="42" t="n">
        <x:f>$B$8*SUM($E$18:E1586)/A1586</x:f>
        <x:v>100.22179732313576</x:v>
      </x:c>
      <x:c r="G1586" s="42" t="n">
        <x:f>$B$11</x:f>
        <x:v>100.53096491487338</x:v>
      </x:c>
      <x:c r="I1586" t="n">
        <x:f>A1586</x:f>
        <x:v>1569</x:v>
      </x:c>
      <x:c r="J1586" t="n">
        <x:f>F1586</x:f>
        <x:v>100.22179732313576</x:v>
      </x:c>
      <x:c r="K1586" t="n">
        <x:f>G1586</x:f>
        <x:v>100.53096491487338</x:v>
      </x:c>
    </x:row>
    <x:row r="1587">
      <x:c r="A1587" t="n">
        <x:v>1570</x:v>
      </x:c>
      <x:c r="B1587" s="40" t="n">
        <x:v>-0.022741865861529043</x:v>
      </x:c>
      <x:c r="C1587" s="40" t="n">
        <x:v>-1.1593554985367691</x:v>
      </x:c>
      <x:c r="D1587" s="40" t="n">
        <x:v>3.0339057511998204</x:v>
      </x:c>
      <x:c r="E1587" t="n">
        <x:f>--((B1587^2/$B$4^2+C1587^2/$B$5^2+D1587^2/$B$6^2)&lt;=1)</x:f>
        <x:v>1</x:v>
      </x:c>
      <x:c r="F1587" s="42" t="n">
        <x:f>$B$8*SUM($E$18:E1587)/A1587</x:f>
        <x:v>100.28025477707007</x:v>
      </x:c>
      <x:c r="G1587" s="42" t="n">
        <x:f>$B$11</x:f>
        <x:v>100.53096491487338</x:v>
      </x:c>
      <x:c r="I1587" t="n">
        <x:f>A1587</x:f>
        <x:v>1570</x:v>
      </x:c>
      <x:c r="J1587" t="n">
        <x:f>F1587</x:f>
        <x:v>100.28025477707007</x:v>
      </x:c>
      <x:c r="K1587" t="n">
        <x:f>G1587</x:f>
        <x:v>100.53096491487338</x:v>
      </x:c>
    </x:row>
    <x:row r="1588">
      <x:c r="A1588" t="n">
        <x:v>1571</x:v>
      </x:c>
      <x:c r="B1588" s="40" t="n">
        <x:v>-0.3705504485481108</x:v>
      </x:c>
      <x:c r="C1588" s="40" t="n">
        <x:v>1.5716890713850509</x:v>
      </x:c>
      <x:c r="D1588" s="40" t="n">
        <x:v>-2.8157342391795055</x:v>
      </x:c>
      <x:c r="E1588" t="n">
        <x:f>--((B1588^2/$B$4^2+C1588^2/$B$5^2+D1588^2/$B$6^2)&lt;=1)</x:f>
        <x:v>1</x:v>
      </x:c>
      <x:c r="F1588" s="42" t="n">
        <x:f>$B$8*SUM($E$18:E1588)/A1588</x:f>
        <x:v>100.33863781031191</x:v>
      </x:c>
      <x:c r="G1588" s="42" t="n">
        <x:f>$B$11</x:f>
        <x:v>100.53096491487338</x:v>
      </x:c>
      <x:c r="I1588" t="n">
        <x:f>A1588</x:f>
        <x:v>1571</x:v>
      </x:c>
      <x:c r="J1588" t="n">
        <x:f>F1588</x:f>
        <x:v>100.33863781031191</x:v>
      </x:c>
      <x:c r="K1588" t="n">
        <x:f>G1588</x:f>
        <x:v>100.53096491487338</x:v>
      </x:c>
    </x:row>
    <x:row r="1589">
      <x:c r="A1589" t="n">
        <x:v>1572</x:v>
      </x:c>
      <x:c r="B1589" s="40" t="n">
        <x:v>0.2726694051654581</x:v>
      </x:c>
      <x:c r="C1589" s="40" t="n">
        <x:v>-2.1572990496658644</x:v>
      </x:c>
      <x:c r="D1589" s="40" t="n">
        <x:v>-3.8499953061097667</x:v>
      </x:c>
      <x:c r="E1589" t="n">
        <x:f>--((B1589^2/$B$4^2+C1589^2/$B$5^2+D1589^2/$B$6^2)&lt;=1)</x:f>
        <x:v>0</x:v>
      </x:c>
      <x:c r="F1589" s="42" t="n">
        <x:f>$B$8*SUM($E$18:E1589)/A1589</x:f>
        <x:v>100.27480916030534</x:v>
      </x:c>
      <x:c r="G1589" s="42" t="n">
        <x:f>$B$11</x:f>
        <x:v>100.53096491487338</x:v>
      </x:c>
      <x:c r="I1589" t="n">
        <x:f>A1589</x:f>
        <x:v>1572</x:v>
      </x:c>
      <x:c r="J1589" t="n">
        <x:f>F1589</x:f>
        <x:v>100.27480916030534</x:v>
      </x:c>
      <x:c r="K1589" t="n">
        <x:f>G1589</x:f>
        <x:v>100.53096491487338</x:v>
      </x:c>
    </x:row>
    <x:row r="1590">
      <x:c r="A1590" t="n">
        <x:v>1573</x:v>
      </x:c>
      <x:c r="B1590" s="40" t="n">
        <x:v>0.2086508132177083</x:v>
      </x:c>
      <x:c r="C1590" s="40" t="n">
        <x:v>-1.1576885042249478</x:v>
      </x:c>
      <x:c r="D1590" s="40" t="n">
        <x:v>0.009865516210210146</x:v>
      </x:c>
      <x:c r="E1590" t="n">
        <x:f>--((B1590^2/$B$4^2+C1590^2/$B$5^2+D1590^2/$B$6^2)&lt;=1)</x:f>
        <x:v>1</x:v>
      </x:c>
      <x:c r="F1590" s="42" t="n">
        <x:f>$B$8*SUM($E$18:E1590)/A1590</x:f>
        <x:v>100.33312142403051</x:v>
      </x:c>
      <x:c r="G1590" s="42" t="n">
        <x:f>$B$11</x:f>
        <x:v>100.53096491487338</x:v>
      </x:c>
      <x:c r="I1590" t="n">
        <x:f>A1590</x:f>
        <x:v>1573</x:v>
      </x:c>
      <x:c r="J1590" t="n">
        <x:f>F1590</x:f>
        <x:v>100.33312142403051</x:v>
      </x:c>
      <x:c r="K1590" t="n">
        <x:f>G1590</x:f>
        <x:v>100.53096491487338</x:v>
      </x:c>
    </x:row>
    <x:row r="1591">
      <x:c r="A1591" t="n">
        <x:v>1574</x:v>
      </x:c>
      <x:c r="B1591" s="40" t="n">
        <x:v>1.3464521641307718</x:v>
      </x:c>
      <x:c r="C1591" s="40" t="n">
        <x:v>-0.32560401984160325</x:v>
      </x:c>
      <x:c r="D1591" s="40" t="n">
        <x:v>2.9018145061034772</x:v>
      </x:c>
      <x:c r="E1591" t="n">
        <x:f>--((B1591^2/$B$4^2+C1591^2/$B$5^2+D1591^2/$B$6^2)&lt;=1)</x:f>
        <x:v>1</x:v>
      </x:c>
      <x:c r="F1591" s="42" t="n">
        <x:f>$B$8*SUM($E$18:E1591)/A1591</x:f>
        <x:v>100.39135959339264</x:v>
      </x:c>
      <x:c r="G1591" s="42" t="n">
        <x:f>$B$11</x:f>
        <x:v>100.53096491487338</x:v>
      </x:c>
      <x:c r="I1591" t="n">
        <x:f>A1591</x:f>
        <x:v>1574</x:v>
      </x:c>
      <x:c r="J1591" t="n">
        <x:f>F1591</x:f>
        <x:v>100.39135959339264</x:v>
      </x:c>
      <x:c r="K1591" t="n">
        <x:f>G1591</x:f>
        <x:v>100.53096491487338</x:v>
      </x:c>
    </x:row>
    <x:row r="1592">
      <x:c r="A1592" t="n">
        <x:v>1575</x:v>
      </x:c>
      <x:c r="B1592" s="40" t="n">
        <x:v>-1.5653715869509504</x:v>
      </x:c>
      <x:c r="C1592" s="40" t="n">
        <x:v>-1.0660816911394688</x:v>
      </x:c>
      <x:c r="D1592" s="40" t="n">
        <x:v>-1.392071636675002</x:v>
      </x:c>
      <x:c r="E1592" t="n">
        <x:f>--((B1592^2/$B$4^2+C1592^2/$B$5^2+D1592^2/$B$6^2)&lt;=1)</x:f>
        <x:v>1</x:v>
      </x:c>
      <x:c r="F1592" s="42" t="n">
        <x:f>$B$8*SUM($E$18:E1592)/A1592</x:f>
        <x:v>100.44952380952381</x:v>
      </x:c>
      <x:c r="G1592" s="42" t="n">
        <x:f>$B$11</x:f>
        <x:v>100.53096491487338</x:v>
      </x:c>
      <x:c r="I1592" t="n">
        <x:f>A1592</x:f>
        <x:v>1575</x:v>
      </x:c>
      <x:c r="J1592" t="n">
        <x:f>F1592</x:f>
        <x:v>100.44952380952381</x:v>
      </x:c>
      <x:c r="K1592" t="n">
        <x:f>G1592</x:f>
        <x:v>100.53096491487338</x:v>
      </x:c>
    </x:row>
    <x:row r="1593">
      <x:c r="A1593" t="n">
        <x:v>1576</x:v>
      </x:c>
      <x:c r="B1593" s="40" t="n">
        <x:v>-1.0992893355778182</x:v>
      </x:c>
      <x:c r="C1593" s="40" t="n">
        <x:v>-0.6778973062548985</x:v>
      </x:c>
      <x:c r="D1593" s="40" t="n">
        <x:v>-2.974701834834316</x:v>
      </x:c>
      <x:c r="E1593" t="n">
        <x:f>--((B1593^2/$B$4^2+C1593^2/$B$5^2+D1593^2/$B$6^2)&lt;=1)</x:f>
        <x:v>1</x:v>
      </x:c>
      <x:c r="F1593" s="42" t="n">
        <x:f>$B$8*SUM($E$18:E1593)/A1593</x:f>
        <x:v>100.50761421319797</x:v>
      </x:c>
      <x:c r="G1593" s="42" t="n">
        <x:f>$B$11</x:f>
        <x:v>100.53096491487338</x:v>
      </x:c>
      <x:c r="I1593" t="n">
        <x:f>A1593</x:f>
        <x:v>1576</x:v>
      </x:c>
      <x:c r="J1593" t="n">
        <x:f>F1593</x:f>
        <x:v>100.50761421319797</x:v>
      </x:c>
      <x:c r="K1593" t="n">
        <x:f>G1593</x:f>
        <x:v>100.53096491487338</x:v>
      </x:c>
    </x:row>
    <x:row r="1594">
      <x:c r="A1594" t="n">
        <x:v>1577</x:v>
      </x:c>
      <x:c r="B1594" s="40" t="n">
        <x:v>1.1720199158385216</x:v>
      </x:c>
      <x:c r="C1594" s="40" t="n">
        <x:v>1.920628468702188</x:v>
      </x:c>
      <x:c r="D1594" s="40" t="n">
        <x:v>3.8578466365251023</x:v>
      </x:c>
      <x:c r="E1594" t="n">
        <x:f>--((B1594^2/$B$4^2+C1594^2/$B$5^2+D1594^2/$B$6^2)&lt;=1)</x:f>
        <x:v>0</x:v>
      </x:c>
      <x:c r="F1594" s="42" t="n">
        <x:f>$B$8*SUM($E$18:E1594)/A1594</x:f>
        <x:v>100.44388078630311</x:v>
      </x:c>
      <x:c r="G1594" s="42" t="n">
        <x:f>$B$11</x:f>
        <x:v>100.53096491487338</x:v>
      </x:c>
      <x:c r="I1594" t="n">
        <x:f>A1594</x:f>
        <x:v>1577</x:v>
      </x:c>
      <x:c r="J1594" t="n">
        <x:f>F1594</x:f>
        <x:v>100.44388078630311</x:v>
      </x:c>
      <x:c r="K1594" t="n">
        <x:f>G1594</x:f>
        <x:v>100.53096491487338</x:v>
      </x:c>
    </x:row>
    <x:row r="1595">
      <x:c r="A1595" t="n">
        <x:v>1578</x:v>
      </x:c>
      <x:c r="B1595" s="40" t="n">
        <x:v>1.3913474688946184</x:v>
      </x:c>
      <x:c r="C1595" s="40" t="n">
        <x:v>-1.4599446471469946</x:v>
      </x:c>
      <x:c r="D1595" s="40" t="n">
        <x:v>1.4139090359153066</x:v>
      </x:c>
      <x:c r="E1595" t="n">
        <x:f>--((B1595^2/$B$4^2+C1595^2/$B$5^2+D1595^2/$B$6^2)&lt;=1)</x:f>
        <x:v>1</x:v>
      </x:c>
      <x:c r="F1595" s="42" t="n">
        <x:f>$B$8*SUM($E$18:E1595)/A1595</x:f>
        <x:v>100.50190114068441</x:v>
      </x:c>
      <x:c r="G1595" s="42" t="n">
        <x:f>$B$11</x:f>
        <x:v>100.53096491487338</x:v>
      </x:c>
      <x:c r="I1595" t="n">
        <x:f>A1595</x:f>
        <x:v>1578</x:v>
      </x:c>
      <x:c r="J1595" t="n">
        <x:f>F1595</x:f>
        <x:v>100.50190114068441</x:v>
      </x:c>
      <x:c r="K1595" t="n">
        <x:f>G1595</x:f>
        <x:v>100.53096491487338</x:v>
      </x:c>
    </x:row>
    <x:row r="1596">
      <x:c r="A1596" t="n">
        <x:v>1579</x:v>
      </x:c>
      <x:c r="B1596" s="40" t="n">
        <x:v>1.9792968544834713</x:v>
      </x:c>
      <x:c r="C1596" s="40" t="n">
        <x:v>1.4716870329274334</x:v>
      </x:c>
      <x:c r="D1596" s="40" t="n">
        <x:v>2.8055250555852513</x:v>
      </x:c>
      <x:c r="E1596" t="n">
        <x:f>--((B1596^2/$B$4^2+C1596^2/$B$5^2+D1596^2/$B$6^2)&lt;=1)</x:f>
        <x:v>0</x:v>
      </x:c>
      <x:c r="F1596" s="42" t="n">
        <x:f>$B$8*SUM($E$18:E1596)/A1596</x:f>
        <x:v>100.43825205826472</x:v>
      </x:c>
      <x:c r="G1596" s="42" t="n">
        <x:f>$B$11</x:f>
        <x:v>100.53096491487338</x:v>
      </x:c>
      <x:c r="I1596" t="n">
        <x:f>A1596</x:f>
        <x:v>1579</x:v>
      </x:c>
      <x:c r="J1596" t="n">
        <x:f>F1596</x:f>
        <x:v>100.43825205826472</x:v>
      </x:c>
      <x:c r="K1596" t="n">
        <x:f>G1596</x:f>
        <x:v>100.53096491487338</x:v>
      </x:c>
    </x:row>
    <x:row r="1597">
      <x:c r="A1597" t="n">
        <x:v>1580</x:v>
      </x:c>
      <x:c r="B1597" s="40" t="n">
        <x:v>1.4916480655483366</x:v>
      </x:c>
      <x:c r="C1597" s="40" t="n">
        <x:v>-2.557727585330089</x:v>
      </x:c>
      <x:c r="D1597" s="40" t="n">
        <x:v>2.0171061786313897</x:v>
      </x:c>
      <x:c r="E1597" t="n">
        <x:f>--((B1597^2/$B$4^2+C1597^2/$B$5^2+D1597^2/$B$6^2)&lt;=1)</x:f>
        <x:v>0</x:v>
      </x:c>
      <x:c r="F1597" s="42" t="n">
        <x:f>$B$8*SUM($E$18:E1597)/A1597</x:f>
        <x:v>100.37468354430379</x:v>
      </x:c>
      <x:c r="G1597" s="42" t="n">
        <x:f>$B$11</x:f>
        <x:v>100.53096491487338</x:v>
      </x:c>
      <x:c r="I1597" t="n">
        <x:f>A1597</x:f>
        <x:v>1580</x:v>
      </x:c>
      <x:c r="J1597" t="n">
        <x:f>F1597</x:f>
        <x:v>100.37468354430379</x:v>
      </x:c>
      <x:c r="K1597" t="n">
        <x:f>G1597</x:f>
        <x:v>100.53096491487338</x:v>
      </x:c>
    </x:row>
    <x:row r="1598">
      <x:c r="A1598" t="n">
        <x:v>1581</x:v>
      </x:c>
      <x:c r="B1598" s="40" t="n">
        <x:v>1.5595960282893242</x:v>
      </x:c>
      <x:c r="C1598" s="40" t="n">
        <x:v>1.5944346450903648</x:v>
      </x:c>
      <x:c r="D1598" s="40" t="n">
        <x:v>1.5859381919135211</x:v>
      </x:c>
      <x:c r="E1598" t="n">
        <x:f>--((B1598^2/$B$4^2+C1598^2/$B$5^2+D1598^2/$B$6^2)&lt;=1)</x:f>
        <x:v>0</x:v>
      </x:c>
      <x:c r="F1598" s="42" t="n">
        <x:f>$B$8*SUM($E$18:E1598)/A1598</x:f>
        <x:v>100.3111954459203</x:v>
      </x:c>
      <x:c r="G1598" s="42" t="n">
        <x:f>$B$11</x:f>
        <x:v>100.53096491487338</x:v>
      </x:c>
      <x:c r="I1598" t="n">
        <x:f>A1598</x:f>
        <x:v>1581</x:v>
      </x:c>
      <x:c r="J1598" t="n">
        <x:f>F1598</x:f>
        <x:v>100.3111954459203</x:v>
      </x:c>
      <x:c r="K1598" t="n">
        <x:f>G1598</x:f>
        <x:v>100.53096491487338</x:v>
      </x:c>
    </x:row>
    <x:row r="1599">
      <x:c r="A1599" t="n">
        <x:v>1582</x:v>
      </x:c>
      <x:c r="B1599" s="40" t="n">
        <x:v>-0.7426082294803806</x:v>
      </x:c>
      <x:c r="C1599" s="40" t="n">
        <x:v>1.7521394569786377</x:v>
      </x:c>
      <x:c r="D1599" s="40" t="n">
        <x:v>-0.9234874629526377</x:v>
      </x:c>
      <x:c r="E1599" t="n">
        <x:f>--((B1599^2/$B$4^2+C1599^2/$B$5^2+D1599^2/$B$6^2)&lt;=1)</x:f>
        <x:v>1</x:v>
      </x:c>
      <x:c r="F1599" s="42" t="n">
        <x:f>$B$8*SUM($E$18:E1599)/A1599</x:f>
        <x:v>100.36915297092288</x:v>
      </x:c>
      <x:c r="G1599" s="42" t="n">
        <x:f>$B$11</x:f>
        <x:v>100.53096491487338</x:v>
      </x:c>
      <x:c r="I1599" t="n">
        <x:f>A1599</x:f>
        <x:v>1582</x:v>
      </x:c>
      <x:c r="J1599" t="n">
        <x:f>F1599</x:f>
        <x:v>100.36915297092288</x:v>
      </x:c>
      <x:c r="K1599" t="n">
        <x:f>G1599</x:f>
        <x:v>100.53096491487338</x:v>
      </x:c>
    </x:row>
    <x:row r="1600">
      <x:c r="A1600" t="n">
        <x:v>1583</x:v>
      </x:c>
      <x:c r="B1600" s="40" t="n">
        <x:v>-0.3933534639624945</x:v>
      </x:c>
      <x:c r="C1600" s="40" t="n">
        <x:v>-0.5898073469851077</x:v>
      </x:c>
      <x:c r="D1600" s="40" t="n">
        <x:v>-1.405280054370885</x:v>
      </x:c>
      <x:c r="E1600" t="n">
        <x:f>--((B1600^2/$B$4^2+C1600^2/$B$5^2+D1600^2/$B$6^2)&lt;=1)</x:f>
        <x:v>1</x:v>
      </x:c>
      <x:c r="F1600" s="42" t="n">
        <x:f>$B$8*SUM($E$18:E1600)/A1600</x:f>
        <x:v>100.42703727100442</x:v>
      </x:c>
      <x:c r="G1600" s="42" t="n">
        <x:f>$B$11</x:f>
        <x:v>100.53096491487338</x:v>
      </x:c>
      <x:c r="I1600" t="n">
        <x:f>A1600</x:f>
        <x:v>1583</x:v>
      </x:c>
      <x:c r="J1600" t="n">
        <x:f>F1600</x:f>
        <x:v>100.42703727100442</x:v>
      </x:c>
      <x:c r="K1600" t="n">
        <x:f>G1600</x:f>
        <x:v>100.53096491487338</x:v>
      </x:c>
    </x:row>
    <x:row r="1601">
      <x:c r="A1601" t="n">
        <x:v>1584</x:v>
      </x:c>
      <x:c r="B1601" s="40" t="n">
        <x:v>-0.9276595807177959</x:v>
      </x:c>
      <x:c r="C1601" s="40" t="n">
        <x:v>1.3348669390048222</x:v>
      </x:c>
      <x:c r="D1601" s="40" t="n">
        <x:v>1.7356687671557927</x:v>
      </x:c>
      <x:c r="E1601" t="n">
        <x:f>--((B1601^2/$B$4^2+C1601^2/$B$5^2+D1601^2/$B$6^2)&lt;=1)</x:f>
        <x:v>1</x:v>
      </x:c>
      <x:c r="F1601" s="42" t="n">
        <x:f>$B$8*SUM($E$18:E1601)/A1601</x:f>
        <x:v>100.48484848484848</x:v>
      </x:c>
      <x:c r="G1601" s="42" t="n">
        <x:f>$B$11</x:f>
        <x:v>100.53096491487338</x:v>
      </x:c>
      <x:c r="I1601" t="n">
        <x:f>A1601</x:f>
        <x:v>1584</x:v>
      </x:c>
      <x:c r="J1601" t="n">
        <x:f>F1601</x:f>
        <x:v>100.48484848484848</x:v>
      </x:c>
      <x:c r="K1601" t="n">
        <x:f>G1601</x:f>
        <x:v>100.53096491487338</x:v>
      </x:c>
    </x:row>
    <x:row r="1602">
      <x:c r="A1602" t="n">
        <x:v>1585</x:v>
      </x:c>
      <x:c r="B1602" s="40" t="n">
        <x:v>0.42519759277086244</x:v>
      </x:c>
      <x:c r="C1602" s="40" t="n">
        <x:v>2.4908304224705944</x:v>
      </x:c>
      <x:c r="D1602" s="40" t="n">
        <x:v>1.7337040654178413</x:v>
      </x:c>
      <x:c r="E1602" t="n">
        <x:f>--((B1602^2/$B$4^2+C1602^2/$B$5^2+D1602^2/$B$6^2)&lt;=1)</x:f>
        <x:v>1</x:v>
      </x:c>
      <x:c r="F1602" s="42" t="n">
        <x:f>$B$8*SUM($E$18:E1602)/A1602</x:f>
        <x:v>100.54258675078864</x:v>
      </x:c>
      <x:c r="G1602" s="42" t="n">
        <x:f>$B$11</x:f>
        <x:v>100.53096491487338</x:v>
      </x:c>
      <x:c r="I1602" t="n">
        <x:f>A1602</x:f>
        <x:v>1585</x:v>
      </x:c>
      <x:c r="J1602" t="n">
        <x:f>F1602</x:f>
        <x:v>100.54258675078864</x:v>
      </x:c>
      <x:c r="K1602" t="n">
        <x:f>G1602</x:f>
        <x:v>100.53096491487338</x:v>
      </x:c>
    </x:row>
    <x:row r="1603">
      <x:c r="A1603" t="n">
        <x:v>1586</x:v>
      </x:c>
      <x:c r="B1603" s="40" t="n">
        <x:v>1.7552214168281535</x:v>
      </x:c>
      <x:c r="C1603" s="40" t="n">
        <x:v>1.8042778413271616</x:v>
      </x:c>
      <x:c r="D1603" s="40" t="n">
        <x:v>3.6047070723927463</x:v>
      </x:c>
      <x:c r="E1603" t="n">
        <x:f>--((B1603^2/$B$4^2+C1603^2/$B$5^2+D1603^2/$B$6^2)&lt;=1)</x:f>
        <x:v>0</x:v>
      </x:c>
      <x:c r="F1603" s="42" t="n">
        <x:f>$B$8*SUM($E$18:E1603)/A1603</x:f>
        <x:v>100.47919293820934</x:v>
      </x:c>
      <x:c r="G1603" s="42" t="n">
        <x:f>$B$11</x:f>
        <x:v>100.53096491487338</x:v>
      </x:c>
      <x:c r="I1603" t="n">
        <x:f>A1603</x:f>
        <x:v>1586</x:v>
      </x:c>
      <x:c r="J1603" t="n">
        <x:f>F1603</x:f>
        <x:v>100.47919293820934</x:v>
      </x:c>
      <x:c r="K1603" t="n">
        <x:f>G1603</x:f>
        <x:v>100.53096491487338</x:v>
      </x:c>
    </x:row>
    <x:row r="1604">
      <x:c r="A1604" t="n">
        <x:v>1587</x:v>
      </x:c>
      <x:c r="B1604" s="40" t="n">
        <x:v>-0.6214364539535291</x:v>
      </x:c>
      <x:c r="C1604" s="40" t="n">
        <x:v>-0.6573209376182407</x:v>
      </x:c>
      <x:c r="D1604" s="40" t="n">
        <x:v>0.5492785427865785</x:v>
      </x:c>
      <x:c r="E1604" t="n">
        <x:f>--((B1604^2/$B$4^2+C1604^2/$B$5^2+D1604^2/$B$6^2)&lt;=1)</x:f>
        <x:v>1</x:v>
      </x:c>
      <x:c r="F1604" s="42" t="n">
        <x:f>$B$8*SUM($E$18:E1604)/A1604</x:f>
        <x:v>100.53686200378071</x:v>
      </x:c>
      <x:c r="G1604" s="42" t="n">
        <x:f>$B$11</x:f>
        <x:v>100.53096491487338</x:v>
      </x:c>
      <x:c r="I1604" t="n">
        <x:f>A1604</x:f>
        <x:v>1587</x:v>
      </x:c>
      <x:c r="J1604" t="n">
        <x:f>F1604</x:f>
        <x:v>100.53686200378071</x:v>
      </x:c>
      <x:c r="K1604" t="n">
        <x:f>G1604</x:f>
        <x:v>100.53096491487338</x:v>
      </x:c>
    </x:row>
    <x:row r="1605">
      <x:c r="A1605" t="n">
        <x:v>1588</x:v>
      </x:c>
      <x:c r="B1605" s="40" t="n">
        <x:v>0.22800712752580088</x:v>
      </x:c>
      <x:c r="C1605" s="40" t="n">
        <x:v>-0.09471891431961321</x:v>
      </x:c>
      <x:c r="D1605" s="40" t="n">
        <x:v>-1.6430311536986117</x:v>
      </x:c>
      <x:c r="E1605" t="n">
        <x:f>--((B1605^2/$B$4^2+C1605^2/$B$5^2+D1605^2/$B$6^2)&lt;=1)</x:f>
        <x:v>1</x:v>
      </x:c>
      <x:c r="F1605" s="42" t="n">
        <x:f>$B$8*SUM($E$18:E1605)/A1605</x:f>
        <x:v>100.59445843828715</x:v>
      </x:c>
      <x:c r="G1605" s="42" t="n">
        <x:f>$B$11</x:f>
        <x:v>100.53096491487338</x:v>
      </x:c>
      <x:c r="I1605" t="n">
        <x:f>A1605</x:f>
        <x:v>1588</x:v>
      </x:c>
      <x:c r="J1605" t="n">
        <x:f>F1605</x:f>
        <x:v>100.59445843828715</x:v>
      </x:c>
      <x:c r="K1605" t="n">
        <x:f>G1605</x:f>
        <x:v>100.53096491487338</x:v>
      </x:c>
    </x:row>
    <x:row r="1606">
      <x:c r="A1606" t="n">
        <x:v>1589</x:v>
      </x:c>
      <x:c r="B1606" s="40" t="n">
        <x:v>-0.8148014781860597</x:v>
      </x:c>
      <x:c r="C1606" s="40" t="n">
        <x:v>1.6761452687148326</x:v>
      </x:c>
      <x:c r="D1606" s="40" t="n">
        <x:v>-0.0837696053561805</x:v>
      </x:c>
      <x:c r="E1606" t="n">
        <x:f>--((B1606^2/$B$4^2+C1606^2/$B$5^2+D1606^2/$B$6^2)&lt;=1)</x:f>
        <x:v>1</x:v>
      </x:c>
      <x:c r="F1606" s="42" t="n">
        <x:f>$B$8*SUM($E$18:E1606)/A1606</x:f>
        <x:v>100.65198237885463</x:v>
      </x:c>
      <x:c r="G1606" s="42" t="n">
        <x:f>$B$11</x:f>
        <x:v>100.53096491487338</x:v>
      </x:c>
      <x:c r="I1606" t="n">
        <x:f>A1606</x:f>
        <x:v>1589</x:v>
      </x:c>
      <x:c r="J1606" t="n">
        <x:f>F1606</x:f>
        <x:v>100.65198237885463</x:v>
      </x:c>
      <x:c r="K1606" t="n">
        <x:f>G1606</x:f>
        <x:v>100.53096491487338</x:v>
      </x:c>
    </x:row>
    <x:row r="1607">
      <x:c r="A1607" t="n">
        <x:v>1590</x:v>
      </x:c>
      <x:c r="B1607" s="40" t="n">
        <x:v>-1.32080010490917</x:v>
      </x:c>
      <x:c r="C1607" s="40" t="n">
        <x:v>-1.2444324609052586</x:v>
      </x:c>
      <x:c r="D1607" s="40" t="n">
        <x:v>0.9097105338073534</x:v>
      </x:c>
      <x:c r="E1607" t="n">
        <x:f>--((B1607^2/$B$4^2+C1607^2/$B$5^2+D1607^2/$B$6^2)&lt;=1)</x:f>
        <x:v>1</x:v>
      </x:c>
      <x:c r="F1607" s="42" t="n">
        <x:f>$B$8*SUM($E$18:E1607)/A1607</x:f>
        <x:v>100.70943396226416</x:v>
      </x:c>
      <x:c r="G1607" s="42" t="n">
        <x:f>$B$11</x:f>
        <x:v>100.53096491487338</x:v>
      </x:c>
      <x:c r="I1607" t="n">
        <x:f>A1607</x:f>
        <x:v>1590</x:v>
      </x:c>
      <x:c r="J1607" t="n">
        <x:f>F1607</x:f>
        <x:v>100.70943396226416</x:v>
      </x:c>
      <x:c r="K1607" t="n">
        <x:f>G1607</x:f>
        <x:v>100.53096491487338</x:v>
      </x:c>
    </x:row>
    <x:row r="1608">
      <x:c r="A1608" t="n">
        <x:v>1591</x:v>
      </x:c>
      <x:c r="B1608" s="40" t="n">
        <x:v>-1.2192578807253773</x:v>
      </x:c>
      <x:c r="C1608" s="40" t="n">
        <x:v>1.8232964418532411</x:v>
      </x:c>
      <x:c r="D1608" s="40" t="n">
        <x:v>-0.5861616033847001</x:v>
      </x:c>
      <x:c r="E1608" t="n">
        <x:f>--((B1608^2/$B$4^2+C1608^2/$B$5^2+D1608^2/$B$6^2)&lt;=1)</x:f>
        <x:v>1</x:v>
      </x:c>
      <x:c r="F1608" s="42" t="n">
        <x:f>$B$8*SUM($E$18:E1608)/A1608</x:f>
        <x:v>100.76681332495286</x:v>
      </x:c>
      <x:c r="G1608" s="42" t="n">
        <x:f>$B$11</x:f>
        <x:v>100.53096491487338</x:v>
      </x:c>
      <x:c r="I1608" t="n">
        <x:f>A1608</x:f>
        <x:v>1591</x:v>
      </x:c>
      <x:c r="J1608" t="n">
        <x:f>F1608</x:f>
        <x:v>100.76681332495286</x:v>
      </x:c>
      <x:c r="K1608" t="n">
        <x:f>G1608</x:f>
        <x:v>100.53096491487338</x:v>
      </x:c>
    </x:row>
    <x:row r="1609">
      <x:c r="A1609" t="n">
        <x:v>1592</x:v>
      </x:c>
      <x:c r="B1609" s="40" t="n">
        <x:v>-1.7682186218474802</x:v>
      </x:c>
      <x:c r="C1609" s="40" t="n">
        <x:v>-1.031573144634353</x:v>
      </x:c>
      <x:c r="D1609" s="40" t="n">
        <x:v>2.3290649868763857</x:v>
      </x:c>
      <x:c r="E1609" t="n">
        <x:f>--((B1609^2/$B$4^2+C1609^2/$B$5^2+D1609^2/$B$6^2)&lt;=1)</x:f>
        <x:v>0</x:v>
      </x:c>
      <x:c r="F1609" s="42" t="n">
        <x:f>$B$8*SUM($E$18:E1609)/A1609</x:f>
        <x:v>100.7035175879397</x:v>
      </x:c>
      <x:c r="G1609" s="42" t="n">
        <x:f>$B$11</x:f>
        <x:v>100.53096491487338</x:v>
      </x:c>
      <x:c r="I1609" t="n">
        <x:f>A1609</x:f>
        <x:v>1592</x:v>
      </x:c>
      <x:c r="J1609" t="n">
        <x:f>F1609</x:f>
        <x:v>100.7035175879397</x:v>
      </x:c>
      <x:c r="K1609" t="n">
        <x:f>G1609</x:f>
        <x:v>100.53096491487338</x:v>
      </x:c>
    </x:row>
    <x:row r="1610">
      <x:c r="A1610" t="n">
        <x:v>1593</x:v>
      </x:c>
      <x:c r="B1610" s="40" t="n">
        <x:v>1.7971740920370296</x:v>
      </x:c>
      <x:c r="C1610" s="40" t="n">
        <x:v>1.835943494313229</x:v>
      </x:c>
      <x:c r="D1610" s="40" t="n">
        <x:v>0.6769056977267018</x:v>
      </x:c>
      <x:c r="E1610" t="n">
        <x:f>--((B1610^2/$B$4^2+C1610^2/$B$5^2+D1610^2/$B$6^2)&lt;=1)</x:f>
        <x:v>0</x:v>
      </x:c>
      <x:c r="F1610" s="42" t="n">
        <x:f>$B$8*SUM($E$18:E1610)/A1610</x:f>
        <x:v>100.64030131826742</x:v>
      </x:c>
      <x:c r="G1610" s="42" t="n">
        <x:f>$B$11</x:f>
        <x:v>100.53096491487338</x:v>
      </x:c>
      <x:c r="I1610" t="n">
        <x:f>A1610</x:f>
        <x:v>1593</x:v>
      </x:c>
      <x:c r="J1610" t="n">
        <x:f>F1610</x:f>
        <x:v>100.64030131826742</x:v>
      </x:c>
      <x:c r="K1610" t="n">
        <x:f>G1610</x:f>
        <x:v>100.53096491487338</x:v>
      </x:c>
    </x:row>
    <x:row r="1611">
      <x:c r="A1611" t="n">
        <x:v>1594</x:v>
      </x:c>
      <x:c r="B1611" s="40" t="n">
        <x:v>-0.3884815659694816</x:v>
      </x:c>
      <x:c r="C1611" s="40" t="n">
        <x:v>-2.47919733989566</x:v>
      </x:c>
      <x:c r="D1611" s="40" t="n">
        <x:v>-3.9245141789787956</x:v>
      </x:c>
      <x:c r="E1611" t="n">
        <x:f>--((B1611^2/$B$4^2+C1611^2/$B$5^2+D1611^2/$B$6^2)&lt;=1)</x:f>
        <x:v>0</x:v>
      </x:c>
      <x:c r="F1611" s="42" t="n">
        <x:f>$B$8*SUM($E$18:E1611)/A1611</x:f>
        <x:v>100.5771643663739</x:v>
      </x:c>
      <x:c r="G1611" s="42" t="n">
        <x:f>$B$11</x:f>
        <x:v>100.53096491487338</x:v>
      </x:c>
      <x:c r="I1611" t="n">
        <x:f>A1611</x:f>
        <x:v>1594</x:v>
      </x:c>
      <x:c r="J1611" t="n">
        <x:f>F1611</x:f>
        <x:v>100.5771643663739</x:v>
      </x:c>
      <x:c r="K1611" t="n">
        <x:f>G1611</x:f>
        <x:v>100.53096491487338</x:v>
      </x:c>
    </x:row>
    <x:row r="1612">
      <x:c r="A1612" t="n">
        <x:v>1595</x:v>
      </x:c>
      <x:c r="B1612" s="40" t="n">
        <x:v>1.3364835680084326</x:v>
      </x:c>
      <x:c r="C1612" s="40" t="n">
        <x:v>-2.733616218536459</x:v>
      </x:c>
      <x:c r="D1612" s="40" t="n">
        <x:v>0.5587191058560679</x:v>
      </x:c>
      <x:c r="E1612" t="n">
        <x:f>--((B1612^2/$B$4^2+C1612^2/$B$5^2+D1612^2/$B$6^2)&lt;=1)</x:f>
        <x:v>0</x:v>
      </x:c>
      <x:c r="F1612" s="42" t="n">
        <x:f>$B$8*SUM($E$18:E1612)/A1612</x:f>
        <x:v>100.5141065830721</x:v>
      </x:c>
      <x:c r="G1612" s="42" t="n">
        <x:f>$B$11</x:f>
        <x:v>100.53096491487338</x:v>
      </x:c>
      <x:c r="I1612" t="n">
        <x:f>A1612</x:f>
        <x:v>1595</x:v>
      </x:c>
      <x:c r="J1612" t="n">
        <x:f>F1612</x:f>
        <x:v>100.5141065830721</x:v>
      </x:c>
      <x:c r="K1612" t="n">
        <x:f>G1612</x:f>
        <x:v>100.53096491487338</x:v>
      </x:c>
    </x:row>
    <x:row r="1613">
      <x:c r="A1613" t="n">
        <x:v>1596</x:v>
      </x:c>
      <x:c r="B1613" s="40" t="n">
        <x:v>0.7253178907587645</x:v>
      </x:c>
      <x:c r="C1613" s="40" t="n">
        <x:v>2.986052684218934</x:v>
      </x:c>
      <x:c r="D1613" s="40" t="n">
        <x:v>1.0688302875348876</x:v>
      </x:c>
      <x:c r="E1613" t="n">
        <x:f>--((B1613^2/$B$4^2+C1613^2/$B$5^2+D1613^2/$B$6^2)&lt;=1)</x:f>
        <x:v>0</x:v>
      </x:c>
      <x:c r="F1613" s="42" t="n">
        <x:f>$B$8*SUM($E$18:E1613)/A1613</x:f>
        <x:v>100.45112781954887</x:v>
      </x:c>
      <x:c r="G1613" s="42" t="n">
        <x:f>$B$11</x:f>
        <x:v>100.53096491487338</x:v>
      </x:c>
      <x:c r="I1613" t="n">
        <x:f>A1613</x:f>
        <x:v>1596</x:v>
      </x:c>
      <x:c r="J1613" t="n">
        <x:f>F1613</x:f>
        <x:v>100.45112781954887</x:v>
      </x:c>
      <x:c r="K1613" t="n">
        <x:f>G1613</x:f>
        <x:v>100.53096491487338</x:v>
      </x:c>
    </x:row>
    <x:row r="1614">
      <x:c r="A1614" t="n">
        <x:v>1597</x:v>
      </x:c>
      <x:c r="B1614" s="40" t="n">
        <x:v>-1.2323153543556584</x:v>
      </x:c>
      <x:c r="C1614" s="40" t="n">
        <x:v>2.2167427394081347</x:v>
      </x:c>
      <x:c r="D1614" s="40" t="n">
        <x:v>3.3220900123525654</x:v>
      </x:c>
      <x:c r="E1614" t="n">
        <x:f>--((B1614^2/$B$4^2+C1614^2/$B$5^2+D1614^2/$B$6^2)&lt;=1)</x:f>
        <x:v>0</x:v>
      </x:c>
      <x:c r="F1614" s="42" t="n">
        <x:f>$B$8*SUM($E$18:E1614)/A1614</x:f>
        <x:v>100.3882279273638</x:v>
      </x:c>
      <x:c r="G1614" s="42" t="n">
        <x:f>$B$11</x:f>
        <x:v>100.53096491487338</x:v>
      </x:c>
      <x:c r="I1614" t="n">
        <x:f>A1614</x:f>
        <x:v>1597</x:v>
      </x:c>
      <x:c r="J1614" t="n">
        <x:f>F1614</x:f>
        <x:v>100.3882279273638</x:v>
      </x:c>
      <x:c r="K1614" t="n">
        <x:f>G1614</x:f>
        <x:v>100.53096491487338</x:v>
      </x:c>
    </x:row>
    <x:row r="1615">
      <x:c r="A1615" t="n">
        <x:v>1598</x:v>
      </x:c>
      <x:c r="B1615" s="40" t="n">
        <x:v>-1.2981510136836487</x:v>
      </x:c>
      <x:c r="C1615" s="40" t="n">
        <x:v>2.2970850207972235</x:v>
      </x:c>
      <x:c r="D1615" s="40" t="n">
        <x:v>-0.6902266106864916</x:v>
      </x:c>
      <x:c r="E1615" t="n">
        <x:f>--((B1615^2/$B$4^2+C1615^2/$B$5^2+D1615^2/$B$6^2)&lt;=1)</x:f>
        <x:v>0</x:v>
      </x:c>
      <x:c r="F1615" s="42" t="n">
        <x:f>$B$8*SUM($E$18:E1615)/A1615</x:f>
        <x:v>100.32540675844805</x:v>
      </x:c>
      <x:c r="G1615" s="42" t="n">
        <x:f>$B$11</x:f>
        <x:v>100.53096491487338</x:v>
      </x:c>
      <x:c r="I1615" t="n">
        <x:f>A1615</x:f>
        <x:v>1598</x:v>
      </x:c>
      <x:c r="J1615" t="n">
        <x:f>F1615</x:f>
        <x:v>100.32540675844805</x:v>
      </x:c>
      <x:c r="K1615" t="n">
        <x:f>G1615</x:f>
        <x:v>100.53096491487338</x:v>
      </x:c>
    </x:row>
    <x:row r="1616">
      <x:c r="A1616" t="n">
        <x:v>1599</x:v>
      </x:c>
      <x:c r="B1616" s="40" t="n">
        <x:v>1.2479528060421794</x:v>
      </x:c>
      <x:c r="C1616" s="40" t="n">
        <x:v>2.7076796856397047</x:v>
      </x:c>
      <x:c r="D1616" s="40" t="n">
        <x:v>0.5957412741708668</x:v>
      </x:c>
      <x:c r="E1616" t="n">
        <x:f>--((B1616^2/$B$4^2+C1616^2/$B$5^2+D1616^2/$B$6^2)&lt;=1)</x:f>
        <x:v>0</x:v>
      </x:c>
      <x:c r="F1616" s="42" t="n">
        <x:f>$B$8*SUM($E$18:E1616)/A1616</x:f>
        <x:v>100.26266416510319</x:v>
      </x:c>
      <x:c r="G1616" s="42" t="n">
        <x:f>$B$11</x:f>
        <x:v>100.53096491487338</x:v>
      </x:c>
      <x:c r="I1616" t="n">
        <x:f>A1616</x:f>
        <x:v>1599</x:v>
      </x:c>
      <x:c r="J1616" t="n">
        <x:f>F1616</x:f>
        <x:v>100.26266416510319</x:v>
      </x:c>
      <x:c r="K1616" t="n">
        <x:f>G1616</x:f>
        <x:v>100.53096491487338</x:v>
      </x:c>
    </x:row>
    <x:row r="1617">
      <x:c r="A1617" t="n">
        <x:v>1600</x:v>
      </x:c>
      <x:c r="B1617" s="40" t="n">
        <x:v>-0.9411531575218506</x:v>
      </x:c>
      <x:c r="C1617" s="40" t="n">
        <x:v>-0.3701021435130727</x:v>
      </x:c>
      <x:c r="D1617" s="40" t="n">
        <x:v>-0.2000203942850085</x:v>
      </x:c>
      <x:c r="E1617" t="n">
        <x:f>--((B1617^2/$B$4^2+C1617^2/$B$5^2+D1617^2/$B$6^2)&lt;=1)</x:f>
        <x:v>1</x:v>
      </x:c>
      <x:c r="F1617" s="42" t="n">
        <x:f>$B$8*SUM($E$18:E1617)/A1617</x:f>
        <x:v>100.32</x:v>
      </x:c>
      <x:c r="G1617" s="42" t="n">
        <x:f>$B$11</x:f>
        <x:v>100.53096491487338</x:v>
      </x:c>
      <x:c r="I1617" t="n">
        <x:f>A1617</x:f>
        <x:v>1600</x:v>
      </x:c>
      <x:c r="J1617" t="n">
        <x:f>F1617</x:f>
        <x:v>100.32</x:v>
      </x:c>
      <x:c r="K1617" t="n">
        <x:f>G1617</x:f>
        <x:v>100.53096491487338</x:v>
      </x:c>
    </x:row>
    <x:row r="1618">
      <x:c r="A1618" t="n">
        <x:v>1601</x:v>
      </x:c>
      <x:c r="B1618" s="40" t="n">
        <x:v>1.653140734807903</x:v>
      </x:c>
      <x:c r="C1618" s="40" t="n">
        <x:v>-1.2789866719190868</x:v>
      </x:c>
      <x:c r="D1618" s="40" t="n">
        <x:v>0.2532514277510831</x:v>
      </x:c>
      <x:c r="E1618" t="n">
        <x:f>--((B1618^2/$B$4^2+C1618^2/$B$5^2+D1618^2/$B$6^2)&lt;=1)</x:f>
        <x:v>1</x:v>
      </x:c>
      <x:c r="F1618" s="42" t="n">
        <x:f>$B$8*SUM($E$18:E1618)/A1618</x:f>
        <x:v>100.37726420986883</x:v>
      </x:c>
      <x:c r="G1618" s="42" t="n">
        <x:f>$B$11</x:f>
        <x:v>100.53096491487338</x:v>
      </x:c>
      <x:c r="I1618" t="n">
        <x:f>A1618</x:f>
        <x:v>1601</x:v>
      </x:c>
      <x:c r="J1618" t="n">
        <x:f>F1618</x:f>
        <x:v>100.37726420986883</x:v>
      </x:c>
      <x:c r="K1618" t="n">
        <x:f>G1618</x:f>
        <x:v>100.53096491487338</x:v>
      </x:c>
    </x:row>
    <x:row r="1619">
      <x:c r="A1619" t="n">
        <x:v>1602</x:v>
      </x:c>
      <x:c r="B1619" s="40" t="n">
        <x:v>-1.4397783812420375</x:v>
      </x:c>
      <x:c r="C1619" s="40" t="n">
        <x:v>-2.219850029892582</x:v>
      </x:c>
      <x:c r="D1619" s="40" t="n">
        <x:v>-3.4615674346480283</x:v>
      </x:c>
      <x:c r="E1619" t="n">
        <x:f>--((B1619^2/$B$4^2+C1619^2/$B$5^2+D1619^2/$B$6^2)&lt;=1)</x:f>
        <x:v>0</x:v>
      </x:c>
      <x:c r="F1619" s="42" t="n">
        <x:f>$B$8*SUM($E$18:E1619)/A1619</x:f>
        <x:v>100.31460674157303</x:v>
      </x:c>
      <x:c r="G1619" s="42" t="n">
        <x:f>$B$11</x:f>
        <x:v>100.53096491487338</x:v>
      </x:c>
      <x:c r="I1619" t="n">
        <x:f>A1619</x:f>
        <x:v>1602</x:v>
      </x:c>
      <x:c r="J1619" t="n">
        <x:f>F1619</x:f>
        <x:v>100.31460674157303</x:v>
      </x:c>
      <x:c r="K1619" t="n">
        <x:f>G1619</x:f>
        <x:v>100.53096491487338</x:v>
      </x:c>
    </x:row>
    <x:row r="1620">
      <x:c r="A1620" t="n">
        <x:v>1603</x:v>
      </x:c>
      <x:c r="B1620" s="40" t="n">
        <x:v>0.710834457817878</x:v>
      </x:c>
      <x:c r="C1620" s="40" t="n">
        <x:v>0.0072548012307871446</x:v>
      </x:c>
      <x:c r="D1620" s="40" t="n">
        <x:v>3.178269340264812</x:v>
      </x:c>
      <x:c r="E1620" t="n">
        <x:f>--((B1620^2/$B$4^2+C1620^2/$B$5^2+D1620^2/$B$6^2)&lt;=1)</x:f>
        <x:v>1</x:v>
      </x:c>
      <x:c r="F1620" s="42" t="n">
        <x:f>$B$8*SUM($E$18:E1620)/A1620</x:f>
        <x:v>100.37180286961946</x:v>
      </x:c>
      <x:c r="G1620" s="42" t="n">
        <x:f>$B$11</x:f>
        <x:v>100.53096491487338</x:v>
      </x:c>
      <x:c r="I1620" t="n">
        <x:f>A1620</x:f>
        <x:v>1603</x:v>
      </x:c>
      <x:c r="J1620" t="n">
        <x:f>F1620</x:f>
        <x:v>100.37180286961946</x:v>
      </x:c>
      <x:c r="K1620" t="n">
        <x:f>G1620</x:f>
        <x:v>100.53096491487338</x:v>
      </x:c>
    </x:row>
    <x:row r="1621">
      <x:c r="A1621" t="n">
        <x:v>1604</x:v>
      </x:c>
      <x:c r="B1621" s="40" t="n">
        <x:v>1.2578955041237356</x:v>
      </x:c>
      <x:c r="C1621" s="40" t="n">
        <x:v>-1.679710077140353</x:v>
      </x:c>
      <x:c r="D1621" s="40" t="n">
        <x:v>3.283298718653005</x:v>
      </x:c>
      <x:c r="E1621" t="n">
        <x:f>--((B1621^2/$B$4^2+C1621^2/$B$5^2+D1621^2/$B$6^2)&lt;=1)</x:f>
        <x:v>0</x:v>
      </x:c>
      <x:c r="F1621" s="42" t="n">
        <x:f>$B$8*SUM($E$18:E1621)/A1621</x:f>
        <x:v>100.30922693266832</x:v>
      </x:c>
      <x:c r="G1621" s="42" t="n">
        <x:f>$B$11</x:f>
        <x:v>100.53096491487338</x:v>
      </x:c>
      <x:c r="I1621" t="n">
        <x:f>A1621</x:f>
        <x:v>1604</x:v>
      </x:c>
      <x:c r="J1621" t="n">
        <x:f>F1621</x:f>
        <x:v>100.30922693266832</x:v>
      </x:c>
      <x:c r="K1621" t="n">
        <x:f>G1621</x:f>
        <x:v>100.53096491487338</x:v>
      </x:c>
    </x:row>
    <x:row r="1622">
      <x:c r="A1622" t="n">
        <x:v>1605</x:v>
      </x:c>
      <x:c r="B1622" s="40" t="n">
        <x:v>-1.05897444633742</x:v>
      </x:c>
      <x:c r="C1622" s="40" t="n">
        <x:v>2.6133051404359184</x:v>
      </x:c>
      <x:c r="D1622" s="40" t="n">
        <x:v>0.3844768787410615</x:v>
      </x:c>
      <x:c r="E1622" t="n">
        <x:f>--((B1622^2/$B$4^2+C1622^2/$B$5^2+D1622^2/$B$6^2)&lt;=1)</x:f>
        <x:v>0</x:v>
      </x:c>
      <x:c r="F1622" s="42" t="n">
        <x:f>$B$8*SUM($E$18:E1622)/A1622</x:f>
        <x:v>100.24672897196261</x:v>
      </x:c>
      <x:c r="G1622" s="42" t="n">
        <x:f>$B$11</x:f>
        <x:v>100.53096491487338</x:v>
      </x:c>
      <x:c r="I1622" t="n">
        <x:f>A1622</x:f>
        <x:v>1605</x:v>
      </x:c>
      <x:c r="J1622" t="n">
        <x:f>F1622</x:f>
        <x:v>100.24672897196261</x:v>
      </x:c>
      <x:c r="K1622" t="n">
        <x:f>G1622</x:f>
        <x:v>100.53096491487338</x:v>
      </x:c>
    </x:row>
    <x:row r="1623">
      <x:c r="A1623" t="n">
        <x:v>1606</x:v>
      </x:c>
      <x:c r="B1623" s="40" t="n">
        <x:v>-0.8951705461737358</x:v>
      </x:c>
      <x:c r="C1623" s="40" t="n">
        <x:v>-2.9759810253433256</x:v>
      </x:c>
      <x:c r="D1623" s="40" t="n">
        <x:v>0.4524441257675642</x:v>
      </x:c>
      <x:c r="E1623" t="n">
        <x:f>--((B1623^2/$B$4^2+C1623^2/$B$5^2+D1623^2/$B$6^2)&lt;=1)</x:f>
        <x:v>0</x:v>
      </x:c>
      <x:c r="F1623" s="42" t="n">
        <x:f>$B$8*SUM($E$18:E1623)/A1623</x:f>
        <x:v>100.18430884184309</x:v>
      </x:c>
      <x:c r="G1623" s="42" t="n">
        <x:f>$B$11</x:f>
        <x:v>100.53096491487338</x:v>
      </x:c>
      <x:c r="I1623" t="n">
        <x:f>A1623</x:f>
        <x:v>1606</x:v>
      </x:c>
      <x:c r="J1623" t="n">
        <x:f>F1623</x:f>
        <x:v>100.18430884184309</x:v>
      </x:c>
      <x:c r="K1623" t="n">
        <x:f>G1623</x:f>
        <x:v>100.53096491487338</x:v>
      </x:c>
    </x:row>
    <x:row r="1624">
      <x:c r="A1624" t="n">
        <x:v>1607</x:v>
      </x:c>
      <x:c r="B1624" s="40" t="n">
        <x:v>1.8580755445568067</x:v>
      </x:c>
      <x:c r="C1624" s="40" t="n">
        <x:v>-2.1408195735412705</x:v>
      </x:c>
      <x:c r="D1624" s="40" t="n">
        <x:v>-3.5395517124483638</x:v>
      </x:c>
      <x:c r="E1624" t="n">
        <x:f>--((B1624^2/$B$4^2+C1624^2/$B$5^2+D1624^2/$B$6^2)&lt;=1)</x:f>
        <x:v>0</x:v>
      </x:c>
      <x:c r="F1624" s="42" t="n">
        <x:f>$B$8*SUM($E$18:E1624)/A1624</x:f>
        <x:v>100.12196639701307</x:v>
      </x:c>
      <x:c r="G1624" s="42" t="n">
        <x:f>$B$11</x:f>
        <x:v>100.53096491487338</x:v>
      </x:c>
      <x:c r="I1624" t="n">
        <x:f>A1624</x:f>
        <x:v>1607</x:v>
      </x:c>
      <x:c r="J1624" t="n">
        <x:f>F1624</x:f>
        <x:v>100.12196639701307</x:v>
      </x:c>
      <x:c r="K1624" t="n">
        <x:f>G1624</x:f>
        <x:v>100.53096491487338</x:v>
      </x:c>
    </x:row>
    <x:row r="1625">
      <x:c r="A1625" t="n">
        <x:v>1608</x:v>
      </x:c>
      <x:c r="B1625" s="40" t="n">
        <x:v>-0.9416095786153669</x:v>
      </x:c>
      <x:c r="C1625" s="40" t="n">
        <x:v>-1.5211448814994393</x:v>
      </x:c>
      <x:c r="D1625" s="40" t="n">
        <x:v>0.7836041049580542</x:v>
      </x:c>
      <x:c r="E1625" t="n">
        <x:f>--((B1625^2/$B$4^2+C1625^2/$B$5^2+D1625^2/$B$6^2)&lt;=1)</x:f>
        <x:v>1</x:v>
      </x:c>
      <x:c r="F1625" s="42" t="n">
        <x:f>$B$8*SUM($E$18:E1625)/A1625</x:f>
        <x:v>100.17910447761194</x:v>
      </x:c>
      <x:c r="G1625" s="42" t="n">
        <x:f>$B$11</x:f>
        <x:v>100.53096491487338</x:v>
      </x:c>
      <x:c r="I1625" t="n">
        <x:f>A1625</x:f>
        <x:v>1608</x:v>
      </x:c>
      <x:c r="J1625" t="n">
        <x:f>F1625</x:f>
        <x:v>100.17910447761194</x:v>
      </x:c>
      <x:c r="K1625" t="n">
        <x:f>G1625</x:f>
        <x:v>100.53096491487338</x:v>
      </x:c>
    </x:row>
    <x:row r="1626">
      <x:c r="A1626" t="n">
        <x:v>1609</x:v>
      </x:c>
      <x:c r="B1626" s="40" t="n">
        <x:v>-0.2801718003998088</x:v>
      </x:c>
      <x:c r="C1626" s="40" t="n">
        <x:v>-1.8062597304408297</x:v>
      </x:c>
      <x:c r="D1626" s="40" t="n">
        <x:v>-0.5667856809667002</x:v>
      </x:c>
      <x:c r="E1626" t="n">
        <x:f>--((B1626^2/$B$4^2+C1626^2/$B$5^2+D1626^2/$B$6^2)&lt;=1)</x:f>
        <x:v>1</x:v>
      </x:c>
      <x:c r="F1626" s="42" t="n">
        <x:f>$B$8*SUM($E$18:E1626)/A1626</x:f>
        <x:v>100.23617153511498</x:v>
      </x:c>
      <x:c r="G1626" s="42" t="n">
        <x:f>$B$11</x:f>
        <x:v>100.53096491487338</x:v>
      </x:c>
      <x:c r="I1626" t="n">
        <x:f>A1626</x:f>
        <x:v>1609</x:v>
      </x:c>
      <x:c r="J1626" t="n">
        <x:f>F1626</x:f>
        <x:v>100.23617153511498</x:v>
      </x:c>
      <x:c r="K1626" t="n">
        <x:f>G1626</x:f>
        <x:v>100.53096491487338</x:v>
      </x:c>
    </x:row>
    <x:row r="1627">
      <x:c r="A1627" t="n">
        <x:v>1610</x:v>
      </x:c>
      <x:c r="B1627" s="40" t="n">
        <x:v>-0.2699376270305356</x:v>
      </x:c>
      <x:c r="C1627" s="40" t="n">
        <x:v>-1.6453293805217382</x:v>
      </x:c>
      <x:c r="D1627" s="40" t="n">
        <x:v>1.6723490418754983</x:v>
      </x:c>
      <x:c r="E1627" t="n">
        <x:f>--((B1627^2/$B$4^2+C1627^2/$B$5^2+D1627^2/$B$6^2)&lt;=1)</x:f>
        <x:v>1</x:v>
      </x:c>
      <x:c r="F1627" s="42" t="n">
        <x:f>$B$8*SUM($E$18:E1627)/A1627</x:f>
        <x:v>100.29316770186335</x:v>
      </x:c>
      <x:c r="G1627" s="42" t="n">
        <x:f>$B$11</x:f>
        <x:v>100.53096491487338</x:v>
      </x:c>
      <x:c r="I1627" t="n">
        <x:f>A1627</x:f>
        <x:v>1610</x:v>
      </x:c>
      <x:c r="J1627" t="n">
        <x:f>F1627</x:f>
        <x:v>100.29316770186335</x:v>
      </x:c>
      <x:c r="K1627" t="n">
        <x:f>G1627</x:f>
        <x:v>100.53096491487338</x:v>
      </x:c>
    </x:row>
    <x:row r="1628">
      <x:c r="A1628" t="n">
        <x:v>1611</x:v>
      </x:c>
      <x:c r="B1628" s="40" t="n">
        <x:v>-0.9878610002812658</x:v>
      </x:c>
      <x:c r="C1628" s="40" t="n">
        <x:v>0.9362856303670704</x:v>
      </x:c>
      <x:c r="D1628" s="40" t="n">
        <x:v>-3.623000667235421</x:v>
      </x:c>
      <x:c r="E1628" t="n">
        <x:f>--((B1628^2/$B$4^2+C1628^2/$B$5^2+D1628^2/$B$6^2)&lt;=1)</x:f>
        <x:v>0</x:v>
      </x:c>
      <x:c r="F1628" s="42" t="n">
        <x:f>$B$8*SUM($E$18:E1628)/A1628</x:f>
        <x:v>100.23091247672254</x:v>
      </x:c>
      <x:c r="G1628" s="42" t="n">
        <x:f>$B$11</x:f>
        <x:v>100.53096491487338</x:v>
      </x:c>
      <x:c r="I1628" t="n">
        <x:f>A1628</x:f>
        <x:v>1611</x:v>
      </x:c>
      <x:c r="J1628" t="n">
        <x:f>F1628</x:f>
        <x:v>100.23091247672254</x:v>
      </x:c>
      <x:c r="K1628" t="n">
        <x:f>G1628</x:f>
        <x:v>100.53096491487338</x:v>
      </x:c>
    </x:row>
    <x:row r="1629">
      <x:c r="A1629" t="n">
        <x:v>1612</x:v>
      </x:c>
      <x:c r="B1629" s="40" t="n">
        <x:v>1.103164345748362</x:v>
      </x:c>
      <x:c r="C1629" s="40" t="n">
        <x:v>-1.0349275301211047</x:v>
      </x:c>
      <x:c r="D1629" s="40" t="n">
        <x:v>1.6871014618359181</x:v>
      </x:c>
      <x:c r="E1629" t="n">
        <x:f>--((B1629^2/$B$4^2+C1629^2/$B$5^2+D1629^2/$B$6^2)&lt;=1)</x:f>
        <x:v>1</x:v>
      </x:c>
      <x:c r="F1629" s="42" t="n">
        <x:f>$B$8*SUM($E$18:E1629)/A1629</x:f>
        <x:v>100.287841191067</x:v>
      </x:c>
      <x:c r="G1629" s="42" t="n">
        <x:f>$B$11</x:f>
        <x:v>100.53096491487338</x:v>
      </x:c>
      <x:c r="I1629" t="n">
        <x:f>A1629</x:f>
        <x:v>1612</x:v>
      </x:c>
      <x:c r="J1629" t="n">
        <x:f>F1629</x:f>
        <x:v>100.287841191067</x:v>
      </x:c>
      <x:c r="K1629" t="n">
        <x:f>G1629</x:f>
        <x:v>100.53096491487338</x:v>
      </x:c>
    </x:row>
    <x:row r="1630">
      <x:c r="A1630" t="n">
        <x:v>1613</x:v>
      </x:c>
      <x:c r="B1630" s="40" t="n">
        <x:v>1.0873973729166209</x:v>
      </x:c>
      <x:c r="C1630" s="40" t="n">
        <x:v>0.6901462914202394</x:v>
      </x:c>
      <x:c r="D1630" s="40" t="n">
        <x:v>-1.704849409341489</x:v>
      </x:c>
      <x:c r="E1630" t="n">
        <x:f>--((B1630^2/$B$4^2+C1630^2/$B$5^2+D1630^2/$B$6^2)&lt;=1)</x:f>
        <x:v>1</x:v>
      </x:c>
      <x:c r="F1630" s="42" t="n">
        <x:f>$B$8*SUM($E$18:E1630)/A1630</x:f>
        <x:v>100.34469931804092</x:v>
      </x:c>
      <x:c r="G1630" s="42" t="n">
        <x:f>$B$11</x:f>
        <x:v>100.53096491487338</x:v>
      </x:c>
      <x:c r="I1630" t="n">
        <x:f>A1630</x:f>
        <x:v>1613</x:v>
      </x:c>
      <x:c r="J1630" t="n">
        <x:f>F1630</x:f>
        <x:v>100.34469931804092</x:v>
      </x:c>
      <x:c r="K1630" t="n">
        <x:f>G1630</x:f>
        <x:v>100.53096491487338</x:v>
      </x:c>
    </x:row>
    <x:row r="1631">
      <x:c r="A1631" t="n">
        <x:v>1614</x:v>
      </x:c>
      <x:c r="B1631" s="40" t="n">
        <x:v>-0.48672794310485745</x:v>
      </x:c>
      <x:c r="C1631" s="40" t="n">
        <x:v>2.341547601877748</x:v>
      </x:c>
      <x:c r="D1631" s="40" t="n">
        <x:v>1.2136426436248637</x:v>
      </x:c>
      <x:c r="E1631" t="n">
        <x:f>--((B1631^2/$B$4^2+C1631^2/$B$5^2+D1631^2/$B$6^2)&lt;=1)</x:f>
        <x:v>1</x:v>
      </x:c>
      <x:c r="F1631" s="42" t="n">
        <x:f>$B$8*SUM($E$18:E1631)/A1631</x:f>
        <x:v>100.40148698884758</x:v>
      </x:c>
      <x:c r="G1631" s="42" t="n">
        <x:f>$B$11</x:f>
        <x:v>100.53096491487338</x:v>
      </x:c>
      <x:c r="I1631" t="n">
        <x:f>A1631</x:f>
        <x:v>1614</x:v>
      </x:c>
      <x:c r="J1631" t="n">
        <x:f>F1631</x:f>
        <x:v>100.40148698884758</x:v>
      </x:c>
      <x:c r="K1631" t="n">
        <x:f>G1631</x:f>
        <x:v>100.53096491487338</x:v>
      </x:c>
    </x:row>
    <x:row r="1632">
      <x:c r="A1632" t="n">
        <x:v>1615</x:v>
      </x:c>
      <x:c r="B1632" s="40" t="n">
        <x:v>1.3405031643229348</x:v>
      </x:c>
      <x:c r="C1632" s="40" t="n">
        <x:v>0.6153405931542122</x:v>
      </x:c>
      <x:c r="D1632" s="40" t="n">
        <x:v>1.017007802496984</x:v>
      </x:c>
      <x:c r="E1632" t="n">
        <x:f>--((B1632^2/$B$4^2+C1632^2/$B$5^2+D1632^2/$B$6^2)&lt;=1)</x:f>
        <x:v>1</x:v>
      </x:c>
      <x:c r="F1632" s="42" t="n">
        <x:f>$B$8*SUM($E$18:E1632)/A1632</x:f>
        <x:v>100.45820433436532</x:v>
      </x:c>
      <x:c r="G1632" s="42" t="n">
        <x:f>$B$11</x:f>
        <x:v>100.53096491487338</x:v>
      </x:c>
      <x:c r="I1632" t="n">
        <x:f>A1632</x:f>
        <x:v>1615</x:v>
      </x:c>
      <x:c r="J1632" t="n">
        <x:f>F1632</x:f>
        <x:v>100.45820433436532</x:v>
      </x:c>
      <x:c r="K1632" t="n">
        <x:f>G1632</x:f>
        <x:v>100.53096491487338</x:v>
      </x:c>
    </x:row>
    <x:row r="1633">
      <x:c r="A1633" t="n">
        <x:v>1616</x:v>
      </x:c>
      <x:c r="B1633" s="40" t="n">
        <x:v>-1.1477002624039905</x:v>
      </x:c>
      <x:c r="C1633" s="40" t="n">
        <x:v>1.1671967477182887</x:v>
      </x:c>
      <x:c r="D1633" s="40" t="n">
        <x:v>-2.18526812294214</x:v>
      </x:c>
      <x:c r="E1633" t="n">
        <x:f>--((B1633^2/$B$4^2+C1633^2/$B$5^2+D1633^2/$B$6^2)&lt;=1)</x:f>
        <x:v>1</x:v>
      </x:c>
      <x:c r="F1633" s="42" t="n">
        <x:f>$B$8*SUM($E$18:E1633)/A1633</x:f>
        <x:v>100.51485148514851</x:v>
      </x:c>
      <x:c r="G1633" s="42" t="n">
        <x:f>$B$11</x:f>
        <x:v>100.53096491487338</x:v>
      </x:c>
      <x:c r="I1633" t="n">
        <x:f>A1633</x:f>
        <x:v>1616</x:v>
      </x:c>
      <x:c r="J1633" t="n">
        <x:f>F1633</x:f>
        <x:v>100.51485148514851</x:v>
      </x:c>
      <x:c r="K1633" t="n">
        <x:f>G1633</x:f>
        <x:v>100.53096491487338</x:v>
      </x:c>
    </x:row>
    <x:row r="1634">
      <x:c r="A1634" t="n">
        <x:v>1617</x:v>
      </x:c>
      <x:c r="B1634" s="40" t="n">
        <x:v>-1.9827768973292854</x:v>
      </x:c>
      <x:c r="C1634" s="40" t="n">
        <x:v>-0.8069802106718562</x:v>
      </x:c>
      <x:c r="D1634" s="40" t="n">
        <x:v>-0.476381238269866</x:v>
      </x:c>
      <x:c r="E1634" t="n">
        <x:f>--((B1634^2/$B$4^2+C1634^2/$B$5^2+D1634^2/$B$6^2)&lt;=1)</x:f>
        <x:v>0</x:v>
      </x:c>
      <x:c r="F1634" s="42" t="n">
        <x:f>$B$8*SUM($E$18:E1634)/A1634</x:f>
        <x:v>100.45269016697588</x:v>
      </x:c>
      <x:c r="G1634" s="42" t="n">
        <x:f>$B$11</x:f>
        <x:v>100.53096491487338</x:v>
      </x:c>
      <x:c r="I1634" t="n">
        <x:f>A1634</x:f>
        <x:v>1617</x:v>
      </x:c>
      <x:c r="J1634" t="n">
        <x:f>F1634</x:f>
        <x:v>100.45269016697588</x:v>
      </x:c>
      <x:c r="K1634" t="n">
        <x:f>G1634</x:f>
        <x:v>100.53096491487338</x:v>
      </x:c>
    </x:row>
    <x:row r="1635">
      <x:c r="A1635" t="n">
        <x:v>1618</x:v>
      </x:c>
      <x:c r="B1635" s="40" t="n">
        <x:v>0.28466944822296414</x:v>
      </x:c>
      <x:c r="C1635" s="40" t="n">
        <x:v>-2.041569194263745</x:v>
      </x:c>
      <x:c r="D1635" s="40" t="n">
        <x:v>2.6850660724265962</x:v>
      </x:c>
      <x:c r="E1635" t="n">
        <x:f>--((B1635^2/$B$4^2+C1635^2/$B$5^2+D1635^2/$B$6^2)&lt;=1)</x:f>
        <x:v>1</x:v>
      </x:c>
      <x:c r="F1635" s="42" t="n">
        <x:f>$B$8*SUM($E$18:E1635)/A1635</x:f>
        <x:v>100.50927070457355</x:v>
      </x:c>
      <x:c r="G1635" s="42" t="n">
        <x:f>$B$11</x:f>
        <x:v>100.53096491487338</x:v>
      </x:c>
      <x:c r="I1635" t="n">
        <x:f>A1635</x:f>
        <x:v>1618</x:v>
      </x:c>
      <x:c r="J1635" t="n">
        <x:f>F1635</x:f>
        <x:v>100.50927070457355</x:v>
      </x:c>
      <x:c r="K1635" t="n">
        <x:f>G1635</x:f>
        <x:v>100.53096491487338</x:v>
      </x:c>
    </x:row>
    <x:row r="1636">
      <x:c r="A1636" t="n">
        <x:v>1619</x:v>
      </x:c>
      <x:c r="B1636" s="40" t="n">
        <x:v>1.976311089809514</x:v>
      </x:c>
      <x:c r="C1636" s="40" t="n">
        <x:v>-1.0764956253005633</x:v>
      </x:c>
      <x:c r="D1636" s="40" t="n">
        <x:v>0.8447331487581913</x:v>
      </x:c>
      <x:c r="E1636" t="n">
        <x:f>--((B1636^2/$B$4^2+C1636^2/$B$5^2+D1636^2/$B$6^2)&lt;=1)</x:f>
        <x:v>0</x:v>
      </x:c>
      <x:c r="F1636" s="42" t="n">
        <x:f>$B$8*SUM($E$18:E1636)/A1636</x:f>
        <x:v>100.44718962322422</x:v>
      </x:c>
      <x:c r="G1636" s="42" t="n">
        <x:f>$B$11</x:f>
        <x:v>100.53096491487338</x:v>
      </x:c>
      <x:c r="I1636" t="n">
        <x:f>A1636</x:f>
        <x:v>1619</x:v>
      </x:c>
      <x:c r="J1636" t="n">
        <x:f>F1636</x:f>
        <x:v>100.44718962322422</x:v>
      </x:c>
      <x:c r="K1636" t="n">
        <x:f>G1636</x:f>
        <x:v>100.53096491487338</x:v>
      </x:c>
    </x:row>
    <x:row r="1637">
      <x:c r="A1637" t="n">
        <x:v>1620</x:v>
      </x:c>
      <x:c r="B1637" s="40" t="n">
        <x:v>-1.8454227606924616</x:v>
      </x:c>
      <x:c r="C1637" s="40" t="n">
        <x:v>2.7856958922246484</x:v>
      </x:c>
      <x:c r="D1637" s="40" t="n">
        <x:v>-3.4500935841727083</x:v>
      </x:c>
      <x:c r="E1637" t="n">
        <x:f>--((B1637^2/$B$4^2+C1637^2/$B$5^2+D1637^2/$B$6^2)&lt;=1)</x:f>
        <x:v>0</x:v>
      </x:c>
      <x:c r="F1637" s="42" t="n">
        <x:f>$B$8*SUM($E$18:E1637)/A1637</x:f>
        <x:v>100.38518518518518</x:v>
      </x:c>
      <x:c r="G1637" s="42" t="n">
        <x:f>$B$11</x:f>
        <x:v>100.53096491487338</x:v>
      </x:c>
      <x:c r="I1637" t="n">
        <x:f>A1637</x:f>
        <x:v>1620</x:v>
      </x:c>
      <x:c r="J1637" t="n">
        <x:f>F1637</x:f>
        <x:v>100.38518518518518</x:v>
      </x:c>
      <x:c r="K1637" t="n">
        <x:f>G1637</x:f>
        <x:v>100.53096491487338</x:v>
      </x:c>
    </x:row>
    <x:row r="1638">
      <x:c r="A1638" t="n">
        <x:v>1621</x:v>
      </x:c>
      <x:c r="B1638" s="40" t="n">
        <x:v>-1.1680077051661577</x:v>
      </x:c>
      <x:c r="C1638" s="40" t="n">
        <x:v>0.7308683067188229</x:v>
      </x:c>
      <x:c r="D1638" s="40" t="n">
        <x:v>-0.4567293494333624</x:v>
      </x:c>
      <x:c r="E1638" t="n">
        <x:f>--((B1638^2/$B$4^2+C1638^2/$B$5^2+D1638^2/$B$6^2)&lt;=1)</x:f>
        <x:v>1</x:v>
      </x:c>
      <x:c r="F1638" s="42" t="n">
        <x:f>$B$8*SUM($E$18:E1638)/A1638</x:f>
        <x:v>100.44170265268353</x:v>
      </x:c>
      <x:c r="G1638" s="42" t="n">
        <x:f>$B$11</x:f>
        <x:v>100.53096491487338</x:v>
      </x:c>
      <x:c r="I1638" t="n">
        <x:f>A1638</x:f>
        <x:v>1621</x:v>
      </x:c>
      <x:c r="J1638" t="n">
        <x:f>F1638</x:f>
        <x:v>100.44170265268353</x:v>
      </x:c>
      <x:c r="K1638" t="n">
        <x:f>G1638</x:f>
        <x:v>100.53096491487338</x:v>
      </x:c>
    </x:row>
    <x:row r="1639">
      <x:c r="A1639" t="n">
        <x:v>1622</x:v>
      </x:c>
      <x:c r="B1639" s="40" t="n">
        <x:v>0.07565856994833675</x:v>
      </x:c>
      <x:c r="C1639" s="40" t="n">
        <x:v>-1.3349332833959089</x:v>
      </x:c>
      <x:c r="D1639" s="40" t="n">
        <x:v>-1.505828329776664</x:v>
      </x:c>
      <x:c r="E1639" t="n">
        <x:f>--((B1639^2/$B$4^2+C1639^2/$B$5^2+D1639^2/$B$6^2)&lt;=1)</x:f>
        <x:v>1</x:v>
      </x:c>
      <x:c r="F1639" s="42" t="n">
        <x:f>$B$8*SUM($E$18:E1639)/A1639</x:f>
        <x:v>100.49815043156597</x:v>
      </x:c>
      <x:c r="G1639" s="42" t="n">
        <x:f>$B$11</x:f>
        <x:v>100.53096491487338</x:v>
      </x:c>
      <x:c r="I1639" t="n">
        <x:f>A1639</x:f>
        <x:v>1622</x:v>
      </x:c>
      <x:c r="J1639" t="n">
        <x:f>F1639</x:f>
        <x:v>100.49815043156597</x:v>
      </x:c>
      <x:c r="K1639" t="n">
        <x:f>G1639</x:f>
        <x:v>100.53096491487338</x:v>
      </x:c>
    </x:row>
    <x:row r="1640">
      <x:c r="A1640" t="n">
        <x:v>1623</x:v>
      </x:c>
      <x:c r="B1640" s="40" t="n">
        <x:v>1.2397629457794825</x:v>
      </x:c>
      <x:c r="C1640" s="40" t="n">
        <x:v>-0.29450839702737674</x:v>
      </x:c>
      <x:c r="D1640" s="40" t="n">
        <x:v>1.1331654312930617</x:v>
      </x:c>
      <x:c r="E1640" t="n">
        <x:f>--((B1640^2/$B$4^2+C1640^2/$B$5^2+D1640^2/$B$6^2)&lt;=1)</x:f>
        <x:v>1</x:v>
      </x:c>
      <x:c r="F1640" s="42" t="n">
        <x:f>$B$8*SUM($E$18:E1640)/A1640</x:f>
        <x:v>100.55452865064694</x:v>
      </x:c>
      <x:c r="G1640" s="42" t="n">
        <x:f>$B$11</x:f>
        <x:v>100.53096491487338</x:v>
      </x:c>
      <x:c r="I1640" t="n">
        <x:f>A1640</x:f>
        <x:v>1623</x:v>
      </x:c>
      <x:c r="J1640" t="n">
        <x:f>F1640</x:f>
        <x:v>100.55452865064694</x:v>
      </x:c>
      <x:c r="K1640" t="n">
        <x:f>G1640</x:f>
        <x:v>100.53096491487338</x:v>
      </x:c>
    </x:row>
    <x:row r="1641">
      <x:c r="A1641" t="n">
        <x:v>1624</x:v>
      </x:c>
      <x:c r="B1641" s="40" t="n">
        <x:v>-1.6438319796997871</x:v>
      </x:c>
      <x:c r="C1641" s="40" t="n">
        <x:v>2.013078224585966</x:v>
      </x:c>
      <x:c r="D1641" s="40" t="n">
        <x:v>0.9165115303620865</x:v>
      </x:c>
      <x:c r="E1641" t="n">
        <x:f>--((B1641^2/$B$4^2+C1641^2/$B$5^2+D1641^2/$B$6^2)&lt;=1)</x:f>
        <x:v>0</x:v>
      </x:c>
      <x:c r="F1641" s="42" t="n">
        <x:f>$B$8*SUM($E$18:E1641)/A1641</x:f>
        <x:v>100.49261083743842</x:v>
      </x:c>
      <x:c r="G1641" s="42" t="n">
        <x:f>$B$11</x:f>
        <x:v>100.53096491487338</x:v>
      </x:c>
      <x:c r="I1641" t="n">
        <x:f>A1641</x:f>
        <x:v>1624</x:v>
      </x:c>
      <x:c r="J1641" t="n">
        <x:f>F1641</x:f>
        <x:v>100.49261083743842</x:v>
      </x:c>
      <x:c r="K1641" t="n">
        <x:f>G1641</x:f>
        <x:v>100.53096491487338</x:v>
      </x:c>
    </x:row>
    <x:row r="1642">
      <x:c r="A1642" t="n">
        <x:v>1625</x:v>
      </x:c>
      <x:c r="B1642" s="40" t="n">
        <x:v>-0.4190613849644227</x:v>
      </x:c>
      <x:c r="C1642" s="40" t="n">
        <x:v>1.010661424234641</x:v>
      </x:c>
      <x:c r="D1642" s="40" t="n">
        <x:v>-3.9168151879188757</x:v>
      </x:c>
      <x:c r="E1642" t="n">
        <x:f>--((B1642^2/$B$4^2+C1642^2/$B$5^2+D1642^2/$B$6^2)&lt;=1)</x:f>
        <x:v>0</x:v>
      </x:c>
      <x:c r="F1642" s="42" t="n">
        <x:f>$B$8*SUM($E$18:E1642)/A1642</x:f>
        <x:v>100.43076923076923</x:v>
      </x:c>
      <x:c r="G1642" s="42" t="n">
        <x:f>$B$11</x:f>
        <x:v>100.53096491487338</x:v>
      </x:c>
      <x:c r="I1642" t="n">
        <x:f>A1642</x:f>
        <x:v>1625</x:v>
      </x:c>
      <x:c r="J1642" t="n">
        <x:f>F1642</x:f>
        <x:v>100.43076923076923</x:v>
      </x:c>
      <x:c r="K1642" t="n">
        <x:f>G1642</x:f>
        <x:v>100.53096491487338</x:v>
      </x:c>
    </x:row>
    <x:row r="1643">
      <x:c r="A1643" t="n">
        <x:v>1626</x:v>
      </x:c>
      <x:c r="B1643" s="40" t="n">
        <x:v>0.9883032025195453</x:v>
      </x:c>
      <x:c r="C1643" s="40" t="n">
        <x:v>0.36391704437500927</x:v>
      </x:c>
      <x:c r="D1643" s="40" t="n">
        <x:v>0.8615640753477036</x:v>
      </x:c>
      <x:c r="E1643" t="n">
        <x:f>--((B1643^2/$B$4^2+C1643^2/$B$5^2+D1643^2/$B$6^2)&lt;=1)</x:f>
        <x:v>1</x:v>
      </x:c>
      <x:c r="F1643" s="42" t="n">
        <x:f>$B$8*SUM($E$18:E1643)/A1643</x:f>
        <x:v>100.4870848708487</x:v>
      </x:c>
      <x:c r="G1643" s="42" t="n">
        <x:f>$B$11</x:f>
        <x:v>100.53096491487338</x:v>
      </x:c>
      <x:c r="I1643" t="n">
        <x:f>A1643</x:f>
        <x:v>1626</x:v>
      </x:c>
      <x:c r="J1643" t="n">
        <x:f>F1643</x:f>
        <x:v>100.4870848708487</x:v>
      </x:c>
      <x:c r="K1643" t="n">
        <x:f>G1643</x:f>
        <x:v>100.53096491487338</x:v>
      </x:c>
    </x:row>
    <x:row r="1644">
      <x:c r="A1644" t="n">
        <x:v>1627</x:v>
      </x:c>
      <x:c r="B1644" s="40" t="n">
        <x:v>-0.5138271663745537</x:v>
      </x:c>
      <x:c r="C1644" s="40" t="n">
        <x:v>2.310977259803046</x:v>
      </x:c>
      <x:c r="D1644" s="40" t="n">
        <x:v>1.8787972318794939</x:v>
      </x:c>
      <x:c r="E1644" t="n">
        <x:f>--((B1644^2/$B$4^2+C1644^2/$B$5^2+D1644^2/$B$6^2)&lt;=1)</x:f>
        <x:v>1</x:v>
      </x:c>
      <x:c r="F1644" s="42" t="n">
        <x:f>$B$8*SUM($E$18:E1644)/A1644</x:f>
        <x:v>100.54333128457283</x:v>
      </x:c>
      <x:c r="G1644" s="42" t="n">
        <x:f>$B$11</x:f>
        <x:v>100.53096491487338</x:v>
      </x:c>
      <x:c r="I1644" t="n">
        <x:f>A1644</x:f>
        <x:v>1627</x:v>
      </x:c>
      <x:c r="J1644" t="n">
        <x:f>F1644</x:f>
        <x:v>100.54333128457283</x:v>
      </x:c>
      <x:c r="K1644" t="n">
        <x:f>G1644</x:f>
        <x:v>100.53096491487338</x:v>
      </x:c>
    </x:row>
    <x:row r="1645">
      <x:c r="A1645" t="n">
        <x:v>1628</x:v>
      </x:c>
      <x:c r="B1645" s="40" t="n">
        <x:v>-1.244654318097444</x:v>
      </x:c>
      <x:c r="C1645" s="40" t="n">
        <x:v>1.034637433300742</x:v>
      </x:c>
      <x:c r="D1645" s="40" t="n">
        <x:v>2.1498402592126036</x:v>
      </x:c>
      <x:c r="E1645" t="n">
        <x:f>--((B1645^2/$B$4^2+C1645^2/$B$5^2+D1645^2/$B$6^2)&lt;=1)</x:f>
        <x:v>1</x:v>
      </x:c>
      <x:c r="F1645" s="42" t="n">
        <x:f>$B$8*SUM($E$18:E1645)/A1645</x:f>
        <x:v>100.5995085995086</x:v>
      </x:c>
      <x:c r="G1645" s="42" t="n">
        <x:f>$B$11</x:f>
        <x:v>100.53096491487338</x:v>
      </x:c>
      <x:c r="I1645" t="n">
        <x:f>A1645</x:f>
        <x:v>1628</x:v>
      </x:c>
      <x:c r="J1645" t="n">
        <x:f>F1645</x:f>
        <x:v>100.5995085995086</x:v>
      </x:c>
      <x:c r="K1645" t="n">
        <x:f>G1645</x:f>
        <x:v>100.53096491487338</x:v>
      </x:c>
    </x:row>
    <x:row r="1646">
      <x:c r="A1646" t="n">
        <x:v>1629</x:v>
      </x:c>
      <x:c r="B1646" s="40" t="n">
        <x:v>-1.2180166904136507</x:v>
      </x:c>
      <x:c r="C1646" s="40" t="n">
        <x:v>0.8563783847465727</x:v>
      </x:c>
      <x:c r="D1646" s="40" t="n">
        <x:v>-3.5281938368803107</x:v>
      </x:c>
      <x:c r="E1646" t="n">
        <x:f>--((B1646^2/$B$4^2+C1646^2/$B$5^2+D1646^2/$B$6^2)&lt;=1)</x:f>
        <x:v>0</x:v>
      </x:c>
      <x:c r="F1646" s="42" t="n">
        <x:f>$B$8*SUM($E$18:E1646)/A1646</x:f>
        <x:v>100.5377532228361</x:v>
      </x:c>
      <x:c r="G1646" s="42" t="n">
        <x:f>$B$11</x:f>
        <x:v>100.53096491487338</x:v>
      </x:c>
      <x:c r="I1646" t="n">
        <x:f>A1646</x:f>
        <x:v>1629</x:v>
      </x:c>
      <x:c r="J1646" t="n">
        <x:f>F1646</x:f>
        <x:v>100.5377532228361</x:v>
      </x:c>
      <x:c r="K1646" t="n">
        <x:f>G1646</x:f>
        <x:v>100.53096491487338</x:v>
      </x:c>
    </x:row>
    <x:row r="1647">
      <x:c r="A1647" t="n">
        <x:v>1630</x:v>
      </x:c>
      <x:c r="B1647" s="40" t="n">
        <x:v>-0.359804852340023</x:v>
      </x:c>
      <x:c r="C1647" s="40" t="n">
        <x:v>-1.8613911767353912</x:v>
      </x:c>
      <x:c r="D1647" s="40" t="n">
        <x:v>-1.5707326631210483</x:v>
      </x:c>
      <x:c r="E1647" t="n">
        <x:f>--((B1647^2/$B$4^2+C1647^2/$B$5^2+D1647^2/$B$6^2)&lt;=1)</x:f>
        <x:v>1</x:v>
      </x:c>
      <x:c r="F1647" s="42" t="n">
        <x:f>$B$8*SUM($E$18:E1647)/A1647</x:f>
        <x:v>100.59386503067485</x:v>
      </x:c>
      <x:c r="G1647" s="42" t="n">
        <x:f>$B$11</x:f>
        <x:v>100.53096491487338</x:v>
      </x:c>
      <x:c r="I1647" t="n">
        <x:f>A1647</x:f>
        <x:v>1630</x:v>
      </x:c>
      <x:c r="J1647" t="n">
        <x:f>F1647</x:f>
        <x:v>100.59386503067485</x:v>
      </x:c>
      <x:c r="K1647" t="n">
        <x:f>G1647</x:f>
        <x:v>100.53096491487338</x:v>
      </x:c>
    </x:row>
    <x:row r="1648">
      <x:c r="A1648" t="n">
        <x:v>1631</x:v>
      </x:c>
      <x:c r="B1648" s="40" t="n">
        <x:v>-0.08233170077643548</x:v>
      </x:c>
      <x:c r="C1648" s="40" t="n">
        <x:v>-2.3616679019255535</x:v>
      </x:c>
      <x:c r="D1648" s="40" t="n">
        <x:v>-0.629811515587809</x:v>
      </x:c>
      <x:c r="E1648" t="n">
        <x:f>--((B1648^2/$B$4^2+C1648^2/$B$5^2+D1648^2/$B$6^2)&lt;=1)</x:f>
        <x:v>1</x:v>
      </x:c>
      <x:c r="F1648" s="42" t="n">
        <x:f>$B$8*SUM($E$18:E1648)/A1648</x:f>
        <x:v>100.64990803188228</x:v>
      </x:c>
      <x:c r="G1648" s="42" t="n">
        <x:f>$B$11</x:f>
        <x:v>100.53096491487338</x:v>
      </x:c>
      <x:c r="I1648" t="n">
        <x:f>A1648</x:f>
        <x:v>1631</x:v>
      </x:c>
      <x:c r="J1648" t="n">
        <x:f>F1648</x:f>
        <x:v>100.64990803188228</x:v>
      </x:c>
      <x:c r="K1648" t="n">
        <x:f>G1648</x:f>
        <x:v>100.53096491487338</x:v>
      </x:c>
    </x:row>
    <x:row r="1649">
      <x:c r="A1649" t="n">
        <x:v>1632</x:v>
      </x:c>
      <x:c r="B1649" s="40" t="n">
        <x:v>1.447257671264056</x:v>
      </x:c>
      <x:c r="C1649" s="40" t="n">
        <x:v>2.7908527023443943</x:v>
      </x:c>
      <x:c r="D1649" s="40" t="n">
        <x:v>-2.5618263376407056</x:v>
      </x:c>
      <x:c r="E1649" t="n">
        <x:f>--((B1649^2/$B$4^2+C1649^2/$B$5^2+D1649^2/$B$6^2)&lt;=1)</x:f>
        <x:v>0</x:v>
      </x:c>
      <x:c r="F1649" s="42" t="n">
        <x:f>$B$8*SUM($E$18:E1649)/A1649</x:f>
        <x:v>100.58823529411765</x:v>
      </x:c>
      <x:c r="G1649" s="42" t="n">
        <x:f>$B$11</x:f>
        <x:v>100.53096491487338</x:v>
      </x:c>
      <x:c r="I1649" t="n">
        <x:f>A1649</x:f>
        <x:v>1632</x:v>
      </x:c>
      <x:c r="J1649" t="n">
        <x:f>F1649</x:f>
        <x:v>100.58823529411765</x:v>
      </x:c>
      <x:c r="K1649" t="n">
        <x:f>G1649</x:f>
        <x:v>100.53096491487338</x:v>
      </x:c>
    </x:row>
    <x:row r="1650">
      <x:c r="A1650" t="n">
        <x:v>1633</x:v>
      </x:c>
      <x:c r="B1650" s="40" t="n">
        <x:v>0.5690096742719741</x:v>
      </x:c>
      <x:c r="C1650" s="40" t="n">
        <x:v>0.5931502206021162</x:v>
      </x:c>
      <x:c r="D1650" s="40" t="n">
        <x:v>-0.6341290306799214</x:v>
      </x:c>
      <x:c r="E1650" t="n">
        <x:f>--((B1650^2/$B$4^2+C1650^2/$B$5^2+D1650^2/$B$6^2)&lt;=1)</x:f>
        <x:v>1</x:v>
      </x:c>
      <x:c r="F1650" s="42" t="n">
        <x:f>$B$8*SUM($E$18:E1650)/A1650</x:f>
        <x:v>100.64421310471525</x:v>
      </x:c>
      <x:c r="G1650" s="42" t="n">
        <x:f>$B$11</x:f>
        <x:v>100.53096491487338</x:v>
      </x:c>
      <x:c r="I1650" t="n">
        <x:f>A1650</x:f>
        <x:v>1633</x:v>
      </x:c>
      <x:c r="J1650" t="n">
        <x:f>F1650</x:f>
        <x:v>100.64421310471525</x:v>
      </x:c>
      <x:c r="K1650" t="n">
        <x:f>G1650</x:f>
        <x:v>100.53096491487338</x:v>
      </x:c>
    </x:row>
    <x:row r="1651">
      <x:c r="A1651" t="n">
        <x:v>1634</x:v>
      </x:c>
      <x:c r="B1651" s="40" t="n">
        <x:v>0.7616078180620058</x:v>
      </x:c>
      <x:c r="C1651" s="40" t="n">
        <x:v>-0.5058995451214257</x:v>
      </x:c>
      <x:c r="D1651" s="40" t="n">
        <x:v>-3.4309637133952613</x:v>
      </x:c>
      <x:c r="E1651" t="n">
        <x:f>--((B1651^2/$B$4^2+C1651^2/$B$5^2+D1651^2/$B$6^2)&lt;=1)</x:f>
        <x:v>1</x:v>
      </x:c>
      <x:c r="F1651" s="42" t="n">
        <x:f>$B$8*SUM($E$18:E1651)/A1651</x:f>
        <x:v>100.70012239902081</x:v>
      </x:c>
      <x:c r="G1651" s="42" t="n">
        <x:f>$B$11</x:f>
        <x:v>100.53096491487338</x:v>
      </x:c>
      <x:c r="I1651" t="n">
        <x:f>A1651</x:f>
        <x:v>1634</x:v>
      </x:c>
      <x:c r="J1651" t="n">
        <x:f>F1651</x:f>
        <x:v>100.70012239902081</x:v>
      </x:c>
      <x:c r="K1651" t="n">
        <x:f>G1651</x:f>
        <x:v>100.53096491487338</x:v>
      </x:c>
    </x:row>
    <x:row r="1652">
      <x:c r="A1652" t="n">
        <x:v>1635</x:v>
      </x:c>
      <x:c r="B1652" s="40" t="n">
        <x:v>1.931948686143628</x:v>
      </x:c>
      <x:c r="C1652" s="40" t="n">
        <x:v>0.5341249254613052</x:v>
      </x:c>
      <x:c r="D1652" s="40" t="n">
        <x:v>-3.0942617359435873</x:v>
      </x:c>
      <x:c r="E1652" t="n">
        <x:f>--((B1652^2/$B$4^2+C1652^2/$B$5^2+D1652^2/$B$6^2)&lt;=1)</x:f>
        <x:v>0</x:v>
      </x:c>
      <x:c r="F1652" s="42" t="n">
        <x:f>$B$8*SUM($E$18:E1652)/A1652</x:f>
        <x:v>100.63853211009175</x:v>
      </x:c>
      <x:c r="G1652" s="42" t="n">
        <x:f>$B$11</x:f>
        <x:v>100.53096491487338</x:v>
      </x:c>
      <x:c r="I1652" t="n">
        <x:f>A1652</x:f>
        <x:v>1635</x:v>
      </x:c>
      <x:c r="J1652" t="n">
        <x:f>F1652</x:f>
        <x:v>100.63853211009175</x:v>
      </x:c>
      <x:c r="K1652" t="n">
        <x:f>G1652</x:f>
        <x:v>100.53096491487338</x:v>
      </x:c>
    </x:row>
    <x:row r="1653">
      <x:c r="A1653" t="n">
        <x:v>1636</x:v>
      </x:c>
      <x:c r="B1653" s="40" t="n">
        <x:v>-0.352626238796105</x:v>
      </x:c>
      <x:c r="C1653" s="40" t="n">
        <x:v>-2.6291282335697077</x:v>
      </x:c>
      <x:c r="D1653" s="40" t="n">
        <x:v>1.3495581027473555</x:v>
      </x:c>
      <x:c r="E1653" t="n">
        <x:f>--((B1653^2/$B$4^2+C1653^2/$B$5^2+D1653^2/$B$6^2)&lt;=1)</x:f>
        <x:v>1</x:v>
      </x:c>
      <x:c r="F1653" s="42" t="n">
        <x:f>$B$8*SUM($E$18:E1653)/A1653</x:f>
        <x:v>100.69437652811736</x:v>
      </x:c>
      <x:c r="G1653" s="42" t="n">
        <x:f>$B$11</x:f>
        <x:v>100.53096491487338</x:v>
      </x:c>
      <x:c r="I1653" t="n">
        <x:f>A1653</x:f>
        <x:v>1636</x:v>
      </x:c>
      <x:c r="J1653" t="n">
        <x:f>F1653</x:f>
        <x:v>100.69437652811736</x:v>
      </x:c>
      <x:c r="K1653" t="n">
        <x:f>G1653</x:f>
        <x:v>100.53096491487338</x:v>
      </x:c>
    </x:row>
    <x:row r="1654">
      <x:c r="A1654" t="n">
        <x:v>1637</x:v>
      </x:c>
      <x:c r="B1654" s="40" t="n">
        <x:v>-0.3865823870034868</x:v>
      </x:c>
      <x:c r="C1654" s="40" t="n">
        <x:v>1.9327636434246411</x:v>
      </x:c>
      <x:c r="D1654" s="40" t="n">
        <x:v>-1.8994203107187602</x:v>
      </x:c>
      <x:c r="E1654" t="n">
        <x:f>--((B1654^2/$B$4^2+C1654^2/$B$5^2+D1654^2/$B$6^2)&lt;=1)</x:f>
        <x:v>1</x:v>
      </x:c>
      <x:c r="F1654" s="42" t="n">
        <x:f>$B$8*SUM($E$18:E1654)/A1654</x:f>
        <x:v>100.7501527183873</x:v>
      </x:c>
      <x:c r="G1654" s="42" t="n">
        <x:f>$B$11</x:f>
        <x:v>100.53096491487338</x:v>
      </x:c>
      <x:c r="I1654" t="n">
        <x:f>A1654</x:f>
        <x:v>1637</x:v>
      </x:c>
      <x:c r="J1654" t="n">
        <x:f>F1654</x:f>
        <x:v>100.7501527183873</x:v>
      </x:c>
      <x:c r="K1654" t="n">
        <x:f>G1654</x:f>
        <x:v>100.53096491487338</x:v>
      </x:c>
    </x:row>
    <x:row r="1655">
      <x:c r="A1655" t="n">
        <x:v>1638</x:v>
      </x:c>
      <x:c r="B1655" s="40" t="n">
        <x:v>1.693387870903249</x:v>
      </x:c>
      <x:c r="C1655" s="40" t="n">
        <x:v>-1.7001267866139842</x:v>
      </x:c>
      <x:c r="D1655" s="40" t="n">
        <x:v>1.6912467798365798</x:v>
      </x:c>
      <x:c r="E1655" t="n">
        <x:f>--((B1655^2/$B$4^2+C1655^2/$B$5^2+D1655^2/$B$6^2)&lt;=1)</x:f>
        <x:v>0</x:v>
      </x:c>
      <x:c r="F1655" s="42" t="n">
        <x:f>$B$8*SUM($E$18:E1655)/A1655</x:f>
        <x:v>100.68864468864469</x:v>
      </x:c>
      <x:c r="G1655" s="42" t="n">
        <x:f>$B$11</x:f>
        <x:v>100.53096491487338</x:v>
      </x:c>
      <x:c r="I1655" t="n">
        <x:f>A1655</x:f>
        <x:v>1638</x:v>
      </x:c>
      <x:c r="J1655" t="n">
        <x:f>F1655</x:f>
        <x:v>100.68864468864469</x:v>
      </x:c>
      <x:c r="K1655" t="n">
        <x:f>G1655</x:f>
        <x:v>100.53096491487338</x:v>
      </x:c>
    </x:row>
    <x:row r="1656">
      <x:c r="A1656" t="n">
        <x:v>1639</x:v>
      </x:c>
      <x:c r="B1656" s="40" t="n">
        <x:v>-1.0164976519797655</x:v>
      </x:c>
      <x:c r="C1656" s="40" t="n">
        <x:v>1.8272760379076818</x:v>
      </x:c>
      <x:c r="D1656" s="40" t="n">
        <x:v>-3.615131775866656</x:v>
      </x:c>
      <x:c r="E1656" t="n">
        <x:f>--((B1656^2/$B$4^2+C1656^2/$B$5^2+D1656^2/$B$6^2)&lt;=1)</x:f>
        <x:v>0</x:v>
      </x:c>
      <x:c r="F1656" s="42" t="n">
        <x:f>$B$8*SUM($E$18:E1656)/A1656</x:f>
        <x:v>100.62721171446003</x:v>
      </x:c>
      <x:c r="G1656" s="42" t="n">
        <x:f>$B$11</x:f>
        <x:v>100.53096491487338</x:v>
      </x:c>
      <x:c r="I1656" t="n">
        <x:f>A1656</x:f>
        <x:v>1639</x:v>
      </x:c>
      <x:c r="J1656" t="n">
        <x:f>F1656</x:f>
        <x:v>100.62721171446003</x:v>
      </x:c>
      <x:c r="K1656" t="n">
        <x:f>G1656</x:f>
        <x:v>100.53096491487338</x:v>
      </x:c>
    </x:row>
    <x:row r="1657">
      <x:c r="A1657" t="n">
        <x:v>1640</x:v>
      </x:c>
      <x:c r="B1657" s="40" t="n">
        <x:v>0.9192609852114666</x:v>
      </x:c>
      <x:c r="C1657" s="40" t="n">
        <x:v>0.2062706595816639</x:v>
      </x:c>
      <x:c r="D1657" s="40" t="n">
        <x:v>0.501624424348023</x:v>
      </x:c>
      <x:c r="E1657" t="n">
        <x:f>--((B1657^2/$B$4^2+C1657^2/$B$5^2+D1657^2/$B$6^2)&lt;=1)</x:f>
        <x:v>1</x:v>
      </x:c>
      <x:c r="F1657" s="42" t="n">
        <x:f>$B$8*SUM($E$18:E1657)/A1657</x:f>
        <x:v>100.6829268292683</x:v>
      </x:c>
      <x:c r="G1657" s="42" t="n">
        <x:f>$B$11</x:f>
        <x:v>100.53096491487338</x:v>
      </x:c>
      <x:c r="I1657" t="n">
        <x:f>A1657</x:f>
        <x:v>1640</x:v>
      </x:c>
      <x:c r="J1657" t="n">
        <x:f>F1657</x:f>
        <x:v>100.6829268292683</x:v>
      </x:c>
      <x:c r="K1657" t="n">
        <x:f>G1657</x:f>
        <x:v>100.53096491487338</x:v>
      </x:c>
    </x:row>
    <x:row r="1658">
      <x:c r="A1658" t="n">
        <x:v>1641</x:v>
      </x:c>
      <x:c r="B1658" s="40" t="n">
        <x:v>1.0182925528725386</x:v>
      </x:c>
      <x:c r="C1658" s="40" t="n">
        <x:v>-1.3405679180585834</x:v>
      </x:c>
      <x:c r="D1658" s="40" t="n">
        <x:v>-0.8684106913052778</x:v>
      </x:c>
      <x:c r="E1658" t="n">
        <x:f>--((B1658^2/$B$4^2+C1658^2/$B$5^2+D1658^2/$B$6^2)&lt;=1)</x:f>
        <x:v>1</x:v>
      </x:c>
      <x:c r="F1658" s="42" t="n">
        <x:f>$B$8*SUM($E$18:E1658)/A1658</x:f>
        <x:v>100.73857404021938</x:v>
      </x:c>
      <x:c r="G1658" s="42" t="n">
        <x:f>$B$11</x:f>
        <x:v>100.53096491487338</x:v>
      </x:c>
      <x:c r="I1658" t="n">
        <x:f>A1658</x:f>
        <x:v>1641</x:v>
      </x:c>
      <x:c r="J1658" t="n">
        <x:f>F1658</x:f>
        <x:v>100.73857404021938</x:v>
      </x:c>
      <x:c r="K1658" t="n">
        <x:f>G1658</x:f>
        <x:v>100.53096491487338</x:v>
      </x:c>
    </x:row>
    <x:row r="1659">
      <x:c r="A1659" t="n">
        <x:v>1642</x:v>
      </x:c>
      <x:c r="B1659" s="40" t="n">
        <x:v>-1.6088480102182277</x:v>
      </x:c>
      <x:c r="C1659" s="40" t="n">
        <x:v>-2.818740310547577</x:v>
      </x:c>
      <x:c r="D1659" s="40" t="n">
        <x:v>2.3757711353237223</x:v>
      </x:c>
      <x:c r="E1659" t="n">
        <x:f>--((B1659^2/$B$4^2+C1659^2/$B$5^2+D1659^2/$B$6^2)&lt;=1)</x:f>
        <x:v>0</x:v>
      </x:c>
      <x:c r="F1659" s="42" t="n">
        <x:f>$B$8*SUM($E$18:E1659)/A1659</x:f>
        <x:v>100.67722289890378</x:v>
      </x:c>
      <x:c r="G1659" s="42" t="n">
        <x:f>$B$11</x:f>
        <x:v>100.53096491487338</x:v>
      </x:c>
      <x:c r="I1659" t="n">
        <x:f>A1659</x:f>
        <x:v>1642</x:v>
      </x:c>
      <x:c r="J1659" t="n">
        <x:f>F1659</x:f>
        <x:v>100.67722289890378</x:v>
      </x:c>
      <x:c r="K1659" t="n">
        <x:f>G1659</x:f>
        <x:v>100.53096491487338</x:v>
      </x:c>
    </x:row>
    <x:row r="1660">
      <x:c r="A1660" t="n">
        <x:v>1643</x:v>
      </x:c>
      <x:c r="B1660" s="40" t="n">
        <x:v>-0.12707437722566395</x:v>
      </x:c>
      <x:c r="C1660" s="40" t="n">
        <x:v>1.895000131959634</x:v>
      </x:c>
      <x:c r="D1660" s="40" t="n">
        <x:v>2.271612641644495</x:v>
      </x:c>
      <x:c r="E1660" t="n">
        <x:f>--((B1660^2/$B$4^2+C1660^2/$B$5^2+D1660^2/$B$6^2)&lt;=1)</x:f>
        <x:v>1</x:v>
      </x:c>
      <x:c r="F1660" s="42" t="n">
        <x:f>$B$8*SUM($E$18:E1660)/A1660</x:f>
        <x:v>100.73280584297018</x:v>
      </x:c>
      <x:c r="G1660" s="42" t="n">
        <x:f>$B$11</x:f>
        <x:v>100.53096491487338</x:v>
      </x:c>
      <x:c r="I1660" t="n">
        <x:f>A1660</x:f>
        <x:v>1643</x:v>
      </x:c>
      <x:c r="J1660" t="n">
        <x:f>F1660</x:f>
        <x:v>100.73280584297018</x:v>
      </x:c>
      <x:c r="K1660" t="n">
        <x:f>G1660</x:f>
        <x:v>100.53096491487338</x:v>
      </x:c>
    </x:row>
    <x:row r="1661">
      <x:c r="A1661" t="n">
        <x:v>1644</x:v>
      </x:c>
      <x:c r="B1661" s="40" t="n">
        <x:v>-1.197750114713784</x:v>
      </x:c>
      <x:c r="C1661" s="40" t="n">
        <x:v>-1.94123915118416</x:v>
      </x:c>
      <x:c r="D1661" s="40" t="n">
        <x:v>-0.9955228603399346</x:v>
      </x:c>
      <x:c r="E1661" t="n">
        <x:f>--((B1661^2/$B$4^2+C1661^2/$B$5^2+D1661^2/$B$6^2)&lt;=1)</x:f>
        <x:v>1</x:v>
      </x:c>
      <x:c r="F1661" s="42" t="n">
        <x:f>$B$8*SUM($E$18:E1661)/A1661</x:f>
        <x:v>100.78832116788321</x:v>
      </x:c>
      <x:c r="G1661" s="42" t="n">
        <x:f>$B$11</x:f>
        <x:v>100.53096491487338</x:v>
      </x:c>
      <x:c r="I1661" t="n">
        <x:f>A1661</x:f>
        <x:v>1644</x:v>
      </x:c>
      <x:c r="J1661" t="n">
        <x:f>F1661</x:f>
        <x:v>100.78832116788321</x:v>
      </x:c>
      <x:c r="K1661" t="n">
        <x:f>G1661</x:f>
        <x:v>100.53096491487338</x:v>
      </x:c>
    </x:row>
    <x:row r="1662">
      <x:c r="A1662" t="n">
        <x:v>1645</x:v>
      </x:c>
      <x:c r="B1662" s="40" t="n">
        <x:v>-1.2584989087900573</x:v>
      </x:c>
      <x:c r="C1662" s="40" t="n">
        <x:v>-2.6891693061607596</x:v>
      </x:c>
      <x:c r="D1662" s="40" t="n">
        <x:v>0.9817121127017145</x:v>
      </x:c>
      <x:c r="E1662" t="n">
        <x:f>--((B1662^2/$B$4^2+C1662^2/$B$5^2+D1662^2/$B$6^2)&lt;=1)</x:f>
        <x:v>0</x:v>
      </x:c>
      <x:c r="F1662" s="42" t="n">
        <x:f>$B$8*SUM($E$18:E1662)/A1662</x:f>
        <x:v>100.72705167173253</x:v>
      </x:c>
      <x:c r="G1662" s="42" t="n">
        <x:f>$B$11</x:f>
        <x:v>100.53096491487338</x:v>
      </x:c>
      <x:c r="I1662" t="n">
        <x:f>A1662</x:f>
        <x:v>1645</x:v>
      </x:c>
      <x:c r="J1662" t="n">
        <x:f>F1662</x:f>
        <x:v>100.72705167173253</x:v>
      </x:c>
      <x:c r="K1662" t="n">
        <x:f>G1662</x:f>
        <x:v>100.53096491487338</x:v>
      </x:c>
    </x:row>
    <x:row r="1663">
      <x:c r="A1663" t="n">
        <x:v>1646</x:v>
      </x:c>
      <x:c r="B1663" s="40" t="n">
        <x:v>-0.1446875581484952</x:v>
      </x:c>
      <x:c r="C1663" s="40" t="n">
        <x:v>1.5352663849552854</x:v>
      </x:c>
      <x:c r="D1663" s="40" t="n">
        <x:v>-2.179609049444095</x:v>
      </x:c>
      <x:c r="E1663" t="n">
        <x:f>--((B1663^2/$B$4^2+C1663^2/$B$5^2+D1663^2/$B$6^2)&lt;=1)</x:f>
        <x:v>1</x:v>
      </x:c>
      <x:c r="F1663" s="42" t="n">
        <x:f>$B$8*SUM($E$18:E1663)/A1663</x:f>
        <x:v>100.78250303766707</x:v>
      </x:c>
      <x:c r="G1663" s="42" t="n">
        <x:f>$B$11</x:f>
        <x:v>100.53096491487338</x:v>
      </x:c>
      <x:c r="I1663" t="n">
        <x:f>A1663</x:f>
        <x:v>1646</x:v>
      </x:c>
      <x:c r="J1663" t="n">
        <x:f>F1663</x:f>
        <x:v>100.78250303766707</x:v>
      </x:c>
      <x:c r="K1663" t="n">
        <x:f>G1663</x:f>
        <x:v>100.53096491487338</x:v>
      </x:c>
    </x:row>
    <x:row r="1664">
      <x:c r="A1664" t="n">
        <x:v>1647</x:v>
      </x:c>
      <x:c r="B1664" s="40" t="n">
        <x:v>-0.8422811699677402</x:v>
      </x:c>
      <x:c r="C1664" s="40" t="n">
        <x:v>-0.8997406657621272</x:v>
      </x:c>
      <x:c r="D1664" s="40" t="n">
        <x:v>0.6432546894433617</x:v>
      </x:c>
      <x:c r="E1664" t="n">
        <x:f>--((B1664^2/$B$4^2+C1664^2/$B$5^2+D1664^2/$B$6^2)&lt;=1)</x:f>
        <x:v>1</x:v>
      </x:c>
      <x:c r="F1664" s="42" t="n">
        <x:f>$B$8*SUM($E$18:E1664)/A1664</x:f>
        <x:v>100.83788706739526</x:v>
      </x:c>
      <x:c r="G1664" s="42" t="n">
        <x:f>$B$11</x:f>
        <x:v>100.53096491487338</x:v>
      </x:c>
      <x:c r="I1664" t="n">
        <x:f>A1664</x:f>
        <x:v>1647</x:v>
      </x:c>
      <x:c r="J1664" t="n">
        <x:f>F1664</x:f>
        <x:v>100.83788706739526</x:v>
      </x:c>
      <x:c r="K1664" t="n">
        <x:f>G1664</x:f>
        <x:v>100.53096491487338</x:v>
      </x:c>
    </x:row>
    <x:row r="1665">
      <x:c r="A1665" t="n">
        <x:v>1648</x:v>
      </x:c>
      <x:c r="B1665" s="40" t="n">
        <x:v>1.1842417905034837</x:v>
      </x:c>
      <x:c r="C1665" s="40" t="n">
        <x:v>-0.6639959664501003</x:v>
      </x:c>
      <x:c r="D1665" s="40" t="n">
        <x:v>-3.3498824484198204</x:v>
      </x:c>
      <x:c r="E1665" t="n">
        <x:f>--((B1665^2/$B$4^2+C1665^2/$B$5^2+D1665^2/$B$6^2)&lt;=1)</x:f>
        <x:v>0</x:v>
      </x:c>
      <x:c r="F1665" s="42" t="n">
        <x:f>$B$8*SUM($E$18:E1665)/A1665</x:f>
        <x:v>100.77669902912622</x:v>
      </x:c>
      <x:c r="G1665" s="42" t="n">
        <x:f>$B$11</x:f>
        <x:v>100.53096491487338</x:v>
      </x:c>
      <x:c r="I1665" t="n">
        <x:f>A1665</x:f>
        <x:v>1648</x:v>
      </x:c>
      <x:c r="J1665" t="n">
        <x:f>F1665</x:f>
        <x:v>100.77669902912622</x:v>
      </x:c>
      <x:c r="K1665" t="n">
        <x:f>G1665</x:f>
        <x:v>100.53096491487338</x:v>
      </x:c>
    </x:row>
    <x:row r="1666">
      <x:c r="A1666" t="n">
        <x:v>1649</x:v>
      </x:c>
      <x:c r="B1666" s="40" t="n">
        <x:v>1.6304195655619296</x:v>
      </x:c>
      <x:c r="C1666" s="40" t="n">
        <x:v>-1.5175944763156861</x:v>
      </x:c>
      <x:c r="D1666" s="40" t="n">
        <x:v>-0.5231657270511194</x:v>
      </x:c>
      <x:c r="E1666" t="n">
        <x:f>--((B1666^2/$B$4^2+C1666^2/$B$5^2+D1666^2/$B$6^2)&lt;=1)</x:f>
        <x:v>1</x:v>
      </x:c>
      <x:c r="F1666" s="42" t="n">
        <x:f>$B$8*SUM($E$18:E1666)/A1666</x:f>
        <x:v>100.83201940570042</x:v>
      </x:c>
      <x:c r="G1666" s="42" t="n">
        <x:f>$B$11</x:f>
        <x:v>100.53096491487338</x:v>
      </x:c>
      <x:c r="I1666" t="n">
        <x:f>A1666</x:f>
        <x:v>1649</x:v>
      </x:c>
      <x:c r="J1666" t="n">
        <x:f>F1666</x:f>
        <x:v>100.83201940570042</x:v>
      </x:c>
      <x:c r="K1666" t="n">
        <x:f>G1666</x:f>
        <x:v>100.53096491487338</x:v>
      </x:c>
    </x:row>
    <x:row r="1667">
      <x:c r="A1667" t="n">
        <x:v>1650</x:v>
      </x:c>
      <x:c r="B1667" s="40" t="n">
        <x:v>1.2108824211534626</x:v>
      </x:c>
      <x:c r="C1667" s="40" t="n">
        <x:v>2.1550708721813825</x:v>
      </x:c>
      <x:c r="D1667" s="40" t="n">
        <x:v>-2.538178547695127</x:v>
      </x:c>
      <x:c r="E1667" t="n">
        <x:f>--((B1667^2/$B$4^2+C1667^2/$B$5^2+D1667^2/$B$6^2)&lt;=1)</x:f>
        <x:v>0</x:v>
      </x:c>
      <x:c r="F1667" s="42" t="n">
        <x:f>$B$8*SUM($E$18:E1667)/A1667</x:f>
        <x:v>100.77090909090909</x:v>
      </x:c>
      <x:c r="G1667" s="42" t="n">
        <x:f>$B$11</x:f>
        <x:v>100.53096491487338</x:v>
      </x:c>
      <x:c r="I1667" t="n">
        <x:f>A1667</x:f>
        <x:v>1650</x:v>
      </x:c>
      <x:c r="J1667" t="n">
        <x:f>F1667</x:f>
        <x:v>100.77090909090909</x:v>
      </x:c>
      <x:c r="K1667" t="n">
        <x:f>G1667</x:f>
        <x:v>100.53096491487338</x:v>
      </x:c>
    </x:row>
    <x:row r="1668">
      <x:c r="A1668" t="n">
        <x:v>1651</x:v>
      </x:c>
      <x:c r="B1668" s="40" t="n">
        <x:v>-0.935876509513339</x:v>
      </x:c>
      <x:c r="C1668" s="40" t="n">
        <x:v>-1.2160228433608076</x:v>
      </x:c>
      <x:c r="D1668" s="40" t="n">
        <x:v>3.0670494567321818</x:v>
      </x:c>
      <x:c r="E1668" t="n">
        <x:f>--((B1668^2/$B$4^2+C1668^2/$B$5^2+D1668^2/$B$6^2)&lt;=1)</x:f>
        <x:v>1</x:v>
      </x:c>
      <x:c r="F1668" s="42" t="n">
        <x:f>$B$8*SUM($E$18:E1668)/A1668</x:f>
        <x:v>100.82616596002423</x:v>
      </x:c>
      <x:c r="G1668" s="42" t="n">
        <x:f>$B$11</x:f>
        <x:v>100.53096491487338</x:v>
      </x:c>
      <x:c r="I1668" t="n">
        <x:f>A1668</x:f>
        <x:v>1651</x:v>
      </x:c>
      <x:c r="J1668" t="n">
        <x:f>F1668</x:f>
        <x:v>100.82616596002423</x:v>
      </x:c>
      <x:c r="K1668" t="n">
        <x:f>G1668</x:f>
        <x:v>100.53096491487338</x:v>
      </x:c>
    </x:row>
    <x:row r="1669">
      <x:c r="A1669" t="n">
        <x:v>1652</x:v>
      </x:c>
      <x:c r="B1669" s="40" t="n">
        <x:v>-0.9034624252455665</x:v>
      </x:c>
      <x:c r="C1669" s="40" t="n">
        <x:v>-1.738844581493857</x:v>
      </x:c>
      <x:c r="D1669" s="40" t="n">
        <x:v>-0.4407934562653457</x:v>
      </x:c>
      <x:c r="E1669" t="n">
        <x:f>--((B1669^2/$B$4^2+C1669^2/$B$5^2+D1669^2/$B$6^2)&lt;=1)</x:f>
        <x:v>1</x:v>
      </x:c>
      <x:c r="F1669" s="42" t="n">
        <x:f>$B$8*SUM($E$18:E1669)/A1669</x:f>
        <x:v>100.88135593220339</x:v>
      </x:c>
      <x:c r="G1669" s="42" t="n">
        <x:f>$B$11</x:f>
        <x:v>100.53096491487338</x:v>
      </x:c>
      <x:c r="I1669" t="n">
        <x:f>A1669</x:f>
        <x:v>1652</x:v>
      </x:c>
      <x:c r="J1669" t="n">
        <x:f>F1669</x:f>
        <x:v>100.88135593220339</x:v>
      </x:c>
      <x:c r="K1669" t="n">
        <x:f>G1669</x:f>
        <x:v>100.53096491487338</x:v>
      </x:c>
    </x:row>
    <x:row r="1670">
      <x:c r="A1670" t="n">
        <x:v>1653</x:v>
      </x:c>
      <x:c r="B1670" s="40" t="n">
        <x:v>-0.9810865995301303</x:v>
      </x:c>
      <x:c r="C1670" s="40" t="n">
        <x:v>-1.1445016419830634</x:v>
      </x:c>
      <x:c r="D1670" s="40" t="n">
        <x:v>0.7261899891002788</x:v>
      </x:c>
      <x:c r="E1670" t="n">
        <x:f>--((B1670^2/$B$4^2+C1670^2/$B$5^2+D1670^2/$B$6^2)&lt;=1)</x:f>
        <x:v>1</x:v>
      </x:c>
      <x:c r="F1670" s="42" t="n">
        <x:f>$B$8*SUM($E$18:E1670)/A1670</x:f>
        <x:v>100.93647912885662</x:v>
      </x:c>
      <x:c r="G1670" s="42" t="n">
        <x:f>$B$11</x:f>
        <x:v>100.53096491487338</x:v>
      </x:c>
      <x:c r="I1670" t="n">
        <x:f>A1670</x:f>
        <x:v>1653</x:v>
      </x:c>
      <x:c r="J1670" t="n">
        <x:f>F1670</x:f>
        <x:v>100.93647912885662</x:v>
      </x:c>
      <x:c r="K1670" t="n">
        <x:f>G1670</x:f>
        <x:v>100.53096491487338</x:v>
      </x:c>
    </x:row>
    <x:row r="1671">
      <x:c r="A1671" t="n">
        <x:v>1654</x:v>
      </x:c>
      <x:c r="B1671" s="40" t="n">
        <x:v>-1.4598476157750557</x:v>
      </x:c>
      <x:c r="C1671" s="40" t="n">
        <x:v>-1.7811025489956183</x:v>
      </x:c>
      <x:c r="D1671" s="40" t="n">
        <x:v>-1.1169451173599168</x:v>
      </x:c>
      <x:c r="E1671" t="n">
        <x:f>--((B1671^2/$B$4^2+C1671^2/$B$5^2+D1671^2/$B$6^2)&lt;=1)</x:f>
        <x:v>1</x:v>
      </x:c>
      <x:c r="F1671" s="42" t="n">
        <x:f>$B$8*SUM($E$18:E1671)/A1671</x:f>
        <x:v>100.99153567110037</x:v>
      </x:c>
      <x:c r="G1671" s="42" t="n">
        <x:f>$B$11</x:f>
        <x:v>100.53096491487338</x:v>
      </x:c>
      <x:c r="I1671" t="n">
        <x:f>A1671</x:f>
        <x:v>1654</x:v>
      </x:c>
      <x:c r="J1671" t="n">
        <x:f>F1671</x:f>
        <x:v>100.99153567110037</x:v>
      </x:c>
      <x:c r="K1671" t="n">
        <x:f>G1671</x:f>
        <x:v>100.53096491487338</x:v>
      </x:c>
    </x:row>
    <x:row r="1672">
      <x:c r="A1672" t="n">
        <x:v>1655</x:v>
      </x:c>
      <x:c r="B1672" s="40" t="n">
        <x:v>1.7751934724148448</x:v>
      </x:c>
      <x:c r="C1672" s="40" t="n">
        <x:v>-1.0940686751687552</x:v>
      </x:c>
      <x:c r="D1672" s="40" t="n">
        <x:v>-1.690071718081577</x:v>
      </x:c>
      <x:c r="E1672" t="n">
        <x:f>--((B1672^2/$B$4^2+C1672^2/$B$5^2+D1672^2/$B$6^2)&lt;=1)</x:f>
        <x:v>0</x:v>
      </x:c>
      <x:c r="F1672" s="42" t="n">
        <x:f>$B$8*SUM($E$18:E1672)/A1672</x:f>
        <x:v>100.93051359516616</x:v>
      </x:c>
      <x:c r="G1672" s="42" t="n">
        <x:f>$B$11</x:f>
        <x:v>100.53096491487338</x:v>
      </x:c>
      <x:c r="I1672" t="n">
        <x:f>A1672</x:f>
        <x:v>1655</x:v>
      </x:c>
      <x:c r="J1672" t="n">
        <x:f>F1672</x:f>
        <x:v>100.93051359516616</x:v>
      </x:c>
      <x:c r="K1672" t="n">
        <x:f>G1672</x:f>
        <x:v>100.53096491487338</x:v>
      </x:c>
    </x:row>
    <x:row r="1673">
      <x:c r="A1673" t="n">
        <x:v>1656</x:v>
      </x:c>
      <x:c r="B1673" s="40" t="n">
        <x:v>-0.3918088073717225</x:v>
      </x:c>
      <x:c r="C1673" s="40" t="n">
        <x:v>-2.5023826627909616</x:v>
      </x:c>
      <x:c r="D1673" s="40" t="n">
        <x:v>-2.3766417355077314</x:v>
      </x:c>
      <x:c r="E1673" t="n">
        <x:f>--((B1673^2/$B$4^2+C1673^2/$B$5^2+D1673^2/$B$6^2)&lt;=1)</x:f>
        <x:v>0</x:v>
      </x:c>
      <x:c r="F1673" s="42" t="n">
        <x:f>$B$8*SUM($E$18:E1673)/A1673</x:f>
        <x:v>100.8695652173913</x:v>
      </x:c>
      <x:c r="G1673" s="42" t="n">
        <x:f>$B$11</x:f>
        <x:v>100.53096491487338</x:v>
      </x:c>
      <x:c r="I1673" t="n">
        <x:f>A1673</x:f>
        <x:v>1656</x:v>
      </x:c>
      <x:c r="J1673" t="n">
        <x:f>F1673</x:f>
        <x:v>100.8695652173913</x:v>
      </x:c>
      <x:c r="K1673" t="n">
        <x:f>G1673</x:f>
        <x:v>100.53096491487338</x:v>
      </x:c>
    </x:row>
    <x:row r="1674">
      <x:c r="A1674" t="n">
        <x:v>1657</x:v>
      </x:c>
      <x:c r="B1674" s="40" t="n">
        <x:v>-1.101242101816505</x:v>
      </x:c>
      <x:c r="C1674" s="40" t="n">
        <x:v>-2.0488198252832497</x:v>
      </x:c>
      <x:c r="D1674" s="40" t="n">
        <x:v>3.294972661336157</x:v>
      </x:c>
      <x:c r="E1674" t="n">
        <x:f>--((B1674^2/$B$4^2+C1674^2/$B$5^2+D1674^2/$B$6^2)&lt;=1)</x:f>
        <x:v>0</x:v>
      </x:c>
      <x:c r="F1674" s="42" t="n">
        <x:f>$B$8*SUM($E$18:E1674)/A1674</x:f>
        <x:v>100.8086904043452</x:v>
      </x:c>
      <x:c r="G1674" s="42" t="n">
        <x:f>$B$11</x:f>
        <x:v>100.53096491487338</x:v>
      </x:c>
      <x:c r="I1674" t="n">
        <x:f>A1674</x:f>
        <x:v>1657</x:v>
      </x:c>
      <x:c r="J1674" t="n">
        <x:f>F1674</x:f>
        <x:v>100.8086904043452</x:v>
      </x:c>
      <x:c r="K1674" t="n">
        <x:f>G1674</x:f>
        <x:v>100.53096491487338</x:v>
      </x:c>
    </x:row>
    <x:row r="1675">
      <x:c r="A1675" t="n">
        <x:v>1658</x:v>
      </x:c>
      <x:c r="B1675" s="40" t="n">
        <x:v>1.3866842020329742</x:v>
      </x:c>
      <x:c r="C1675" s="40" t="n">
        <x:v>-0.4976826996231125</x:v>
      </x:c>
      <x:c r="D1675" s="40" t="n">
        <x:v>2.3957262594156212</x:v>
      </x:c>
      <x:c r="E1675" t="n">
        <x:f>--((B1675^2/$B$4^2+C1675^2/$B$5^2+D1675^2/$B$6^2)&lt;=1)</x:f>
        <x:v>1</x:v>
      </x:c>
      <x:c r="F1675" s="42" t="n">
        <x:f>$B$8*SUM($E$18:E1675)/A1675</x:f>
        <x:v>100.86369119420989</x:v>
      </x:c>
      <x:c r="G1675" s="42" t="n">
        <x:f>$B$11</x:f>
        <x:v>100.53096491487338</x:v>
      </x:c>
      <x:c r="I1675" t="n">
        <x:f>A1675</x:f>
        <x:v>1658</x:v>
      </x:c>
      <x:c r="J1675" t="n">
        <x:f>F1675</x:f>
        <x:v>100.86369119420989</x:v>
      </x:c>
      <x:c r="K1675" t="n">
        <x:f>G1675</x:f>
        <x:v>100.53096491487338</x:v>
      </x:c>
    </x:row>
    <x:row r="1676">
      <x:c r="A1676" t="n">
        <x:v>1659</x:v>
      </x:c>
      <x:c r="B1676" s="40" t="n">
        <x:v>-0.40321878936883815</x:v>
      </x:c>
      <x:c r="C1676" s="40" t="n">
        <x:v>2.2768011335392586</x:v>
      </x:c>
      <x:c r="D1676" s="40" t="n">
        <x:v>-2.933910844551753</x:v>
      </x:c>
      <x:c r="E1676" t="n">
        <x:f>--((B1676^2/$B$4^2+C1676^2/$B$5^2+D1676^2/$B$6^2)&lt;=1)</x:f>
        <x:v>0</x:v>
      </x:c>
      <x:c r="F1676" s="42" t="n">
        <x:f>$B$8*SUM($E$18:E1676)/A1676</x:f>
        <x:v>100.80289330922243</x:v>
      </x:c>
      <x:c r="G1676" s="42" t="n">
        <x:f>$B$11</x:f>
        <x:v>100.53096491487338</x:v>
      </x:c>
      <x:c r="I1676" t="n">
        <x:f>A1676</x:f>
        <x:v>1659</x:v>
      </x:c>
      <x:c r="J1676" t="n">
        <x:f>F1676</x:f>
        <x:v>100.80289330922243</x:v>
      </x:c>
      <x:c r="K1676" t="n">
        <x:f>G1676</x:f>
        <x:v>100.53096491487338</x:v>
      </x:c>
    </x:row>
    <x:row r="1677">
      <x:c r="A1677" t="n">
        <x:v>1660</x:v>
      </x:c>
      <x:c r="B1677" s="40" t="n">
        <x:v>-1.8595327555613337</x:v>
      </x:c>
      <x:c r="C1677" s="40" t="n">
        <x:v>-2.656255519666285</x:v>
      </x:c>
      <x:c r="D1677" s="40" t="n">
        <x:v>1.9737990103343863</x:v>
      </x:c>
      <x:c r="E1677" t="n">
        <x:f>--((B1677^2/$B$4^2+C1677^2/$B$5^2+D1677^2/$B$6^2)&lt;=1)</x:f>
        <x:v>0</x:v>
      </x:c>
      <x:c r="F1677" s="42" t="n">
        <x:f>$B$8*SUM($E$18:E1677)/A1677</x:f>
        <x:v>100.74216867469879</x:v>
      </x:c>
      <x:c r="G1677" s="42" t="n">
        <x:f>$B$11</x:f>
        <x:v>100.53096491487338</x:v>
      </x:c>
      <x:c r="I1677" t="n">
        <x:f>A1677</x:f>
        <x:v>1660</x:v>
      </x:c>
      <x:c r="J1677" t="n">
        <x:f>F1677</x:f>
        <x:v>100.74216867469879</x:v>
      </x:c>
      <x:c r="K1677" t="n">
        <x:f>G1677</x:f>
        <x:v>100.53096491487338</x:v>
      </x:c>
    </x:row>
    <x:row r="1678">
      <x:c r="A1678" t="n">
        <x:v>1661</x:v>
      </x:c>
      <x:c r="B1678" s="40" t="n">
        <x:v>-1.3522337190014753</x:v>
      </x:c>
      <x:c r="C1678" s="40" t="n">
        <x:v>-1.7239517594398162</x:v>
      </x:c>
      <x:c r="D1678" s="40" t="n">
        <x:v>-0.6517537837067744</x:v>
      </x:c>
      <x:c r="E1678" t="n">
        <x:f>--((B1678^2/$B$4^2+C1678^2/$B$5^2+D1678^2/$B$6^2)&lt;=1)</x:f>
        <x:v>1</x:v>
      </x:c>
      <x:c r="F1678" s="42" t="n">
        <x:f>$B$8*SUM($E$18:E1678)/A1678</x:f>
        <x:v>100.79711017459361</x:v>
      </x:c>
      <x:c r="G1678" s="42" t="n">
        <x:f>$B$11</x:f>
        <x:v>100.53096491487338</x:v>
      </x:c>
      <x:c r="I1678" t="n">
        <x:f>A1678</x:f>
        <x:v>1661</x:v>
      </x:c>
      <x:c r="J1678" t="n">
        <x:f>F1678</x:f>
        <x:v>100.79711017459361</x:v>
      </x:c>
      <x:c r="K1678" t="n">
        <x:f>G1678</x:f>
        <x:v>100.53096491487338</x:v>
      </x:c>
    </x:row>
    <x:row r="1679">
      <x:c r="A1679" t="n">
        <x:v>1662</x:v>
      </x:c>
      <x:c r="B1679" s="40" t="n">
        <x:v>0.55700136142468</x:v>
      </x:c>
      <x:c r="C1679" s="40" t="n">
        <x:v>2.450074053249578</x:v>
      </x:c>
      <x:c r="D1679" s="40" t="n">
        <x:v>-3.876826760315441</x:v>
      </x:c>
      <x:c r="E1679" t="n">
        <x:f>--((B1679^2/$B$4^2+C1679^2/$B$5^2+D1679^2/$B$6^2)&lt;=1)</x:f>
        <x:v>0</x:v>
      </x:c>
      <x:c r="F1679" s="42" t="n">
        <x:f>$B$8*SUM($E$18:E1679)/A1679</x:f>
        <x:v>100.73646209386281</x:v>
      </x:c>
      <x:c r="G1679" s="42" t="n">
        <x:f>$B$11</x:f>
        <x:v>100.53096491487338</x:v>
      </x:c>
      <x:c r="I1679" t="n">
        <x:f>A1679</x:f>
        <x:v>1662</x:v>
      </x:c>
      <x:c r="J1679" t="n">
        <x:f>F1679</x:f>
        <x:v>100.73646209386281</x:v>
      </x:c>
      <x:c r="K1679" t="n">
        <x:f>G1679</x:f>
        <x:v>100.53096491487338</x:v>
      </x:c>
    </x:row>
    <x:row r="1680">
      <x:c r="A1680" t="n">
        <x:v>1663</x:v>
      </x:c>
      <x:c r="B1680" s="40" t="n">
        <x:v>1.1316210966868958</x:v>
      </x:c>
      <x:c r="C1680" s="40" t="n">
        <x:v>2.34008804495953</x:v>
      </x:c>
      <x:c r="D1680" s="40" t="n">
        <x:v>0.22693856300977622</x:v>
      </x:c>
      <x:c r="E1680" t="n">
        <x:f>--((B1680^2/$B$4^2+C1680^2/$B$5^2+D1680^2/$B$6^2)&lt;=1)</x:f>
        <x:v>1</x:v>
      </x:c>
      <x:c r="F1680" s="42" t="n">
        <x:f>$B$8*SUM($E$18:E1680)/A1680</x:f>
        <x:v>100.7913409500902</x:v>
      </x:c>
      <x:c r="G1680" s="42" t="n">
        <x:f>$B$11</x:f>
        <x:v>100.53096491487338</x:v>
      </x:c>
      <x:c r="I1680" t="n">
        <x:f>A1680</x:f>
        <x:v>1663</x:v>
      </x:c>
      <x:c r="J1680" t="n">
        <x:f>F1680</x:f>
        <x:v>100.7913409500902</x:v>
      </x:c>
      <x:c r="K1680" t="n">
        <x:f>G1680</x:f>
        <x:v>100.53096491487338</x:v>
      </x:c>
    </x:row>
    <x:row r="1681">
      <x:c r="A1681" t="n">
        <x:v>1664</x:v>
      </x:c>
      <x:c r="B1681" s="40" t="n">
        <x:v>-1.1562624460451483</x:v>
      </x:c>
      <x:c r="C1681" s="40" t="n">
        <x:v>1.0767049997756475</x:v>
      </x:c>
      <x:c r="D1681" s="40" t="n">
        <x:v>-2.959628479321071</x:v>
      </x:c>
      <x:c r="E1681" t="n">
        <x:f>--((B1681^2/$B$4^2+C1681^2/$B$5^2+D1681^2/$B$6^2)&lt;=1)</x:f>
        <x:v>0</x:v>
      </x:c>
      <x:c r="F1681" s="42" t="n">
        <x:f>$B$8*SUM($E$18:E1681)/A1681</x:f>
        <x:v>100.73076923076923</x:v>
      </x:c>
      <x:c r="G1681" s="42" t="n">
        <x:f>$B$11</x:f>
        <x:v>100.53096491487338</x:v>
      </x:c>
      <x:c r="I1681" t="n">
        <x:f>A1681</x:f>
        <x:v>1664</x:v>
      </x:c>
      <x:c r="J1681" t="n">
        <x:f>F1681</x:f>
        <x:v>100.73076923076923</x:v>
      </x:c>
      <x:c r="K1681" t="n">
        <x:f>G1681</x:f>
        <x:v>100.53096491487338</x:v>
      </x:c>
    </x:row>
    <x:row r="1682">
      <x:c r="A1682" t="n">
        <x:v>1665</x:v>
      </x:c>
      <x:c r="B1682" s="40" t="n">
        <x:v>1.6695823570645687</x:v>
      </x:c>
      <x:c r="C1682" s="40" t="n">
        <x:v>-1.5571586754285722</x:v>
      </x:c>
      <x:c r="D1682" s="40" t="n">
        <x:v>-2.3205254952512426</x:v>
      </x:c>
      <x:c r="E1682" t="n">
        <x:f>--((B1682^2/$B$4^2+C1682^2/$B$5^2+D1682^2/$B$6^2)&lt;=1)</x:f>
        <x:v>0</x:v>
      </x:c>
      <x:c r="F1682" s="42" t="n">
        <x:f>$B$8*SUM($E$18:E1682)/A1682</x:f>
        <x:v>100.67027027027027</x:v>
      </x:c>
      <x:c r="G1682" s="42" t="n">
        <x:f>$B$11</x:f>
        <x:v>100.53096491487338</x:v>
      </x:c>
      <x:c r="I1682" t="n">
        <x:f>A1682</x:f>
        <x:v>1665</x:v>
      </x:c>
      <x:c r="J1682" t="n">
        <x:f>F1682</x:f>
        <x:v>100.67027027027027</x:v>
      </x:c>
      <x:c r="K1682" t="n">
        <x:f>G1682</x:f>
        <x:v>100.53096491487338</x:v>
      </x:c>
    </x:row>
    <x:row r="1683">
      <x:c r="A1683" t="n">
        <x:v>1666</x:v>
      </x:c>
      <x:c r="B1683" s="40" t="n">
        <x:v>1.4039884802086577</x:v>
      </x:c>
      <x:c r="C1683" s="40" t="n">
        <x:v>-0.4811366336652858</x:v>
      </x:c>
      <x:c r="D1683" s="40" t="n">
        <x:v>1.568327691392744</x:v>
      </x:c>
      <x:c r="E1683" t="n">
        <x:f>--((B1683^2/$B$4^2+C1683^2/$B$5^2+D1683^2/$B$6^2)&lt;=1)</x:f>
        <x:v>1</x:v>
      </x:c>
      <x:c r="F1683" s="42" t="n">
        <x:f>$B$8*SUM($E$18:E1683)/A1683</x:f>
        <x:v>100.72509003601441</x:v>
      </x:c>
      <x:c r="G1683" s="42" t="n">
        <x:f>$B$11</x:f>
        <x:v>100.53096491487338</x:v>
      </x:c>
      <x:c r="I1683" t="n">
        <x:f>A1683</x:f>
        <x:v>1666</x:v>
      </x:c>
      <x:c r="J1683" t="n">
        <x:f>F1683</x:f>
        <x:v>100.72509003601441</x:v>
      </x:c>
      <x:c r="K1683" t="n">
        <x:f>G1683</x:f>
        <x:v>100.53096491487338</x:v>
      </x:c>
    </x:row>
    <x:row r="1684">
      <x:c r="A1684" t="n">
        <x:v>1667</x:v>
      </x:c>
      <x:c r="B1684" s="40" t="n">
        <x:v>1.3935230162443237</x:v>
      </x:c>
      <x:c r="C1684" s="40" t="n">
        <x:v>-1.7326740333722097</x:v>
      </x:c>
      <x:c r="D1684" s="40" t="n">
        <x:v>-1.9428637028704312</x:v>
      </x:c>
      <x:c r="E1684" t="n">
        <x:f>--((B1684^2/$B$4^2+C1684^2/$B$5^2+D1684^2/$B$6^2)&lt;=1)</x:f>
        <x:v>0</x:v>
      </x:c>
      <x:c r="F1684" s="42" t="n">
        <x:f>$B$8*SUM($E$18:E1684)/A1684</x:f>
        <x:v>100.66466706658669</x:v>
      </x:c>
      <x:c r="G1684" s="42" t="n">
        <x:f>$B$11</x:f>
        <x:v>100.53096491487338</x:v>
      </x:c>
      <x:c r="I1684" t="n">
        <x:f>A1684</x:f>
        <x:v>1667</x:v>
      </x:c>
      <x:c r="J1684" t="n">
        <x:f>F1684</x:f>
        <x:v>100.66466706658669</x:v>
      </x:c>
      <x:c r="K1684" t="n">
        <x:f>G1684</x:f>
        <x:v>100.53096491487338</x:v>
      </x:c>
    </x:row>
    <x:row r="1685">
      <x:c r="A1685" t="n">
        <x:v>1668</x:v>
      </x:c>
      <x:c r="B1685" s="40" t="n">
        <x:v>-1.0893554128031435</x:v>
      </x:c>
      <x:c r="C1685" s="40" t="n">
        <x:v>-2.2284689452487805</x:v>
      </x:c>
      <x:c r="D1685" s="40" t="n">
        <x:v>3.135105614734533</x:v>
      </x:c>
      <x:c r="E1685" t="n">
        <x:f>--((B1685^2/$B$4^2+C1685^2/$B$5^2+D1685^2/$B$6^2)&lt;=1)</x:f>
        <x:v>0</x:v>
      </x:c>
      <x:c r="F1685" s="42" t="n">
        <x:f>$B$8*SUM($E$18:E1685)/A1685</x:f>
        <x:v>100.60431654676259</x:v>
      </x:c>
      <x:c r="G1685" s="42" t="n">
        <x:f>$B$11</x:f>
        <x:v>100.53096491487338</x:v>
      </x:c>
      <x:c r="I1685" t="n">
        <x:f>A1685</x:f>
        <x:v>1668</x:v>
      </x:c>
      <x:c r="J1685" t="n">
        <x:f>F1685</x:f>
        <x:v>100.60431654676259</x:v>
      </x:c>
      <x:c r="K1685" t="n">
        <x:f>G1685</x:f>
        <x:v>100.53096491487338</x:v>
      </x:c>
    </x:row>
    <x:row r="1686">
      <x:c r="A1686" t="n">
        <x:v>1669</x:v>
      </x:c>
      <x:c r="B1686" s="40" t="n">
        <x:v>-1.7978560453997692</x:v>
      </x:c>
      <x:c r="C1686" s="40" t="n">
        <x:v>-0.7200096329166508</x:v>
      </x:c>
      <x:c r="D1686" s="40" t="n">
        <x:v>1.2573580673933593</x:v>
      </x:c>
      <x:c r="E1686" t="n">
        <x:f>--((B1686^2/$B$4^2+C1686^2/$B$5^2+D1686^2/$B$6^2)&lt;=1)</x:f>
        <x:v>1</x:v>
      </x:c>
      <x:c r="F1686" s="42" t="n">
        <x:f>$B$8*SUM($E$18:E1686)/A1686</x:f>
        <x:v>100.65907729179149</x:v>
      </x:c>
      <x:c r="G1686" s="42" t="n">
        <x:f>$B$11</x:f>
        <x:v>100.53096491487338</x:v>
      </x:c>
      <x:c r="I1686" t="n">
        <x:f>A1686</x:f>
        <x:v>1669</x:v>
      </x:c>
      <x:c r="J1686" t="n">
        <x:f>F1686</x:f>
        <x:v>100.65907729179149</x:v>
      </x:c>
      <x:c r="K1686" t="n">
        <x:f>G1686</x:f>
        <x:v>100.53096491487338</x:v>
      </x:c>
    </x:row>
    <x:row r="1687">
      <x:c r="A1687" t="n">
        <x:v>1670</x:v>
      </x:c>
      <x:c r="B1687" s="40" t="n">
        <x:v>1.4696941579303346</x:v>
      </x:c>
      <x:c r="C1687" s="40" t="n">
        <x:v>0.4549296304221011</x:v>
      </x:c>
      <x:c r="D1687" s="40" t="n">
        <x:v>2.6582678792864725</x:v>
      </x:c>
      <x:c r="E1687" t="n">
        <x:f>--((B1687^2/$B$4^2+C1687^2/$B$5^2+D1687^2/$B$6^2)&lt;=1)</x:f>
        <x:v>0</x:v>
      </x:c>
      <x:c r="F1687" s="42" t="n">
        <x:f>$B$8*SUM($E$18:E1687)/A1687</x:f>
        <x:v>100.59880239520957</x:v>
      </x:c>
      <x:c r="G1687" s="42" t="n">
        <x:f>$B$11</x:f>
        <x:v>100.53096491487338</x:v>
      </x:c>
      <x:c r="I1687" t="n">
        <x:f>A1687</x:f>
        <x:v>1670</x:v>
      </x:c>
      <x:c r="J1687" t="n">
        <x:f>F1687</x:f>
        <x:v>100.59880239520957</x:v>
      </x:c>
      <x:c r="K1687" t="n">
        <x:f>G1687</x:f>
        <x:v>100.53096491487338</x:v>
      </x:c>
    </x:row>
    <x:row r="1688">
      <x:c r="A1688" t="n">
        <x:v>1671</x:v>
      </x:c>
      <x:c r="B1688" s="40" t="n">
        <x:v>-0.7767990850457305</x:v>
      </x:c>
      <x:c r="C1688" s="40" t="n">
        <x:v>-0.8404039472111684</x:v>
      </x:c>
      <x:c r="D1688" s="40" t="n">
        <x:v>0.9215163066414727</x:v>
      </x:c>
      <x:c r="E1688" t="n">
        <x:f>--((B1688^2/$B$4^2+C1688^2/$B$5^2+D1688^2/$B$6^2)&lt;=1)</x:f>
        <x:v>1</x:v>
      </x:c>
      <x:c r="F1688" s="42" t="n">
        <x:f>$B$8*SUM($E$18:E1688)/A1688</x:f>
        <x:v>100.65350089766606</x:v>
      </x:c>
      <x:c r="G1688" s="42" t="n">
        <x:f>$B$11</x:f>
        <x:v>100.53096491487338</x:v>
      </x:c>
      <x:c r="I1688" t="n">
        <x:f>A1688</x:f>
        <x:v>1671</x:v>
      </x:c>
      <x:c r="J1688" t="n">
        <x:f>F1688</x:f>
        <x:v>100.65350089766606</x:v>
      </x:c>
      <x:c r="K1688" t="n">
        <x:f>G1688</x:f>
        <x:v>100.53096491487338</x:v>
      </x:c>
    </x:row>
    <x:row r="1689">
      <x:c r="A1689" t="n">
        <x:v>1672</x:v>
      </x:c>
      <x:c r="B1689" s="40" t="n">
        <x:v>0.4756655246941035</x:v>
      </x:c>
      <x:c r="C1689" s="40" t="n">
        <x:v>0.6649473027958184</x:v>
      </x:c>
      <x:c r="D1689" s="40" t="n">
        <x:v>2.950796728176127</x:v>
      </x:c>
      <x:c r="E1689" t="n">
        <x:f>--((B1689^2/$B$4^2+C1689^2/$B$5^2+D1689^2/$B$6^2)&lt;=1)</x:f>
        <x:v>1</x:v>
      </x:c>
      <x:c r="F1689" s="42" t="n">
        <x:f>$B$8*SUM($E$18:E1689)/A1689</x:f>
        <x:v>100.70813397129187</x:v>
      </x:c>
      <x:c r="G1689" s="42" t="n">
        <x:f>$B$11</x:f>
        <x:v>100.53096491487338</x:v>
      </x:c>
      <x:c r="I1689" t="n">
        <x:f>A1689</x:f>
        <x:v>1672</x:v>
      </x:c>
      <x:c r="J1689" t="n">
        <x:f>F1689</x:f>
        <x:v>100.70813397129187</x:v>
      </x:c>
      <x:c r="K1689" t="n">
        <x:f>G1689</x:f>
        <x:v>100.53096491487338</x:v>
      </x:c>
    </x:row>
    <x:row r="1690">
      <x:c r="A1690" t="n">
        <x:v>1673</x:v>
      </x:c>
      <x:c r="B1690" s="40" t="n">
        <x:v>1.0398675348029203</x:v>
      </x:c>
      <x:c r="C1690" s="40" t="n">
        <x:v>-1.2224715877241672</x:v>
      </x:c>
      <x:c r="D1690" s="40" t="n">
        <x:v>-1.1065225998227985</x:v>
      </x:c>
      <x:c r="E1690" t="n">
        <x:f>--((B1690^2/$B$4^2+C1690^2/$B$5^2+D1690^2/$B$6^2)&lt;=1)</x:f>
        <x:v>1</x:v>
      </x:c>
      <x:c r="F1690" s="42" t="n">
        <x:f>$B$8*SUM($E$18:E1690)/A1690</x:f>
        <x:v>100.76270173341302</x:v>
      </x:c>
      <x:c r="G1690" s="42" t="n">
        <x:f>$B$11</x:f>
        <x:v>100.53096491487338</x:v>
      </x:c>
      <x:c r="I1690" t="n">
        <x:f>A1690</x:f>
        <x:v>1673</x:v>
      </x:c>
      <x:c r="J1690" t="n">
        <x:f>F1690</x:f>
        <x:v>100.76270173341302</x:v>
      </x:c>
      <x:c r="K1690" t="n">
        <x:f>G1690</x:f>
        <x:v>100.53096491487338</x:v>
      </x:c>
    </x:row>
    <x:row r="1691">
      <x:c r="A1691" t="n">
        <x:v>1674</x:v>
      </x:c>
      <x:c r="B1691" s="40" t="n">
        <x:v>-1.4868269659555193</x:v>
      </x:c>
      <x:c r="C1691" s="40" t="n">
        <x:v>-0.9248968334352581</x:v>
      </x:c>
      <x:c r="D1691" s="40" t="n">
        <x:v>0.3931246150846377</x:v>
      </x:c>
      <x:c r="E1691" t="n">
        <x:f>--((B1691^2/$B$4^2+C1691^2/$B$5^2+D1691^2/$B$6^2)&lt;=1)</x:f>
        <x:v>1</x:v>
      </x:c>
      <x:c r="F1691" s="42" t="n">
        <x:f>$B$8*SUM($E$18:E1691)/A1691</x:f>
        <x:v>100.81720430107526</x:v>
      </x:c>
      <x:c r="G1691" s="42" t="n">
        <x:f>$B$11</x:f>
        <x:v>100.53096491487338</x:v>
      </x:c>
      <x:c r="I1691" t="n">
        <x:f>A1691</x:f>
        <x:v>1674</x:v>
      </x:c>
      <x:c r="J1691" t="n">
        <x:f>F1691</x:f>
        <x:v>100.81720430107526</x:v>
      </x:c>
      <x:c r="K1691" t="n">
        <x:f>G1691</x:f>
        <x:v>100.53096491487338</x:v>
      </x:c>
    </x:row>
    <x:row r="1692">
      <x:c r="A1692" t="n">
        <x:v>1675</x:v>
      </x:c>
      <x:c r="B1692" s="40" t="n">
        <x:v>1.1233534180761917</x:v>
      </x:c>
      <x:c r="C1692" s="40" t="n">
        <x:v>1.7440415498676574</x:v>
      </x:c>
      <x:c r="D1692" s="40" t="n">
        <x:v>0.12712320355466833</x:v>
      </x:c>
      <x:c r="E1692" t="n">
        <x:f>--((B1692^2/$B$4^2+C1692^2/$B$5^2+D1692^2/$B$6^2)&lt;=1)</x:f>
        <x:v>1</x:v>
      </x:c>
      <x:c r="F1692" s="42" t="n">
        <x:f>$B$8*SUM($E$18:E1692)/A1692</x:f>
        <x:v>100.87164179104478</x:v>
      </x:c>
      <x:c r="G1692" s="42" t="n">
        <x:f>$B$11</x:f>
        <x:v>100.53096491487338</x:v>
      </x:c>
      <x:c r="I1692" t="n">
        <x:f>A1692</x:f>
        <x:v>1675</x:v>
      </x:c>
      <x:c r="J1692" t="n">
        <x:f>F1692</x:f>
        <x:v>100.87164179104478</x:v>
      </x:c>
      <x:c r="K1692" t="n">
        <x:f>G1692</x:f>
        <x:v>100.53096491487338</x:v>
      </x:c>
    </x:row>
    <x:row r="1693">
      <x:c r="A1693" t="n">
        <x:v>1676</x:v>
      </x:c>
      <x:c r="B1693" s="40" t="n">
        <x:v>1.7540458358442632</x:v>
      </x:c>
      <x:c r="C1693" s="40" t="n">
        <x:v>2.2698883853631484</x:v>
      </x:c>
      <x:c r="D1693" s="40" t="n">
        <x:v>3.2303256646237637</x:v>
      </x:c>
      <x:c r="E1693" t="n">
        <x:f>--((B1693^2/$B$4^2+C1693^2/$B$5^2+D1693^2/$B$6^2)&lt;=1)</x:f>
        <x:v>0</x:v>
      </x:c>
      <x:c r="F1693" s="42" t="n">
        <x:f>$B$8*SUM($E$18:E1693)/A1693</x:f>
        <x:v>100.81145584725537</x:v>
      </x:c>
      <x:c r="G1693" s="42" t="n">
        <x:f>$B$11</x:f>
        <x:v>100.53096491487338</x:v>
      </x:c>
      <x:c r="I1693" t="n">
        <x:f>A1693</x:f>
        <x:v>1676</x:v>
      </x:c>
      <x:c r="J1693" t="n">
        <x:f>F1693</x:f>
        <x:v>100.81145584725537</x:v>
      </x:c>
      <x:c r="K1693" t="n">
        <x:f>G1693</x:f>
        <x:v>100.53096491487338</x:v>
      </x:c>
    </x:row>
    <x:row r="1694">
      <x:c r="A1694" t="n">
        <x:v>1677</x:v>
      </x:c>
      <x:c r="B1694" s="40" t="n">
        <x:v>0.9134998629856361</x:v>
      </x:c>
      <x:c r="C1694" s="40" t="n">
        <x:v>-1.0677955108136876</x:v>
      </x:c>
      <x:c r="D1694" s="40" t="n">
        <x:v>-2.6806767311310917</x:v>
      </x:c>
      <x:c r="E1694" t="n">
        <x:f>--((B1694^2/$B$4^2+C1694^2/$B$5^2+D1694^2/$B$6^2)&lt;=1)</x:f>
        <x:v>1</x:v>
      </x:c>
      <x:c r="F1694" s="42" t="n">
        <x:f>$B$8*SUM($E$18:E1694)/A1694</x:f>
        <x:v>100.86583184257603</x:v>
      </x:c>
      <x:c r="G1694" s="42" t="n">
        <x:f>$B$11</x:f>
        <x:v>100.53096491487338</x:v>
      </x:c>
      <x:c r="I1694" t="n">
        <x:f>A1694</x:f>
        <x:v>1677</x:v>
      </x:c>
      <x:c r="J1694" t="n">
        <x:f>F1694</x:f>
        <x:v>100.86583184257603</x:v>
      </x:c>
      <x:c r="K1694" t="n">
        <x:f>G1694</x:f>
        <x:v>100.53096491487338</x:v>
      </x:c>
    </x:row>
    <x:row r="1695">
      <x:c r="A1695" t="n">
        <x:v>1678</x:v>
      </x:c>
      <x:c r="B1695" s="40" t="n">
        <x:v>-0.23510900607776763</x:v>
      </x:c>
      <x:c r="C1695" s="40" t="n">
        <x:v>0.4290948080716577</x:v>
      </x:c>
      <x:c r="D1695" s="40" t="n">
        <x:v>0.6244861054935393</x:v>
      </x:c>
      <x:c r="E1695" t="n">
        <x:f>--((B1695^2/$B$4^2+C1695^2/$B$5^2+D1695^2/$B$6^2)&lt;=1)</x:f>
        <x:v>1</x:v>
      </x:c>
      <x:c r="F1695" s="42" t="n">
        <x:f>$B$8*SUM($E$18:E1695)/A1695</x:f>
        <x:v>100.92014302741359</x:v>
      </x:c>
      <x:c r="G1695" s="42" t="n">
        <x:f>$B$11</x:f>
        <x:v>100.53096491487338</x:v>
      </x:c>
      <x:c r="I1695" t="n">
        <x:f>A1695</x:f>
        <x:v>1678</x:v>
      </x:c>
      <x:c r="J1695" t="n">
        <x:f>F1695</x:f>
        <x:v>100.92014302741359</x:v>
      </x:c>
      <x:c r="K1695" t="n">
        <x:f>G1695</x:f>
        <x:v>100.53096491487338</x:v>
      </x:c>
    </x:row>
    <x:row r="1696">
      <x:c r="A1696" t="n">
        <x:v>1679</x:v>
      </x:c>
      <x:c r="B1696" s="40" t="n">
        <x:v>1.5067125550068114</x:v>
      </x:c>
      <x:c r="C1696" s="40" t="n">
        <x:v>-1.3310262966463917</x:v>
      </x:c>
      <x:c r="D1696" s="40" t="n">
        <x:v>2.035449553815843</x:v>
      </x:c>
      <x:c r="E1696" t="n">
        <x:f>--((B1696^2/$B$4^2+C1696^2/$B$5^2+D1696^2/$B$6^2)&lt;=1)</x:f>
        <x:v>0</x:v>
      </x:c>
      <x:c r="F1696" s="42" t="n">
        <x:f>$B$8*SUM($E$18:E1696)/A1696</x:f>
        <x:v>100.86003573555688</x:v>
      </x:c>
      <x:c r="G1696" s="42" t="n">
        <x:f>$B$11</x:f>
        <x:v>100.53096491487338</x:v>
      </x:c>
      <x:c r="I1696" t="n">
        <x:f>A1696</x:f>
        <x:v>1679</x:v>
      </x:c>
      <x:c r="J1696" t="n">
        <x:f>F1696</x:f>
        <x:v>100.86003573555688</x:v>
      </x:c>
      <x:c r="K1696" t="n">
        <x:f>G1696</x:f>
        <x:v>100.53096491487338</x:v>
      </x:c>
    </x:row>
    <x:row r="1697">
      <x:c r="A1697" t="n">
        <x:v>1680</x:v>
      </x:c>
      <x:c r="B1697" s="40" t="n">
        <x:v>0.10983052029023588</x:v>
      </x:c>
      <x:c r="C1697" s="40" t="n">
        <x:v>-2.679992149755435</x:v>
      </x:c>
      <x:c r="D1697" s="40" t="n">
        <x:v>-1.0396019157307173</x:v>
      </x:c>
      <x:c r="E1697" t="n">
        <x:f>--((B1697^2/$B$4^2+C1697^2/$B$5^2+D1697^2/$B$6^2)&lt;=1)</x:f>
        <x:v>1</x:v>
      </x:c>
      <x:c r="F1697" s="42" t="n">
        <x:f>$B$8*SUM($E$18:E1697)/A1697</x:f>
        <x:v>100.91428571428571</x:v>
      </x:c>
      <x:c r="G1697" s="42" t="n">
        <x:f>$B$11</x:f>
        <x:v>100.53096491487338</x:v>
      </x:c>
      <x:c r="I1697" t="n">
        <x:f>A1697</x:f>
        <x:v>1680</x:v>
      </x:c>
      <x:c r="J1697" t="n">
        <x:f>F1697</x:f>
        <x:v>100.91428571428571</x:v>
      </x:c>
      <x:c r="K1697" t="n">
        <x:f>G1697</x:f>
        <x:v>100.53096491487338</x:v>
      </x:c>
    </x:row>
    <x:row r="1698">
      <x:c r="A1698" t="n">
        <x:v>1681</x:v>
      </x:c>
      <x:c r="B1698" s="40" t="n">
        <x:v>0.9790837112670165</x:v>
      </x:c>
      <x:c r="C1698" s="40" t="n">
        <x:v>1.427143088162448</x:v>
      </x:c>
      <x:c r="D1698" s="40" t="n">
        <x:v>2.940652196927811</x:v>
      </x:c>
      <x:c r="E1698" t="n">
        <x:f>--((B1698^2/$B$4^2+C1698^2/$B$5^2+D1698^2/$B$6^2)&lt;=1)</x:f>
        <x:v>0</x:v>
      </x:c>
      <x:c r="F1698" s="42" t="n">
        <x:f>$B$8*SUM($E$18:E1698)/A1698</x:f>
        <x:v>100.85425342058299</x:v>
      </x:c>
      <x:c r="G1698" s="42" t="n">
        <x:f>$B$11</x:f>
        <x:v>100.53096491487338</x:v>
      </x:c>
      <x:c r="I1698" t="n">
        <x:f>A1698</x:f>
        <x:v>1681</x:v>
      </x:c>
      <x:c r="J1698" t="n">
        <x:f>F1698</x:f>
        <x:v>100.85425342058299</x:v>
      </x:c>
      <x:c r="K1698" t="n">
        <x:f>G1698</x:f>
        <x:v>100.53096491487338</x:v>
      </x:c>
    </x:row>
    <x:row r="1699">
      <x:c r="A1699" t="n">
        <x:v>1682</x:v>
      </x:c>
      <x:c r="B1699" s="40" t="n">
        <x:v>1.2820237754344164</x:v>
      </x:c>
      <x:c r="C1699" s="40" t="n">
        <x:v>-1.973979100583098</x:v>
      </x:c>
      <x:c r="D1699" s="40" t="n">
        <x:v>-1.0158818633781275</x:v>
      </x:c>
      <x:c r="E1699" t="n">
        <x:f>--((B1699^2/$B$4^2+C1699^2/$B$5^2+D1699^2/$B$6^2)&lt;=1)</x:f>
        <x:v>1</x:v>
      </x:c>
      <x:c r="F1699" s="42" t="n">
        <x:f>$B$8*SUM($E$18:E1699)/A1699</x:f>
        <x:v>100.90844233055886</x:v>
      </x:c>
      <x:c r="G1699" s="42" t="n">
        <x:f>$B$11</x:f>
        <x:v>100.53096491487338</x:v>
      </x:c>
      <x:c r="I1699" t="n">
        <x:f>A1699</x:f>
        <x:v>1682</x:v>
      </x:c>
      <x:c r="J1699" t="n">
        <x:f>F1699</x:f>
        <x:v>100.90844233055886</x:v>
      </x:c>
      <x:c r="K1699" t="n">
        <x:f>G1699</x:f>
        <x:v>100.53096491487338</x:v>
      </x:c>
    </x:row>
    <x:row r="1700">
      <x:c r="A1700" t="n">
        <x:v>1683</x:v>
      </x:c>
      <x:c r="B1700" s="40" t="n">
        <x:v>0.9974114467960238</x:v>
      </x:c>
      <x:c r="C1700" s="40" t="n">
        <x:v>-0.44572485751849733</x:v>
      </x:c>
      <x:c r="D1700" s="40" t="n">
        <x:v>-2.613529920832671</x:v>
      </x:c>
      <x:c r="E1700" t="n">
        <x:f>--((B1700^2/$B$4^2+C1700^2/$B$5^2+D1700^2/$B$6^2)&lt;=1)</x:f>
        <x:v>1</x:v>
      </x:c>
      <x:c r="F1700" s="42" t="n">
        <x:f>$B$8*SUM($E$18:E1700)/A1700</x:f>
        <x:v>100.96256684491979</x:v>
      </x:c>
      <x:c r="G1700" s="42" t="n">
        <x:f>$B$11</x:f>
        <x:v>100.53096491487338</x:v>
      </x:c>
      <x:c r="I1700" t="n">
        <x:f>A1700</x:f>
        <x:v>1683</x:v>
      </x:c>
      <x:c r="J1700" t="n">
        <x:f>F1700</x:f>
        <x:v>100.96256684491979</x:v>
      </x:c>
      <x:c r="K1700" t="n">
        <x:f>G1700</x:f>
        <x:v>100.53096491487338</x:v>
      </x:c>
    </x:row>
    <x:row r="1701">
      <x:c r="A1701" t="n">
        <x:v>1684</x:v>
      </x:c>
      <x:c r="B1701" s="40" t="n">
        <x:v>-0.8485804958073841</x:v>
      </x:c>
      <x:c r="C1701" s="40" t="n">
        <x:v>-0.07772703972505912</x:v>
      </x:c>
      <x:c r="D1701" s="40" t="n">
        <x:v>0.672386843240254</x:v>
      </x:c>
      <x:c r="E1701" t="n">
        <x:f>--((B1701^2/$B$4^2+C1701^2/$B$5^2+D1701^2/$B$6^2)&lt;=1)</x:f>
        <x:v>1</x:v>
      </x:c>
      <x:c r="F1701" s="42" t="n">
        <x:f>$B$8*SUM($E$18:E1701)/A1701</x:f>
        <x:v>101.0166270783848</x:v>
      </x:c>
      <x:c r="G1701" s="42" t="n">
        <x:f>$B$11</x:f>
        <x:v>100.53096491487338</x:v>
      </x:c>
      <x:c r="I1701" t="n">
        <x:f>A1701</x:f>
        <x:v>1684</x:v>
      </x:c>
      <x:c r="J1701" t="n">
        <x:f>F1701</x:f>
        <x:v>101.0166270783848</x:v>
      </x:c>
      <x:c r="K1701" t="n">
        <x:f>G1701</x:f>
        <x:v>100.53096491487338</x:v>
      </x:c>
    </x:row>
    <x:row r="1702">
      <x:c r="A1702" t="n">
        <x:v>1685</x:v>
      </x:c>
      <x:c r="B1702" s="40" t="n">
        <x:v>-1.5286243963766757</x:v>
      </x:c>
      <x:c r="C1702" s="40" t="n">
        <x:v>-1.8931704949253645</x:v>
      </x:c>
      <x:c r="D1702" s="40" t="n">
        <x:v>-0.6354559197015002</x:v>
      </x:c>
      <x:c r="E1702" t="n">
        <x:f>--((B1702^2/$B$4^2+C1702^2/$B$5^2+D1702^2/$B$6^2)&lt;=1)</x:f>
        <x:v>0</x:v>
      </x:c>
      <x:c r="F1702" s="42" t="n">
        <x:f>$B$8*SUM($E$18:E1702)/A1702</x:f>
        <x:v>100.9566765578635</x:v>
      </x:c>
      <x:c r="G1702" s="42" t="n">
        <x:f>$B$11</x:f>
        <x:v>100.53096491487338</x:v>
      </x:c>
      <x:c r="I1702" t="n">
        <x:f>A1702</x:f>
        <x:v>1685</x:v>
      </x:c>
      <x:c r="J1702" t="n">
        <x:f>F1702</x:f>
        <x:v>100.9566765578635</x:v>
      </x:c>
      <x:c r="K1702" t="n">
        <x:f>G1702</x:f>
        <x:v>100.53096491487338</x:v>
      </x:c>
    </x:row>
    <x:row r="1703">
      <x:c r="A1703" t="n">
        <x:v>1686</x:v>
      </x:c>
      <x:c r="B1703" s="40" t="n">
        <x:v>-1.0466458825517595</x:v>
      </x:c>
      <x:c r="C1703" s="40" t="n">
        <x:v>-2.4326678960196224</x:v>
      </x:c>
      <x:c r="D1703" s="40" t="n">
        <x:v>-3.8784791625439636</x:v>
      </x:c>
      <x:c r="E1703" t="n">
        <x:f>--((B1703^2/$B$4^2+C1703^2/$B$5^2+D1703^2/$B$6^2)&lt;=1)</x:f>
        <x:v>0</x:v>
      </x:c>
      <x:c r="F1703" s="42" t="n">
        <x:f>$B$8*SUM($E$18:E1703)/A1703</x:f>
        <x:v>100.8967971530249</x:v>
      </x:c>
      <x:c r="G1703" s="42" t="n">
        <x:f>$B$11</x:f>
        <x:v>100.53096491487338</x:v>
      </x:c>
      <x:c r="I1703" t="n">
        <x:f>A1703</x:f>
        <x:v>1686</x:v>
      </x:c>
      <x:c r="J1703" t="n">
        <x:f>F1703</x:f>
        <x:v>100.8967971530249</x:v>
      </x:c>
      <x:c r="K1703" t="n">
        <x:f>G1703</x:f>
        <x:v>100.53096491487338</x:v>
      </x:c>
    </x:row>
    <x:row r="1704">
      <x:c r="A1704" t="n">
        <x:v>1687</x:v>
      </x:c>
      <x:c r="B1704" s="40" t="n">
        <x:v>0.01149974792141295</x:v>
      </x:c>
      <x:c r="C1704" s="40" t="n">
        <x:v>-0.9119219119735762</x:v>
      </x:c>
      <x:c r="D1704" s="40" t="n">
        <x:v>-3.4412912600519743</x:v>
      </x:c>
      <x:c r="E1704" t="n">
        <x:f>--((B1704^2/$B$4^2+C1704^2/$B$5^2+D1704^2/$B$6^2)&lt;=1)</x:f>
        <x:v>1</x:v>
      </x:c>
      <x:c r="F1704" s="42" t="n">
        <x:f>$B$8*SUM($E$18:E1704)/A1704</x:f>
        <x:v>100.95080023710729</x:v>
      </x:c>
      <x:c r="G1704" s="42" t="n">
        <x:f>$B$11</x:f>
        <x:v>100.53096491487338</x:v>
      </x:c>
      <x:c r="I1704" t="n">
        <x:f>A1704</x:f>
        <x:v>1687</x:v>
      </x:c>
      <x:c r="J1704" t="n">
        <x:f>F1704</x:f>
        <x:v>100.95080023710729</x:v>
      </x:c>
      <x:c r="K1704" t="n">
        <x:f>G1704</x:f>
        <x:v>100.53096491487338</x:v>
      </x:c>
    </x:row>
    <x:row r="1705">
      <x:c r="A1705" t="n">
        <x:v>1688</x:v>
      </x:c>
      <x:c r="B1705" s="40" t="n">
        <x:v>0.02110768917238337</x:v>
      </x:c>
      <x:c r="C1705" s="40" t="n">
        <x:v>2.7137154453019106</x:v>
      </x:c>
      <x:c r="D1705" s="40" t="n">
        <x:v>-2.43778255834728</x:v>
      </x:c>
      <x:c r="E1705" t="n">
        <x:f>--((B1705^2/$B$4^2+C1705^2/$B$5^2+D1705^2/$B$6^2)&lt;=1)</x:f>
        <x:v>0</x:v>
      </x:c>
      <x:c r="F1705" s="42" t="n">
        <x:f>$B$8*SUM($E$18:E1705)/A1705</x:f>
        <x:v>100.8909952606635</x:v>
      </x:c>
      <x:c r="G1705" s="42" t="n">
        <x:f>$B$11</x:f>
        <x:v>100.53096491487338</x:v>
      </x:c>
      <x:c r="I1705" t="n">
        <x:f>A1705</x:f>
        <x:v>1688</x:v>
      </x:c>
      <x:c r="J1705" t="n">
        <x:f>F1705</x:f>
        <x:v>100.8909952606635</x:v>
      </x:c>
      <x:c r="K1705" t="n">
        <x:f>G1705</x:f>
        <x:v>100.53096491487338</x:v>
      </x:c>
    </x:row>
    <x:row r="1706">
      <x:c r="A1706" t="n">
        <x:v>1689</x:v>
      </x:c>
      <x:c r="B1706" s="40" t="n">
        <x:v>0.3305773972581503</x:v>
      </x:c>
      <x:c r="C1706" s="40" t="n">
        <x:v>0.6908135399305286</x:v>
      </x:c>
      <x:c r="D1706" s="40" t="n">
        <x:v>2.1546396761452185</x:v>
      </x:c>
      <x:c r="E1706" t="n">
        <x:f>--((B1706^2/$B$4^2+C1706^2/$B$5^2+D1706^2/$B$6^2)&lt;=1)</x:f>
        <x:v>1</x:v>
      </x:c>
      <x:c r="F1706" s="42" t="n">
        <x:f>$B$8*SUM($E$18:E1706)/A1706</x:f>
        <x:v>100.9449378330373</x:v>
      </x:c>
      <x:c r="G1706" s="42" t="n">
        <x:f>$B$11</x:f>
        <x:v>100.53096491487338</x:v>
      </x:c>
      <x:c r="I1706" t="n">
        <x:f>A1706</x:f>
        <x:v>1689</x:v>
      </x:c>
      <x:c r="J1706" t="n">
        <x:f>F1706</x:f>
        <x:v>100.9449378330373</x:v>
      </x:c>
      <x:c r="K1706" t="n">
        <x:f>G1706</x:f>
        <x:v>100.53096491487338</x:v>
      </x:c>
    </x:row>
    <x:row r="1707">
      <x:c r="A1707" t="n">
        <x:v>1690</x:v>
      </x:c>
      <x:c r="B1707" s="40" t="n">
        <x:v>-0.4195926498084366</x:v>
      </x:c>
      <x:c r="C1707" s="40" t="n">
        <x:v>-0.7115386295825852</x:v>
      </x:c>
      <x:c r="D1707" s="40" t="n">
        <x:v>3.1363161282699865</x:v>
      </x:c>
      <x:c r="E1707" t="n">
        <x:f>--((B1707^2/$B$4^2+C1707^2/$B$5^2+D1707^2/$B$6^2)&lt;=1)</x:f>
        <x:v>1</x:v>
      </x:c>
      <x:c r="F1707" s="42" t="n">
        <x:f>$B$8*SUM($E$18:E1707)/A1707</x:f>
        <x:v>100.99881656804733</x:v>
      </x:c>
      <x:c r="G1707" s="42" t="n">
        <x:f>$B$11</x:f>
        <x:v>100.53096491487338</x:v>
      </x:c>
      <x:c r="I1707" t="n">
        <x:f>A1707</x:f>
        <x:v>1690</x:v>
      </x:c>
      <x:c r="J1707" t="n">
        <x:f>F1707</x:f>
        <x:v>100.99881656804733</x:v>
      </x:c>
      <x:c r="K1707" t="n">
        <x:f>G1707</x:f>
        <x:v>100.53096491487338</x:v>
      </x:c>
    </x:row>
    <x:row r="1708">
      <x:c r="A1708" t="n">
        <x:v>1691</x:v>
      </x:c>
      <x:c r="B1708" s="40" t="n">
        <x:v>1.1475655258001107</x:v>
      </x:c>
      <x:c r="C1708" s="40" t="n">
        <x:v>-2.76653507535471</x:v>
      </x:c>
      <x:c r="D1708" s="40" t="n">
        <x:v>0.36512699211377964</x:v>
      </x:c>
      <x:c r="E1708" t="n">
        <x:f>--((B1708^2/$B$4^2+C1708^2/$B$5^2+D1708^2/$B$6^2)&lt;=1)</x:f>
        <x:v>0</x:v>
      </x:c>
      <x:c r="F1708" s="42" t="n">
        <x:f>$B$8*SUM($E$18:E1708)/A1708</x:f>
        <x:v>100.93908929627439</x:v>
      </x:c>
      <x:c r="G1708" s="42" t="n">
        <x:f>$B$11</x:f>
        <x:v>100.53096491487338</x:v>
      </x:c>
      <x:c r="I1708" t="n">
        <x:f>A1708</x:f>
        <x:v>1691</x:v>
      </x:c>
      <x:c r="J1708" t="n">
        <x:f>F1708</x:f>
        <x:v>100.93908929627439</x:v>
      </x:c>
      <x:c r="K1708" t="n">
        <x:f>G1708</x:f>
        <x:v>100.53096491487338</x:v>
      </x:c>
    </x:row>
    <x:row r="1709">
      <x:c r="A1709" t="n">
        <x:v>1692</x:v>
      </x:c>
      <x:c r="B1709" s="40" t="n">
        <x:v>1.6526150013888312</x:v>
      </x:c>
      <x:c r="C1709" s="40" t="n">
        <x:v>0.601639688346491</x:v>
      </x:c>
      <x:c r="D1709" s="40" t="n">
        <x:v>-3.1554762998870123</x:v>
      </x:c>
      <x:c r="E1709" t="n">
        <x:f>--((B1709^2/$B$4^2+C1709^2/$B$5^2+D1709^2/$B$6^2)&lt;=1)</x:f>
        <x:v>0</x:v>
      </x:c>
      <x:c r="F1709" s="42" t="n">
        <x:f>$B$8*SUM($E$18:E1709)/A1709</x:f>
        <x:v>100.87943262411348</x:v>
      </x:c>
      <x:c r="G1709" s="42" t="n">
        <x:f>$B$11</x:f>
        <x:v>100.53096491487338</x:v>
      </x:c>
      <x:c r="I1709" t="n">
        <x:f>A1709</x:f>
        <x:v>1692</x:v>
      </x:c>
      <x:c r="J1709" t="n">
        <x:f>F1709</x:f>
        <x:v>100.87943262411348</x:v>
      </x:c>
      <x:c r="K1709" t="n">
        <x:f>G1709</x:f>
        <x:v>100.53096491487338</x:v>
      </x:c>
    </x:row>
    <x:row r="1710">
      <x:c r="A1710" t="n">
        <x:v>1693</x:v>
      </x:c>
      <x:c r="B1710" s="40" t="n">
        <x:v>-1.013099786082115</x:v>
      </x:c>
      <x:c r="C1710" s="40" t="n">
        <x:v>-2.4464541543877645</x:v>
      </x:c>
      <x:c r="D1710" s="40" t="n">
        <x:v>0.2753516179347679</x:v>
      </x:c>
      <x:c r="E1710" t="n">
        <x:f>--((B1710^2/$B$4^2+C1710^2/$B$5^2+D1710^2/$B$6^2)&lt;=1)</x:f>
        <x:v>1</x:v>
      </x:c>
      <x:c r="F1710" s="42" t="n">
        <x:f>$B$8*SUM($E$18:E1710)/A1710</x:f>
        <x:v>100.93325457767277</x:v>
      </x:c>
      <x:c r="G1710" s="42" t="n">
        <x:f>$B$11</x:f>
        <x:v>100.53096491487338</x:v>
      </x:c>
      <x:c r="I1710" t="n">
        <x:f>A1710</x:f>
        <x:v>1693</x:v>
      </x:c>
      <x:c r="J1710" t="n">
        <x:f>F1710</x:f>
        <x:v>100.93325457767277</x:v>
      </x:c>
      <x:c r="K1710" t="n">
        <x:f>G1710</x:f>
        <x:v>100.53096491487338</x:v>
      </x:c>
    </x:row>
    <x:row r="1711">
      <x:c r="A1711" t="n">
        <x:v>1694</x:v>
      </x:c>
      <x:c r="B1711" s="40" t="n">
        <x:v>0.946092870807552</x:v>
      </x:c>
      <x:c r="C1711" s="40" t="n">
        <x:v>0.2552644262851578</x:v>
      </x:c>
      <x:c r="D1711" s="40" t="n">
        <x:v>2.84484368477556</x:v>
      </x:c>
      <x:c r="E1711" t="n">
        <x:f>--((B1711^2/$B$4^2+C1711^2/$B$5^2+D1711^2/$B$6^2)&lt;=1)</x:f>
        <x:v>1</x:v>
      </x:c>
      <x:c r="F1711" s="42" t="n">
        <x:f>$B$8*SUM($E$18:E1711)/A1711</x:f>
        <x:v>100.98701298701299</x:v>
      </x:c>
      <x:c r="G1711" s="42" t="n">
        <x:f>$B$11</x:f>
        <x:v>100.53096491487338</x:v>
      </x:c>
      <x:c r="I1711" t="n">
        <x:f>A1711</x:f>
        <x:v>1694</x:v>
      </x:c>
      <x:c r="J1711" t="n">
        <x:f>F1711</x:f>
        <x:v>100.98701298701299</x:v>
      </x:c>
      <x:c r="K1711" t="n">
        <x:f>G1711</x:f>
        <x:v>100.53096491487338</x:v>
      </x:c>
    </x:row>
    <x:row r="1712">
      <x:c r="A1712" t="n">
        <x:v>1695</x:v>
      </x:c>
      <x:c r="B1712" s="40" t="n">
        <x:v>0.7118874101801786</x:v>
      </x:c>
      <x:c r="C1712" s="40" t="n">
        <x:v>1.5117030496304578</x:v>
      </x:c>
      <x:c r="D1712" s="40" t="n">
        <x:v>1.9958210329807171</x:v>
      </x:c>
      <x:c r="E1712" t="n">
        <x:f>--((B1712^2/$B$4^2+C1712^2/$B$5^2+D1712^2/$B$6^2)&lt;=1)</x:f>
        <x:v>1</x:v>
      </x:c>
      <x:c r="F1712" s="42" t="n">
        <x:f>$B$8*SUM($E$18:E1712)/A1712</x:f>
        <x:v>101.04070796460176</x:v>
      </x:c>
      <x:c r="G1712" s="42" t="n">
        <x:f>$B$11</x:f>
        <x:v>100.53096491487338</x:v>
      </x:c>
      <x:c r="I1712" t="n">
        <x:f>A1712</x:f>
        <x:v>1695</x:v>
      </x:c>
      <x:c r="J1712" t="n">
        <x:f>F1712</x:f>
        <x:v>101.04070796460176</x:v>
      </x:c>
      <x:c r="K1712" t="n">
        <x:f>G1712</x:f>
        <x:v>100.53096491487338</x:v>
      </x:c>
    </x:row>
    <x:row r="1713">
      <x:c r="A1713" t="n">
        <x:v>1696</x:v>
      </x:c>
      <x:c r="B1713" s="40" t="n">
        <x:v>0.09236199711725979</x:v>
      </x:c>
      <x:c r="C1713" s="40" t="n">
        <x:v>-0.4584879102312822</x:v>
      </x:c>
      <x:c r="D1713" s="40" t="n">
        <x:v>-1.6712146904210003</x:v>
      </x:c>
      <x:c r="E1713" t="n">
        <x:f>--((B1713^2/$B$4^2+C1713^2/$B$5^2+D1713^2/$B$6^2)&lt;=1)</x:f>
        <x:v>1</x:v>
      </x:c>
      <x:c r="F1713" s="42" t="n">
        <x:f>$B$8*SUM($E$18:E1713)/A1713</x:f>
        <x:v>101.09433962264151</x:v>
      </x:c>
      <x:c r="G1713" s="42" t="n">
        <x:f>$B$11</x:f>
        <x:v>100.53096491487338</x:v>
      </x:c>
      <x:c r="I1713" t="n">
        <x:f>A1713</x:f>
        <x:v>1696</x:v>
      </x:c>
      <x:c r="J1713" t="n">
        <x:f>F1713</x:f>
        <x:v>101.09433962264151</x:v>
      </x:c>
      <x:c r="K1713" t="n">
        <x:f>G1713</x:f>
        <x:v>100.53096491487338</x:v>
      </x:c>
    </x:row>
    <x:row r="1714">
      <x:c r="A1714" t="n">
        <x:v>1697</x:v>
      </x:c>
      <x:c r="B1714" s="40" t="n">
        <x:v>-1.245879064503359</x:v>
      </x:c>
      <x:c r="C1714" s="40" t="n">
        <x:v>-1.2035310311008536</x:v>
      </x:c>
      <x:c r="D1714" s="40" t="n">
        <x:v>-3.0088751256931374</x:v>
      </x:c>
      <x:c r="E1714" t="n">
        <x:f>--((B1714^2/$B$4^2+C1714^2/$B$5^2+D1714^2/$B$6^2)&lt;=1)</x:f>
        <x:v>0</x:v>
      </x:c>
      <x:c r="F1714" s="42" t="n">
        <x:f>$B$8*SUM($E$18:E1714)/A1714</x:f>
        <x:v>101.03476723629934</x:v>
      </x:c>
      <x:c r="G1714" s="42" t="n">
        <x:f>$B$11</x:f>
        <x:v>100.53096491487338</x:v>
      </x:c>
      <x:c r="I1714" t="n">
        <x:f>A1714</x:f>
        <x:v>1697</x:v>
      </x:c>
      <x:c r="J1714" t="n">
        <x:f>F1714</x:f>
        <x:v>101.03476723629934</x:v>
      </x:c>
      <x:c r="K1714" t="n">
        <x:f>G1714</x:f>
        <x:v>100.53096491487338</x:v>
      </x:c>
    </x:row>
    <x:row r="1715">
      <x:c r="A1715" t="n">
        <x:v>1698</x:v>
      </x:c>
      <x:c r="B1715" s="40" t="n">
        <x:v>1.180929034330838</x:v>
      </x:c>
      <x:c r="C1715" s="40" t="n">
        <x:v>-2.7156945970944086</x:v>
      </x:c>
      <x:c r="D1715" s="40" t="n">
        <x:v>3.205453598097944</x:v>
      </x:c>
      <x:c r="E1715" t="n">
        <x:f>--((B1715^2/$B$4^2+C1715^2/$B$5^2+D1715^2/$B$6^2)&lt;=1)</x:f>
        <x:v>0</x:v>
      </x:c>
      <x:c r="F1715" s="42" t="n">
        <x:f>$B$8*SUM($E$18:E1715)/A1715</x:f>
        <x:v>100.97526501766785</x:v>
      </x:c>
      <x:c r="G1715" s="42" t="n">
        <x:f>$B$11</x:f>
        <x:v>100.53096491487338</x:v>
      </x:c>
      <x:c r="I1715" t="n">
        <x:f>A1715</x:f>
        <x:v>1698</x:v>
      </x:c>
      <x:c r="J1715" t="n">
        <x:f>F1715</x:f>
        <x:v>100.97526501766785</x:v>
      </x:c>
      <x:c r="K1715" t="n">
        <x:f>G1715</x:f>
        <x:v>100.53096491487338</x:v>
      </x:c>
    </x:row>
    <x:row r="1716">
      <x:c r="A1716" t="n">
        <x:v>1699</x:v>
      </x:c>
      <x:c r="B1716" s="40" t="n">
        <x:v>1.8425051425153307</x:v>
      </x:c>
      <x:c r="C1716" s="40" t="n">
        <x:v>-2.8513327490304192</x:v>
      </x:c>
      <x:c r="D1716" s="40" t="n">
        <x:v>2.832709973057688</x:v>
      </x:c>
      <x:c r="E1716" t="n">
        <x:f>--((B1716^2/$B$4^2+C1716^2/$B$5^2+D1716^2/$B$6^2)&lt;=1)</x:f>
        <x:v>0</x:v>
      </x:c>
      <x:c r="F1716" s="42" t="n">
        <x:f>$B$8*SUM($E$18:E1716)/A1716</x:f>
        <x:v>100.91583284284873</x:v>
      </x:c>
      <x:c r="G1716" s="42" t="n">
        <x:f>$B$11</x:f>
        <x:v>100.53096491487338</x:v>
      </x:c>
      <x:c r="I1716" t="n">
        <x:f>A1716</x:f>
        <x:v>1699</x:v>
      </x:c>
      <x:c r="J1716" t="n">
        <x:f>F1716</x:f>
        <x:v>100.91583284284873</x:v>
      </x:c>
      <x:c r="K1716" t="n">
        <x:f>G1716</x:f>
        <x:v>100.53096491487338</x:v>
      </x:c>
    </x:row>
    <x:row r="1717">
      <x:c r="A1717" t="n">
        <x:v>1700</x:v>
      </x:c>
      <x:c r="B1717" s="40" t="n">
        <x:v>0.8873453289344537</x:v>
      </x:c>
      <x:c r="C1717" s="40" t="n">
        <x:v>-0.4198405821268727</x:v>
      </x:c>
      <x:c r="D1717" s="40" t="n">
        <x:v>-3.5702770788381937</x:v>
      </x:c>
      <x:c r="E1717" t="n">
        <x:f>--((B1717^2/$B$4^2+C1717^2/$B$5^2+D1717^2/$B$6^2)&lt;=1)</x:f>
        <x:v>0</x:v>
      </x:c>
      <x:c r="F1717" s="42" t="n">
        <x:f>$B$8*SUM($E$18:E1717)/A1717</x:f>
        <x:v>100.8564705882353</x:v>
      </x:c>
      <x:c r="G1717" s="42" t="n">
        <x:f>$B$11</x:f>
        <x:v>100.53096491487338</x:v>
      </x:c>
      <x:c r="I1717" t="n">
        <x:f>A1717</x:f>
        <x:v>1700</x:v>
      </x:c>
      <x:c r="J1717" t="n">
        <x:f>F1717</x:f>
        <x:v>100.8564705882353</x:v>
      </x:c>
      <x:c r="K1717" t="n">
        <x:f>G1717</x:f>
        <x:v>100.53096491487338</x:v>
      </x:c>
    </x:row>
    <x:row r="1718">
      <x:c r="A1718" t="n">
        <x:v>1701</x:v>
      </x:c>
      <x:c r="B1718" s="40" t="n">
        <x:v>1.6714399865029361</x:v>
      </x:c>
      <x:c r="C1718" s="40" t="n">
        <x:v>2.300071624217807</x:v>
      </x:c>
      <x:c r="D1718" s="40" t="n">
        <x:v>2.589395918596514</x:v>
      </x:c>
      <x:c r="E1718" t="n">
        <x:f>--((B1718^2/$B$4^2+C1718^2/$B$5^2+D1718^2/$B$6^2)&lt;=1)</x:f>
        <x:v>0</x:v>
      </x:c>
      <x:c r="F1718" s="42" t="n">
        <x:f>$B$8*SUM($E$18:E1718)/A1718</x:f>
        <x:v>100.79717813051147</x:v>
      </x:c>
      <x:c r="G1718" s="42" t="n">
        <x:f>$B$11</x:f>
        <x:v>100.53096491487338</x:v>
      </x:c>
      <x:c r="I1718" t="n">
        <x:f>A1718</x:f>
        <x:v>1701</x:v>
      </x:c>
      <x:c r="J1718" t="n">
        <x:f>F1718</x:f>
        <x:v>100.79717813051147</x:v>
      </x:c>
      <x:c r="K1718" t="n">
        <x:f>G1718</x:f>
        <x:v>100.53096491487338</x:v>
      </x:c>
    </x:row>
    <x:row r="1719">
      <x:c r="A1719" t="n">
        <x:v>1702</x:v>
      </x:c>
      <x:c r="B1719" s="40" t="n">
        <x:v>1.936741059791999</x:v>
      </x:c>
      <x:c r="C1719" s="40" t="n">
        <x:v>-1.5356233272408577</x:v>
      </x:c>
      <x:c r="D1719" s="40" t="n">
        <x:v>-3.222298897720484</x:v>
      </x:c>
      <x:c r="E1719" t="n">
        <x:f>--((B1719^2/$B$4^2+C1719^2/$B$5^2+D1719^2/$B$6^2)&lt;=1)</x:f>
        <x:v>0</x:v>
      </x:c>
      <x:c r="F1719" s="42" t="n">
        <x:f>$B$8*SUM($E$18:E1719)/A1719</x:f>
        <x:v>100.73795534665099</x:v>
      </x:c>
      <x:c r="G1719" s="42" t="n">
        <x:f>$B$11</x:f>
        <x:v>100.53096491487338</x:v>
      </x:c>
      <x:c r="I1719" t="n">
        <x:f>A1719</x:f>
        <x:v>1702</x:v>
      </x:c>
      <x:c r="J1719" t="n">
        <x:f>F1719</x:f>
        <x:v>100.73795534665099</x:v>
      </x:c>
      <x:c r="K1719" t="n">
        <x:f>G1719</x:f>
        <x:v>100.53096491487338</x:v>
      </x:c>
    </x:row>
    <x:row r="1720">
      <x:c r="A1720" t="n">
        <x:v>1703</x:v>
      </x:c>
      <x:c r="B1720" s="40" t="n">
        <x:v>-0.5917973030430472</x:v>
      </x:c>
      <x:c r="C1720" s="40" t="n">
        <x:v>0.4443330346909278</x:v>
      </x:c>
      <x:c r="D1720" s="40" t="n">
        <x:v>-3.493730932783704</x:v>
      </x:c>
      <x:c r="E1720" t="n">
        <x:f>--((B1720^2/$B$4^2+C1720^2/$B$5^2+D1720^2/$B$6^2)&lt;=1)</x:f>
        <x:v>1</x:v>
      </x:c>
      <x:c r="F1720" s="42" t="n">
        <x:f>$B$8*SUM($E$18:E1720)/A1720</x:f>
        <x:v>100.79154433352906</x:v>
      </x:c>
      <x:c r="G1720" s="42" t="n">
        <x:f>$B$11</x:f>
        <x:v>100.53096491487338</x:v>
      </x:c>
      <x:c r="I1720" t="n">
        <x:f>A1720</x:f>
        <x:v>1703</x:v>
      </x:c>
      <x:c r="J1720" t="n">
        <x:f>F1720</x:f>
        <x:v>100.79154433352906</x:v>
      </x:c>
      <x:c r="K1720" t="n">
        <x:f>G1720</x:f>
        <x:v>100.53096491487338</x:v>
      </x:c>
    </x:row>
    <x:row r="1721">
      <x:c r="A1721" t="n">
        <x:v>1704</x:v>
      </x:c>
      <x:c r="B1721" s="40" t="n">
        <x:v>0.5528942117053477</x:v>
      </x:c>
      <x:c r="C1721" s="40" t="n">
        <x:v>1.1058349180785711</x:v>
      </x:c>
      <x:c r="D1721" s="40" t="n">
        <x:v>2.0688071771700756</x:v>
      </x:c>
      <x:c r="E1721" t="n">
        <x:f>--((B1721^2/$B$4^2+C1721^2/$B$5^2+D1721^2/$B$6^2)&lt;=1)</x:f>
        <x:v>1</x:v>
      </x:c>
      <x:c r="F1721" s="42" t="n">
        <x:f>$B$8*SUM($E$18:E1721)/A1721</x:f>
        <x:v>100.84507042253522</x:v>
      </x:c>
      <x:c r="G1721" s="42" t="n">
        <x:f>$B$11</x:f>
        <x:v>100.53096491487338</x:v>
      </x:c>
      <x:c r="I1721" t="n">
        <x:f>A1721</x:f>
        <x:v>1704</x:v>
      </x:c>
      <x:c r="J1721" t="n">
        <x:f>F1721</x:f>
        <x:v>100.84507042253522</x:v>
      </x:c>
      <x:c r="K1721" t="n">
        <x:f>G1721</x:f>
        <x:v>100.53096491487338</x:v>
      </x:c>
    </x:row>
    <x:row r="1722">
      <x:c r="A1722" t="n">
        <x:v>1705</x:v>
      </x:c>
      <x:c r="B1722" s="40" t="n">
        <x:v>-0.10426904944768811</x:v>
      </x:c>
      <x:c r="C1722" s="40" t="n">
        <x:v>-2.6350207949918314</x:v>
      </x:c>
      <x:c r="D1722" s="40" t="n">
        <x:v>0.29048497539966434</x:v>
      </x:c>
      <x:c r="E1722" t="n">
        <x:f>--((B1722^2/$B$4^2+C1722^2/$B$5^2+D1722^2/$B$6^2)&lt;=1)</x:f>
        <x:v>1</x:v>
      </x:c>
      <x:c r="F1722" s="42" t="n">
        <x:f>$B$8*SUM($E$18:E1722)/A1722</x:f>
        <x:v>100.89853372434018</x:v>
      </x:c>
      <x:c r="G1722" s="42" t="n">
        <x:f>$B$11</x:f>
        <x:v>100.53096491487338</x:v>
      </x:c>
      <x:c r="I1722" t="n">
        <x:f>A1722</x:f>
        <x:v>1705</x:v>
      </x:c>
      <x:c r="J1722" t="n">
        <x:f>F1722</x:f>
        <x:v>100.89853372434018</x:v>
      </x:c>
      <x:c r="K1722" t="n">
        <x:f>G1722</x:f>
        <x:v>100.53096491487338</x:v>
      </x:c>
    </x:row>
    <x:row r="1723">
      <x:c r="A1723" t="n">
        <x:v>1706</x:v>
      </x:c>
      <x:c r="B1723" s="40" t="n">
        <x:v>1.9465149874529204</x:v>
      </x:c>
      <x:c r="C1723" s="40" t="n">
        <x:v>-2.0813977451797374</x:v>
      </x:c>
      <x:c r="D1723" s="40" t="n">
        <x:v>-0.683615807277449</x:v>
      </x:c>
      <x:c r="E1723" t="n">
        <x:f>--((B1723^2/$B$4^2+C1723^2/$B$5^2+D1723^2/$B$6^2)&lt;=1)</x:f>
        <x:v>0</x:v>
      </x:c>
      <x:c r="F1723" s="42" t="n">
        <x:f>$B$8*SUM($E$18:E1723)/A1723</x:f>
        <x:v>100.83939038686987</x:v>
      </x:c>
      <x:c r="G1723" s="42" t="n">
        <x:f>$B$11</x:f>
        <x:v>100.53096491487338</x:v>
      </x:c>
      <x:c r="I1723" t="n">
        <x:f>A1723</x:f>
        <x:v>1706</x:v>
      </x:c>
      <x:c r="J1723" t="n">
        <x:f>F1723</x:f>
        <x:v>100.83939038686987</x:v>
      </x:c>
      <x:c r="K1723" t="n">
        <x:f>G1723</x:f>
        <x:v>100.53096491487338</x:v>
      </x:c>
    </x:row>
    <x:row r="1724">
      <x:c r="A1724" t="n">
        <x:v>1707</x:v>
      </x:c>
      <x:c r="B1724" s="40" t="n">
        <x:v>-1.6247687039691003</x:v>
      </x:c>
      <x:c r="C1724" s="40" t="n">
        <x:v>-1.0123392394825976</x:v>
      </x:c>
      <x:c r="D1724" s="40" t="n">
        <x:v>3.2308975678081753</x:v>
      </x:c>
      <x:c r="E1724" t="n">
        <x:f>--((B1724^2/$B$4^2+C1724^2/$B$5^2+D1724^2/$B$6^2)&lt;=1)</x:f>
        <x:v>0</x:v>
      </x:c>
      <x:c r="F1724" s="42" t="n">
        <x:f>$B$8*SUM($E$18:E1724)/A1724</x:f>
        <x:v>100.78031634446397</x:v>
      </x:c>
      <x:c r="G1724" s="42" t="n">
        <x:f>$B$11</x:f>
        <x:v>100.53096491487338</x:v>
      </x:c>
      <x:c r="I1724" t="n">
        <x:f>A1724</x:f>
        <x:v>1707</x:v>
      </x:c>
      <x:c r="J1724" t="n">
        <x:f>F1724</x:f>
        <x:v>100.78031634446397</x:v>
      </x:c>
      <x:c r="K1724" t="n">
        <x:f>G1724</x:f>
        <x:v>100.53096491487338</x:v>
      </x:c>
    </x:row>
    <x:row r="1725">
      <x:c r="A1725" t="n">
        <x:v>1708</x:v>
      </x:c>
      <x:c r="B1725" s="40" t="n">
        <x:v>-0.35050034281110154</x:v>
      </x:c>
      <x:c r="C1725" s="40" t="n">
        <x:v>1.0205590448914226</x:v>
      </x:c>
      <x:c r="D1725" s="40" t="n">
        <x:v>2.71442857654203</x:v>
      </x:c>
      <x:c r="E1725" t="n">
        <x:f>--((B1725^2/$B$4^2+C1725^2/$B$5^2+D1725^2/$B$6^2)&lt;=1)</x:f>
        <x:v>1</x:v>
      </x:c>
      <x:c r="F1725" s="42" t="n">
        <x:f>$B$8*SUM($E$18:E1725)/A1725</x:f>
        <x:v>100.83372365339578</x:v>
      </x:c>
      <x:c r="G1725" s="42" t="n">
        <x:f>$B$11</x:f>
        <x:v>100.53096491487338</x:v>
      </x:c>
      <x:c r="I1725" t="n">
        <x:f>A1725</x:f>
        <x:v>1708</x:v>
      </x:c>
      <x:c r="J1725" t="n">
        <x:f>F1725</x:f>
        <x:v>100.83372365339578</x:v>
      </x:c>
      <x:c r="K1725" t="n">
        <x:f>G1725</x:f>
        <x:v>100.53096491487338</x:v>
      </x:c>
    </x:row>
    <x:row r="1726">
      <x:c r="A1726" t="n">
        <x:v>1709</x:v>
      </x:c>
      <x:c r="B1726" s="40" t="n">
        <x:v>1.5021561781089448</x:v>
      </x:c>
      <x:c r="C1726" s="40" t="n">
        <x:v>-0.3657893266314187</x:v>
      </x:c>
      <x:c r="D1726" s="40" t="n">
        <x:v>-3.539012227623547</x:v>
      </x:c>
      <x:c r="E1726" t="n">
        <x:f>--((B1726^2/$B$4^2+C1726^2/$B$5^2+D1726^2/$B$6^2)&lt;=1)</x:f>
        <x:v>0</x:v>
      </x:c>
      <x:c r="F1726" s="42" t="n">
        <x:f>$B$8*SUM($E$18:E1726)/A1726</x:f>
        <x:v>100.77472205968402</x:v>
      </x:c>
      <x:c r="G1726" s="42" t="n">
        <x:f>$B$11</x:f>
        <x:v>100.53096491487338</x:v>
      </x:c>
      <x:c r="I1726" t="n">
        <x:f>A1726</x:f>
        <x:v>1709</x:v>
      </x:c>
      <x:c r="J1726" t="n">
        <x:f>F1726</x:f>
        <x:v>100.77472205968402</x:v>
      </x:c>
      <x:c r="K1726" t="n">
        <x:f>G1726</x:f>
        <x:v>100.53096491487338</x:v>
      </x:c>
    </x:row>
    <x:row r="1727">
      <x:c r="A1727" t="n">
        <x:v>1710</x:v>
      </x:c>
      <x:c r="B1727" s="40" t="n">
        <x:v>-0.8637947578939382</x:v>
      </x:c>
      <x:c r="C1727" s="40" t="n">
        <x:v>1.4051704093094717</x:v>
      </x:c>
      <x:c r="D1727" s="40" t="n">
        <x:v>0.928697935529379</x:v>
      </x:c>
      <x:c r="E1727" t="n">
        <x:f>--((B1727^2/$B$4^2+C1727^2/$B$5^2+D1727^2/$B$6^2)&lt;=1)</x:f>
        <x:v>1</x:v>
      </x:c>
      <x:c r="F1727" s="42" t="n">
        <x:f>$B$8*SUM($E$18:E1727)/A1727</x:f>
        <x:v>100.8280701754386</x:v>
      </x:c>
      <x:c r="G1727" s="42" t="n">
        <x:f>$B$11</x:f>
        <x:v>100.53096491487338</x:v>
      </x:c>
      <x:c r="I1727" t="n">
        <x:f>A1727</x:f>
        <x:v>1710</x:v>
      </x:c>
      <x:c r="J1727" t="n">
        <x:f>F1727</x:f>
        <x:v>100.8280701754386</x:v>
      </x:c>
      <x:c r="K1727" t="n">
        <x:f>G1727</x:f>
        <x:v>100.53096491487338</x:v>
      </x:c>
    </x:row>
    <x:row r="1728">
      <x:c r="A1728" t="n">
        <x:v>1711</x:v>
      </x:c>
      <x:c r="B1728" s="40" t="n">
        <x:v>1.1511714025554909</x:v>
      </x:c>
      <x:c r="C1728" s="40" t="n">
        <x:v>2.205587193439155</x:v>
      </x:c>
      <x:c r="D1728" s="40" t="n">
        <x:v>2.178139225659666</x:v>
      </x:c>
      <x:c r="E1728" t="n">
        <x:f>--((B1728^2/$B$4^2+C1728^2/$B$5^2+D1728^2/$B$6^2)&lt;=1)</x:f>
        <x:v>0</x:v>
      </x:c>
      <x:c r="F1728" s="42" t="n">
        <x:f>$B$8*SUM($E$18:E1728)/A1728</x:f>
        <x:v>100.76914085330216</x:v>
      </x:c>
      <x:c r="G1728" s="42" t="n">
        <x:f>$B$11</x:f>
        <x:v>100.53096491487338</x:v>
      </x:c>
      <x:c r="I1728" t="n">
        <x:f>A1728</x:f>
        <x:v>1711</x:v>
      </x:c>
      <x:c r="J1728" t="n">
        <x:f>F1728</x:f>
        <x:v>100.76914085330216</x:v>
      </x:c>
      <x:c r="K1728" t="n">
        <x:f>G1728</x:f>
        <x:v>100.53096491487338</x:v>
      </x:c>
    </x:row>
    <x:row r="1729">
      <x:c r="A1729" t="n">
        <x:v>1712</x:v>
      </x:c>
      <x:c r="B1729" s="40" t="n">
        <x:v>-0.4688673488789772</x:v>
      </x:c>
      <x:c r="C1729" s="40" t="n">
        <x:v>1.5502336595912576</x:v>
      </x:c>
      <x:c r="D1729" s="40" t="n">
        <x:v>0.40392463819961666</x:v>
      </x:c>
      <x:c r="E1729" t="n">
        <x:f>--((B1729^2/$B$4^2+C1729^2/$B$5^2+D1729^2/$B$6^2)&lt;=1)</x:f>
        <x:v>1</x:v>
      </x:c>
      <x:c r="F1729" s="42" t="n">
        <x:f>$B$8*SUM($E$18:E1729)/A1729</x:f>
        <x:v>100.82242990654206</x:v>
      </x:c>
      <x:c r="G1729" s="42" t="n">
        <x:f>$B$11</x:f>
        <x:v>100.53096491487338</x:v>
      </x:c>
      <x:c r="I1729" t="n">
        <x:f>A1729</x:f>
        <x:v>1712</x:v>
      </x:c>
      <x:c r="J1729" t="n">
        <x:f>F1729</x:f>
        <x:v>100.82242990654206</x:v>
      </x:c>
      <x:c r="K1729" t="n">
        <x:f>G1729</x:f>
        <x:v>100.53096491487338</x:v>
      </x:c>
    </x:row>
    <x:row r="1730">
      <x:c r="A1730" t="n">
        <x:v>1713</x:v>
      </x:c>
      <x:c r="B1730" s="40" t="n">
        <x:v>1.919914159560633</x:v>
      </x:c>
      <x:c r="C1730" s="40" t="n">
        <x:v>2.9534832438794947</x:v>
      </x:c>
      <x:c r="D1730" s="40" t="n">
        <x:v>3.8640439926095063</x:v>
      </x:c>
      <x:c r="E1730" t="n">
        <x:f>--((B1730^2/$B$4^2+C1730^2/$B$5^2+D1730^2/$B$6^2)&lt;=1)</x:f>
        <x:v>0</x:v>
      </x:c>
      <x:c r="F1730" s="42" t="n">
        <x:f>$B$8*SUM($E$18:E1730)/A1730</x:f>
        <x:v>100.76357267950964</x:v>
      </x:c>
      <x:c r="G1730" s="42" t="n">
        <x:f>$B$11</x:f>
        <x:v>100.53096491487338</x:v>
      </x:c>
      <x:c r="I1730" t="n">
        <x:f>A1730</x:f>
        <x:v>1713</x:v>
      </x:c>
      <x:c r="J1730" t="n">
        <x:f>F1730</x:f>
        <x:v>100.76357267950964</x:v>
      </x:c>
      <x:c r="K1730" t="n">
        <x:f>G1730</x:f>
        <x:v>100.53096491487338</x:v>
      </x:c>
    </x:row>
    <x:row r="1731">
      <x:c r="A1731" t="n">
        <x:v>1714</x:v>
      </x:c>
      <x:c r="B1731" s="40" t="n">
        <x:v>1.53411934569483</x:v>
      </x:c>
      <x:c r="C1731" s="40" t="n">
        <x:v>1.5261664123898981</x:v>
      </x:c>
      <x:c r="D1731" s="40" t="n">
        <x:v>1.4883800371803861</x:v>
      </x:c>
      <x:c r="E1731" t="n">
        <x:f>--((B1731^2/$B$4^2+C1731^2/$B$5^2+D1731^2/$B$6^2)&lt;=1)</x:f>
        <x:v>1</x:v>
      </x:c>
      <x:c r="F1731" s="42" t="n">
        <x:f>$B$8*SUM($E$18:E1731)/A1731</x:f>
        <x:v>100.81680280046675</x:v>
      </x:c>
      <x:c r="G1731" s="42" t="n">
        <x:f>$B$11</x:f>
        <x:v>100.53096491487338</x:v>
      </x:c>
      <x:c r="I1731" t="n">
        <x:f>A1731</x:f>
        <x:v>1714</x:v>
      </x:c>
      <x:c r="J1731" t="n">
        <x:f>F1731</x:f>
        <x:v>100.81680280046675</x:v>
      </x:c>
      <x:c r="K1731" t="n">
        <x:f>G1731</x:f>
        <x:v>100.53096491487338</x:v>
      </x:c>
    </x:row>
    <x:row r="1732">
      <x:c r="A1732" t="n">
        <x:v>1715</x:v>
      </x:c>
      <x:c r="B1732" s="40" t="n">
        <x:v>-0.7947185693495387</x:v>
      </x:c>
      <x:c r="C1732" s="40" t="n">
        <x:v>2.113075170044703</x:v>
      </x:c>
      <x:c r="D1732" s="40" t="n">
        <x:v>-3.1668558984237976</x:v>
      </x:c>
      <x:c r="E1732" t="n">
        <x:f>--((B1732^2/$B$4^2+C1732^2/$B$5^2+D1732^2/$B$6^2)&lt;=1)</x:f>
        <x:v>0</x:v>
      </x:c>
      <x:c r="F1732" s="42" t="n">
        <x:f>$B$8*SUM($E$18:E1732)/A1732</x:f>
        <x:v>100.75801749271137</x:v>
      </x:c>
      <x:c r="G1732" s="42" t="n">
        <x:f>$B$11</x:f>
        <x:v>100.53096491487338</x:v>
      </x:c>
      <x:c r="I1732" t="n">
        <x:f>A1732</x:f>
        <x:v>1715</x:v>
      </x:c>
      <x:c r="J1732" t="n">
        <x:f>F1732</x:f>
        <x:v>100.75801749271137</x:v>
      </x:c>
      <x:c r="K1732" t="n">
        <x:f>G1732</x:f>
        <x:v>100.53096491487338</x:v>
      </x:c>
    </x:row>
    <x:row r="1733">
      <x:c r="A1733" t="n">
        <x:v>1716</x:v>
      </x:c>
      <x:c r="B1733" s="40" t="n">
        <x:v>1.0807724541514205</x:v>
      </x:c>
      <x:c r="C1733" s="40" t="n">
        <x:v>1.9941981507900053</x:v>
      </x:c>
      <x:c r="D1733" s="40" t="n">
        <x:v>-2.4136159040003724</x:v>
      </x:c>
      <x:c r="E1733" t="n">
        <x:f>--((B1733^2/$B$4^2+C1733^2/$B$5^2+D1733^2/$B$6^2)&lt;=1)</x:f>
        <x:v>0</x:v>
      </x:c>
      <x:c r="F1733" s="42" t="n">
        <x:f>$B$8*SUM($E$18:E1733)/A1733</x:f>
        <x:v>100.6993006993007</x:v>
      </x:c>
      <x:c r="G1733" s="42" t="n">
        <x:f>$B$11</x:f>
        <x:v>100.53096491487338</x:v>
      </x:c>
      <x:c r="I1733" t="n">
        <x:f>A1733</x:f>
        <x:v>1716</x:v>
      </x:c>
      <x:c r="J1733" t="n">
        <x:f>F1733</x:f>
        <x:v>100.6993006993007</x:v>
      </x:c>
      <x:c r="K1733" t="n">
        <x:f>G1733</x:f>
        <x:v>100.53096491487338</x:v>
      </x:c>
    </x:row>
    <x:row r="1734">
      <x:c r="A1734" t="n">
        <x:v>1717</x:v>
      </x:c>
      <x:c r="B1734" s="40" t="n">
        <x:v>-0.6525738246669253</x:v>
      </x:c>
      <x:c r="C1734" s="40" t="n">
        <x:v>1.38159457368028</x:v>
      </x:c>
      <x:c r="D1734" s="40" t="n">
        <x:v>2.609964969595696</x:v>
      </x:c>
      <x:c r="E1734" t="n">
        <x:f>--((B1734^2/$B$4^2+C1734^2/$B$5^2+D1734^2/$B$6^2)&lt;=1)</x:f>
        <x:v>1</x:v>
      </x:c>
      <x:c r="F1734" s="42" t="n">
        <x:f>$B$8*SUM($E$18:E1734)/A1734</x:f>
        <x:v>100.75247524752476</x:v>
      </x:c>
      <x:c r="G1734" s="42" t="n">
        <x:f>$B$11</x:f>
        <x:v>100.53096491487338</x:v>
      </x:c>
      <x:c r="I1734" t="n">
        <x:f>A1734</x:f>
        <x:v>1717</x:v>
      </x:c>
      <x:c r="J1734" t="n">
        <x:f>F1734</x:f>
        <x:v>100.75247524752476</x:v>
      </x:c>
      <x:c r="K1734" t="n">
        <x:f>G1734</x:f>
        <x:v>100.53096491487338</x:v>
      </x:c>
    </x:row>
    <x:row r="1735">
      <x:c r="A1735" t="n">
        <x:v>1718</x:v>
      </x:c>
      <x:c r="B1735" s="40" t="n">
        <x:v>0.4254513608621404</x:v>
      </x:c>
      <x:c r="C1735" s="40" t="n">
        <x:v>1.8108108999353432</x:v>
      </x:c>
      <x:c r="D1735" s="40" t="n">
        <x:v>3.9740533851544004</x:v>
      </x:c>
      <x:c r="E1735" t="n">
        <x:f>--((B1735^2/$B$4^2+C1735^2/$B$5^2+D1735^2/$B$6^2)&lt;=1)</x:f>
        <x:v>0</x:v>
      </x:c>
      <x:c r="F1735" s="42" t="n">
        <x:f>$B$8*SUM($E$18:E1735)/A1735</x:f>
        <x:v>100.69383003492433</x:v>
      </x:c>
      <x:c r="G1735" s="42" t="n">
        <x:f>$B$11</x:f>
        <x:v>100.53096491487338</x:v>
      </x:c>
      <x:c r="I1735" t="n">
        <x:f>A1735</x:f>
        <x:v>1718</x:v>
      </x:c>
      <x:c r="J1735" t="n">
        <x:f>F1735</x:f>
        <x:v>100.69383003492433</x:v>
      </x:c>
      <x:c r="K1735" t="n">
        <x:f>G1735</x:f>
        <x:v>100.53096491487338</x:v>
      </x:c>
    </x:row>
    <x:row r="1736">
      <x:c r="A1736" t="n">
        <x:v>1719</x:v>
      </x:c>
      <x:c r="B1736" s="40" t="n">
        <x:v>0.6339230735731678</x:v>
      </x:c>
      <x:c r="C1736" s="40" t="n">
        <x:v>2.6080993672044617</x:v>
      </x:c>
      <x:c r="D1736" s="40" t="n">
        <x:v>-3.2132858650208824</x:v>
      </x:c>
      <x:c r="E1736" t="n">
        <x:f>--((B1736^2/$B$4^2+C1736^2/$B$5^2+D1736^2/$B$6^2)&lt;=1)</x:f>
        <x:v>0</x:v>
      </x:c>
      <x:c r="F1736" s="42" t="n">
        <x:f>$B$8*SUM($E$18:E1736)/A1736</x:f>
        <x:v>100.63525305410123</x:v>
      </x:c>
      <x:c r="G1736" s="42" t="n">
        <x:f>$B$11</x:f>
        <x:v>100.53096491487338</x:v>
      </x:c>
      <x:c r="I1736" t="n">
        <x:f>A1736</x:f>
        <x:v>1719</x:v>
      </x:c>
      <x:c r="J1736" t="n">
        <x:f>F1736</x:f>
        <x:v>100.63525305410123</x:v>
      </x:c>
      <x:c r="K1736" t="n">
        <x:f>G1736</x:f>
        <x:v>100.53096491487338</x:v>
      </x:c>
    </x:row>
    <x:row r="1737">
      <x:c r="A1737" t="n">
        <x:v>1720</x:v>
      </x:c>
      <x:c r="B1737" s="40" t="n">
        <x:v>1.3183816363428198</x:v>
      </x:c>
      <x:c r="C1737" s="40" t="n">
        <x:v>-0.14875572884224475</x:v>
      </x:c>
      <x:c r="D1737" s="40" t="n">
        <x:v>-3.197365457239613</x:v>
      </x:c>
      <x:c r="E1737" t="n">
        <x:f>--((B1737^2/$B$4^2+C1737^2/$B$5^2+D1737^2/$B$6^2)&lt;=1)</x:f>
        <x:v>0</x:v>
      </x:c>
      <x:c r="F1737" s="42" t="n">
        <x:f>$B$8*SUM($E$18:E1737)/A1737</x:f>
        <x:v>100.57674418604651</x:v>
      </x:c>
      <x:c r="G1737" s="42" t="n">
        <x:f>$B$11</x:f>
        <x:v>100.53096491487338</x:v>
      </x:c>
      <x:c r="I1737" t="n">
        <x:f>A1737</x:f>
        <x:v>1720</x:v>
      </x:c>
      <x:c r="J1737" t="n">
        <x:f>F1737</x:f>
        <x:v>100.57674418604651</x:v>
      </x:c>
      <x:c r="K1737" t="n">
        <x:f>G1737</x:f>
        <x:v>100.53096491487338</x:v>
      </x:c>
    </x:row>
    <x:row r="1738">
      <x:c r="A1738" t="n">
        <x:v>1721</x:v>
      </x:c>
      <x:c r="B1738" s="40" t="n">
        <x:v>-1.9021966364719405</x:v>
      </x:c>
      <x:c r="C1738" s="40" t="n">
        <x:v>0.8297221434752613</x:v>
      </x:c>
      <x:c r="D1738" s="40" t="n">
        <x:v>2.1070964331462676</x:v>
      </x:c>
      <x:c r="E1738" t="n">
        <x:f>--((B1738^2/$B$4^2+C1738^2/$B$5^2+D1738^2/$B$6^2)&lt;=1)</x:f>
        <x:v>0</x:v>
      </x:c>
      <x:c r="F1738" s="42" t="n">
        <x:f>$B$8*SUM($E$18:E1738)/A1738</x:f>
        <x:v>100.5183033120279</x:v>
      </x:c>
      <x:c r="G1738" s="42" t="n">
        <x:f>$B$11</x:f>
        <x:v>100.53096491487338</x:v>
      </x:c>
      <x:c r="I1738" t="n">
        <x:f>A1738</x:f>
        <x:v>1721</x:v>
      </x:c>
      <x:c r="J1738" t="n">
        <x:f>F1738</x:f>
        <x:v>100.5183033120279</x:v>
      </x:c>
      <x:c r="K1738" t="n">
        <x:f>G1738</x:f>
        <x:v>100.53096491487338</x:v>
      </x:c>
    </x:row>
    <x:row r="1739">
      <x:c r="A1739" t="n">
        <x:v>1722</x:v>
      </x:c>
      <x:c r="B1739" s="40" t="n">
        <x:v>-1.1193684353908013</x:v>
      </x:c>
      <x:c r="C1739" s="40" t="n">
        <x:v>0.08963832943663608</x:v>
      </x:c>
      <x:c r="D1739" s="40" t="n">
        <x:v>-3.4851657462676835</x:v>
      </x:c>
      <x:c r="E1739" t="n">
        <x:f>--((B1739^2/$B$4^2+C1739^2/$B$5^2+D1739^2/$B$6^2)&lt;=1)</x:f>
        <x:v>0</x:v>
      </x:c>
      <x:c r="F1739" s="42" t="n">
        <x:f>$B$8*SUM($E$18:E1739)/A1739</x:f>
        <x:v>100.45993031358886</x:v>
      </x:c>
      <x:c r="G1739" s="42" t="n">
        <x:f>$B$11</x:f>
        <x:v>100.53096491487338</x:v>
      </x:c>
      <x:c r="I1739" t="n">
        <x:f>A1739</x:f>
        <x:v>1722</x:v>
      </x:c>
      <x:c r="J1739" t="n">
        <x:f>F1739</x:f>
        <x:v>100.45993031358886</x:v>
      </x:c>
      <x:c r="K1739" t="n">
        <x:f>G1739</x:f>
        <x:v>100.53096491487338</x:v>
      </x:c>
    </x:row>
    <x:row r="1740">
      <x:c r="A1740" t="n">
        <x:v>1723</x:v>
      </x:c>
      <x:c r="B1740" s="40" t="n">
        <x:v>0.8476712423543149</x:v>
      </x:c>
      <x:c r="C1740" s="40" t="n">
        <x:v>2.1062219231524377</x:v>
      </x:c>
      <x:c r="D1740" s="40" t="n">
        <x:v>-3.4515190714812203</x:v>
      </x:c>
      <x:c r="E1740" t="n">
        <x:f>--((B1740^2/$B$4^2+C1740^2/$B$5^2+D1740^2/$B$6^2)&lt;=1)</x:f>
        <x:v>0</x:v>
      </x:c>
      <x:c r="F1740" s="42" t="n">
        <x:f>$B$8*SUM($E$18:E1740)/A1740</x:f>
        <x:v>100.40162507254789</x:v>
      </x:c>
      <x:c r="G1740" s="42" t="n">
        <x:f>$B$11</x:f>
        <x:v>100.53096491487338</x:v>
      </x:c>
      <x:c r="I1740" t="n">
        <x:f>A1740</x:f>
        <x:v>1723</x:v>
      </x:c>
      <x:c r="J1740" t="n">
        <x:f>F1740</x:f>
        <x:v>100.40162507254789</x:v>
      </x:c>
      <x:c r="K1740" t="n">
        <x:f>G1740</x:f>
        <x:v>100.53096491487338</x:v>
      </x:c>
    </x:row>
    <x:row r="1741">
      <x:c r="A1741" t="n">
        <x:v>1724</x:v>
      </x:c>
      <x:c r="B1741" s="40" t="n">
        <x:v>0.2540929478781493</x:v>
      </x:c>
      <x:c r="C1741" s="40" t="n">
        <x:v>-0.4118423827709563</x:v>
      </x:c>
      <x:c r="D1741" s="40" t="n">
        <x:v>3.1105318640773003</x:v>
      </x:c>
      <x:c r="E1741" t="n">
        <x:f>--((B1741^2/$B$4^2+C1741^2/$B$5^2+D1741^2/$B$6^2)&lt;=1)</x:f>
        <x:v>1</x:v>
      </x:c>
      <x:c r="F1741" s="42" t="n">
        <x:f>$B$8*SUM($E$18:E1741)/A1741</x:f>
        <x:v>100.45475638051045</x:v>
      </x:c>
      <x:c r="G1741" s="42" t="n">
        <x:f>$B$11</x:f>
        <x:v>100.53096491487338</x:v>
      </x:c>
      <x:c r="I1741" t="n">
        <x:f>A1741</x:f>
        <x:v>1724</x:v>
      </x:c>
      <x:c r="J1741" t="n">
        <x:f>F1741</x:f>
        <x:v>100.45475638051045</x:v>
      </x:c>
      <x:c r="K1741" t="n">
        <x:f>G1741</x:f>
        <x:v>100.53096491487338</x:v>
      </x:c>
    </x:row>
    <x:row r="1742">
      <x:c r="A1742" t="n">
        <x:v>1725</x:v>
      </x:c>
      <x:c r="B1742" s="40" t="n">
        <x:v>-0.017579687195427685</x:v>
      </x:c>
      <x:c r="C1742" s="40" t="n">
        <x:v>1.918360626868397</x:v>
      </x:c>
      <x:c r="D1742" s="40" t="n">
        <x:v>2.4035984985476073</x:v>
      </x:c>
      <x:c r="E1742" t="n">
        <x:f>--((B1742^2/$B$4^2+C1742^2/$B$5^2+D1742^2/$B$6^2)&lt;=1)</x:f>
        <x:v>1</x:v>
      </x:c>
      <x:c r="F1742" s="42" t="n">
        <x:f>$B$8*SUM($E$18:E1742)/A1742</x:f>
        <x:v>100.50782608695653</x:v>
      </x:c>
      <x:c r="G1742" s="42" t="n">
        <x:f>$B$11</x:f>
        <x:v>100.53096491487338</x:v>
      </x:c>
      <x:c r="I1742" t="n">
        <x:f>A1742</x:f>
        <x:v>1725</x:v>
      </x:c>
      <x:c r="J1742" t="n">
        <x:f>F1742</x:f>
        <x:v>100.50782608695653</x:v>
      </x:c>
      <x:c r="K1742" t="n">
        <x:f>G1742</x:f>
        <x:v>100.53096491487338</x:v>
      </x:c>
    </x:row>
    <x:row r="1743">
      <x:c r="A1743" t="n">
        <x:v>1726</x:v>
      </x:c>
      <x:c r="B1743" s="40" t="n">
        <x:v>-1.7791601731680782</x:v>
      </x:c>
      <x:c r="C1743" s="40" t="n">
        <x:v>1.7961274503428326</x:v>
      </x:c>
      <x:c r="D1743" s="40" t="n">
        <x:v>3.052505598915058</x:v>
      </x:c>
      <x:c r="E1743" t="n">
        <x:f>--((B1743^2/$B$4^2+C1743^2/$B$5^2+D1743^2/$B$6^2)&lt;=1)</x:f>
        <x:v>0</x:v>
      </x:c>
      <x:c r="F1743" s="42" t="n">
        <x:f>$B$8*SUM($E$18:E1743)/A1743</x:f>
        <x:v>100.44959443800695</x:v>
      </x:c>
      <x:c r="G1743" s="42" t="n">
        <x:f>$B$11</x:f>
        <x:v>100.53096491487338</x:v>
      </x:c>
      <x:c r="I1743" t="n">
        <x:f>A1743</x:f>
        <x:v>1726</x:v>
      </x:c>
      <x:c r="J1743" t="n">
        <x:f>F1743</x:f>
        <x:v>100.44959443800695</x:v>
      </x:c>
      <x:c r="K1743" t="n">
        <x:f>G1743</x:f>
        <x:v>100.53096491487338</x:v>
      </x:c>
    </x:row>
    <x:row r="1744">
      <x:c r="A1744" t="n">
        <x:v>1727</x:v>
      </x:c>
      <x:c r="B1744" s="40" t="n">
        <x:v>-0.6068964661541751</x:v>
      </x:c>
      <x:c r="C1744" s="40" t="n">
        <x:v>2.771316608211543</x:v>
      </x:c>
      <x:c r="D1744" s="40" t="n">
        <x:v>1.2041072170620293</x:v>
      </x:c>
      <x:c r="E1744" t="n">
        <x:f>--((B1744^2/$B$4^2+C1744^2/$B$5^2+D1744^2/$B$6^2)&lt;=1)</x:f>
        <x:v>0</x:v>
      </x:c>
      <x:c r="F1744" s="42" t="n">
        <x:f>$B$8*SUM($E$18:E1744)/A1744</x:f>
        <x:v>100.39143022582513</x:v>
      </x:c>
      <x:c r="G1744" s="42" t="n">
        <x:f>$B$11</x:f>
        <x:v>100.53096491487338</x:v>
      </x:c>
      <x:c r="I1744" t="n">
        <x:f>A1744</x:f>
        <x:v>1727</x:v>
      </x:c>
      <x:c r="J1744" t="n">
        <x:f>F1744</x:f>
        <x:v>100.39143022582513</x:v>
      </x:c>
      <x:c r="K1744" t="n">
        <x:f>G1744</x:f>
        <x:v>100.53096491487338</x:v>
      </x:c>
    </x:row>
    <x:row r="1745">
      <x:c r="A1745" t="n">
        <x:v>1728</x:v>
      </x:c>
      <x:c r="B1745" s="40" t="n">
        <x:v>1.4604009276425933</x:v>
      </x:c>
      <x:c r="C1745" s="40" t="n">
        <x:v>-1.5064758044554873</x:v>
      </x:c>
      <x:c r="D1745" s="40" t="n">
        <x:v>-1.4197086244891324</x:v>
      </x:c>
      <x:c r="E1745" t="n">
        <x:f>--((B1745^2/$B$4^2+C1745^2/$B$5^2+D1745^2/$B$6^2)&lt;=1)</x:f>
        <x:v>1</x:v>
      </x:c>
      <x:c r="F1745" s="42" t="n">
        <x:f>$B$8*SUM($E$18:E1745)/A1745</x:f>
        <x:v>100.44444444444444</x:v>
      </x:c>
      <x:c r="G1745" s="42" t="n">
        <x:f>$B$11</x:f>
        <x:v>100.53096491487338</x:v>
      </x:c>
      <x:c r="I1745" t="n">
        <x:f>A1745</x:f>
        <x:v>1728</x:v>
      </x:c>
      <x:c r="J1745" t="n">
        <x:f>F1745</x:f>
        <x:v>100.44444444444444</x:v>
      </x:c>
      <x:c r="K1745" t="n">
        <x:f>G1745</x:f>
        <x:v>100.53096491487338</x:v>
      </x:c>
    </x:row>
    <x:row r="1746">
      <x:c r="A1746" t="n">
        <x:v>1729</x:v>
      </x:c>
      <x:c r="B1746" s="40" t="n">
        <x:v>-1.8764286518558713</x:v>
      </x:c>
      <x:c r="C1746" s="40" t="n">
        <x:v>1.2577170593154738</x:v>
      </x:c>
      <x:c r="D1746" s="40" t="n">
        <x:v>3.250505522662329</x:v>
      </x:c>
      <x:c r="E1746" t="n">
        <x:f>--((B1746^2/$B$4^2+C1746^2/$B$5^2+D1746^2/$B$6^2)&lt;=1)</x:f>
        <x:v>0</x:v>
      </x:c>
      <x:c r="F1746" s="42" t="n">
        <x:f>$B$8*SUM($E$18:E1746)/A1746</x:f>
        <x:v>100.38635049161365</x:v>
      </x:c>
      <x:c r="G1746" s="42" t="n">
        <x:f>$B$11</x:f>
        <x:v>100.53096491487338</x:v>
      </x:c>
      <x:c r="I1746" t="n">
        <x:f>A1746</x:f>
        <x:v>1729</x:v>
      </x:c>
      <x:c r="J1746" t="n">
        <x:f>F1746</x:f>
        <x:v>100.38635049161365</x:v>
      </x:c>
      <x:c r="K1746" t="n">
        <x:f>G1746</x:f>
        <x:v>100.53096491487338</x:v>
      </x:c>
    </x:row>
    <x:row r="1747">
      <x:c r="A1747" t="n">
        <x:v>1730</x:v>
      </x:c>
      <x:c r="B1747" s="40" t="n">
        <x:v>-0.4142550585407516</x:v>
      </x:c>
      <x:c r="C1747" s="40" t="n">
        <x:v>1.5415169858849174</x:v>
      </x:c>
      <x:c r="D1747" s="40" t="n">
        <x:v>-1.6102118002045458</x:v>
      </x:c>
      <x:c r="E1747" t="n">
        <x:f>--((B1747^2/$B$4^2+C1747^2/$B$5^2+D1747^2/$B$6^2)&lt;=1)</x:f>
        <x:v>1</x:v>
      </x:c>
      <x:c r="F1747" s="42" t="n">
        <x:f>$B$8*SUM($E$18:E1747)/A1747</x:f>
        <x:v>100.4393063583815</x:v>
      </x:c>
      <x:c r="G1747" s="42" t="n">
        <x:f>$B$11</x:f>
        <x:v>100.53096491487338</x:v>
      </x:c>
      <x:c r="I1747" t="n">
        <x:f>A1747</x:f>
        <x:v>1730</x:v>
      </x:c>
      <x:c r="J1747" t="n">
        <x:f>F1747</x:f>
        <x:v>100.4393063583815</x:v>
      </x:c>
      <x:c r="K1747" t="n">
        <x:f>G1747</x:f>
        <x:v>100.53096491487338</x:v>
      </x:c>
    </x:row>
    <x:row r="1748">
      <x:c r="A1748" t="n">
        <x:v>1731</x:v>
      </x:c>
      <x:c r="B1748" s="40" t="n">
        <x:v>1.7805931506830905</x:v>
      </x:c>
      <x:c r="C1748" s="40" t="n">
        <x:v>2.617670956827994</x:v>
      </x:c>
      <x:c r="D1748" s="40" t="n">
        <x:v>-1.7959132843612053</x:v>
      </x:c>
      <x:c r="E1748" t="n">
        <x:f>--((B1748^2/$B$4^2+C1748^2/$B$5^2+D1748^2/$B$6^2)&lt;=1)</x:f>
        <x:v>0</x:v>
      </x:c>
      <x:c r="F1748" s="42" t="n">
        <x:f>$B$8*SUM($E$18:E1748)/A1748</x:f>
        <x:v>100.38128249566725</x:v>
      </x:c>
      <x:c r="G1748" s="42" t="n">
        <x:f>$B$11</x:f>
        <x:v>100.53096491487338</x:v>
      </x:c>
      <x:c r="I1748" t="n">
        <x:f>A1748</x:f>
        <x:v>1731</x:v>
      </x:c>
      <x:c r="J1748" t="n">
        <x:f>F1748</x:f>
        <x:v>100.38128249566725</x:v>
      </x:c>
      <x:c r="K1748" t="n">
        <x:f>G1748</x:f>
        <x:v>100.53096491487338</x:v>
      </x:c>
    </x:row>
    <x:row r="1749">
      <x:c r="A1749" t="n">
        <x:v>1732</x:v>
      </x:c>
      <x:c r="B1749" s="40" t="n">
        <x:v>-1.7964770618199415</x:v>
      </x:c>
      <x:c r="C1749" s="40" t="n">
        <x:v>2.441414508333186</x:v>
      </x:c>
      <x:c r="D1749" s="40" t="n">
        <x:v>3.09120335354217</x:v>
      </x:c>
      <x:c r="E1749" t="n">
        <x:f>--((B1749^2/$B$4^2+C1749^2/$B$5^2+D1749^2/$B$6^2)&lt;=1)</x:f>
        <x:v>0</x:v>
      </x:c>
      <x:c r="F1749" s="42" t="n">
        <x:f>$B$8*SUM($E$18:E1749)/A1749</x:f>
        <x:v>100.32332563510393</x:v>
      </x:c>
      <x:c r="G1749" s="42" t="n">
        <x:f>$B$11</x:f>
        <x:v>100.53096491487338</x:v>
      </x:c>
      <x:c r="I1749" t="n">
        <x:f>A1749</x:f>
        <x:v>1732</x:v>
      </x:c>
      <x:c r="J1749" t="n">
        <x:f>F1749</x:f>
        <x:v>100.32332563510393</x:v>
      </x:c>
      <x:c r="K1749" t="n">
        <x:f>G1749</x:f>
        <x:v>100.53096491487338</x:v>
      </x:c>
    </x:row>
    <x:row r="1750">
      <x:c r="A1750" t="n">
        <x:v>1733</x:v>
      </x:c>
      <x:c r="B1750" s="40" t="n">
        <x:v>0.9988230041785471</x:v>
      </x:c>
      <x:c r="C1750" s="40" t="n">
        <x:v>0.4411551702506902</x:v>
      </x:c>
      <x:c r="D1750" s="40" t="n">
        <x:v>1.446580739945663</x:v>
      </x:c>
      <x:c r="E1750" t="n">
        <x:f>--((B1750^2/$B$4^2+C1750^2/$B$5^2+D1750^2/$B$6^2)&lt;=1)</x:f>
        <x:v>1</x:v>
      </x:c>
      <x:c r="F1750" s="42" t="n">
        <x:f>$B$8*SUM($E$18:E1750)/A1750</x:f>
        <x:v>100.37622619734564</x:v>
      </x:c>
      <x:c r="G1750" s="42" t="n">
        <x:f>$B$11</x:f>
        <x:v>100.53096491487338</x:v>
      </x:c>
      <x:c r="I1750" t="n">
        <x:f>A1750</x:f>
        <x:v>1733</x:v>
      </x:c>
      <x:c r="J1750" t="n">
        <x:f>F1750</x:f>
        <x:v>100.37622619734564</x:v>
      </x:c>
      <x:c r="K1750" t="n">
        <x:f>G1750</x:f>
        <x:v>100.53096491487338</x:v>
      </x:c>
    </x:row>
    <x:row r="1751">
      <x:c r="A1751" t="n">
        <x:v>1734</x:v>
      </x:c>
      <x:c r="B1751" s="40" t="n">
        <x:v>-0.9695495352718542</x:v>
      </x:c>
      <x:c r="C1751" s="40" t="n">
        <x:v>0.47491911518387875</x:v>
      </x:c>
      <x:c r="D1751" s="40" t="n">
        <x:v>3.165376677673942</x:v>
      </x:c>
      <x:c r="E1751" t="n">
        <x:f>--((B1751^2/$B$4^2+C1751^2/$B$5^2+D1751^2/$B$6^2)&lt;=1)</x:f>
        <x:v>1</x:v>
      </x:c>
      <x:c r="F1751" s="42" t="n">
        <x:f>$B$8*SUM($E$18:E1751)/A1751</x:f>
        <x:v>100.42906574394463</x:v>
      </x:c>
      <x:c r="G1751" s="42" t="n">
        <x:f>$B$11</x:f>
        <x:v>100.53096491487338</x:v>
      </x:c>
      <x:c r="I1751" t="n">
        <x:f>A1751</x:f>
        <x:v>1734</x:v>
      </x:c>
      <x:c r="J1751" t="n">
        <x:f>F1751</x:f>
        <x:v>100.42906574394463</x:v>
      </x:c>
      <x:c r="K1751" t="n">
        <x:f>G1751</x:f>
        <x:v>100.53096491487338</x:v>
      </x:c>
    </x:row>
    <x:row r="1752">
      <x:c r="A1752" t="n">
        <x:v>1735</x:v>
      </x:c>
      <x:c r="B1752" s="40" t="n">
        <x:v>1.4664353286146898</x:v>
      </x:c>
      <x:c r="C1752" s="40" t="n">
        <x:v>-1.9962526295746237</x:v>
      </x:c>
      <x:c r="D1752" s="40" t="n">
        <x:v>-2.752789685968221</x:v>
      </x:c>
      <x:c r="E1752" t="n">
        <x:f>--((B1752^2/$B$4^2+C1752^2/$B$5^2+D1752^2/$B$6^2)&lt;=1)</x:f>
        <x:v>0</x:v>
      </x:c>
      <x:c r="F1752" s="42" t="n">
        <x:f>$B$8*SUM($E$18:E1752)/A1752</x:f>
        <x:v>100.37118155619596</x:v>
      </x:c>
      <x:c r="G1752" s="42" t="n">
        <x:f>$B$11</x:f>
        <x:v>100.53096491487338</x:v>
      </x:c>
      <x:c r="I1752" t="n">
        <x:f>A1752</x:f>
        <x:v>1735</x:v>
      </x:c>
      <x:c r="J1752" t="n">
        <x:f>F1752</x:f>
        <x:v>100.37118155619596</x:v>
      </x:c>
      <x:c r="K1752" t="n">
        <x:f>G1752</x:f>
        <x:v>100.53096491487338</x:v>
      </x:c>
    </x:row>
    <x:row r="1753">
      <x:c r="A1753" t="n">
        <x:v>1736</x:v>
      </x:c>
      <x:c r="B1753" s="40" t="n">
        <x:v>0.9842719158374602</x:v>
      </x:c>
      <x:c r="C1753" s="40" t="n">
        <x:v>2.8497762145426266</x:v>
      </x:c>
      <x:c r="D1753" s="40" t="n">
        <x:v>3.618374382125051</x:v>
      </x:c>
      <x:c r="E1753" t="n">
        <x:f>--((B1753^2/$B$4^2+C1753^2/$B$5^2+D1753^2/$B$6^2)&lt;=1)</x:f>
        <x:v>0</x:v>
      </x:c>
      <x:c r="F1753" s="42" t="n">
        <x:f>$B$8*SUM($E$18:E1753)/A1753</x:f>
        <x:v>100.31336405529954</x:v>
      </x:c>
      <x:c r="G1753" s="42" t="n">
        <x:f>$B$11</x:f>
        <x:v>100.53096491487338</x:v>
      </x:c>
      <x:c r="I1753" t="n">
        <x:f>A1753</x:f>
        <x:v>1736</x:v>
      </x:c>
      <x:c r="J1753" t="n">
        <x:f>F1753</x:f>
        <x:v>100.31336405529954</x:v>
      </x:c>
      <x:c r="K1753" t="n">
        <x:f>G1753</x:f>
        <x:v>100.53096491487338</x:v>
      </x:c>
    </x:row>
    <x:row r="1754">
      <x:c r="A1754" t="n">
        <x:v>1737</x:v>
      </x:c>
      <x:c r="B1754" s="40" t="n">
        <x:v>1.5428206834334515</x:v>
      </x:c>
      <x:c r="C1754" s="40" t="n">
        <x:v>-1.469895223779439</x:v>
      </x:c>
      <x:c r="D1754" s="40" t="n">
        <x:v>0.9019372536026165</x:v>
      </x:c>
      <x:c r="E1754" t="n">
        <x:f>--((B1754^2/$B$4^2+C1754^2/$B$5^2+D1754^2/$B$6^2)&lt;=1)</x:f>
        <x:v>1</x:v>
      </x:c>
      <x:c r="F1754" s="42" t="n">
        <x:f>$B$8*SUM($E$18:E1754)/A1754</x:f>
        <x:v>100.36614853195164</x:v>
      </x:c>
      <x:c r="G1754" s="42" t="n">
        <x:f>$B$11</x:f>
        <x:v>100.53096491487338</x:v>
      </x:c>
      <x:c r="I1754" t="n">
        <x:f>A1754</x:f>
        <x:v>1737</x:v>
      </x:c>
      <x:c r="J1754" t="n">
        <x:f>F1754</x:f>
        <x:v>100.36614853195164</x:v>
      </x:c>
      <x:c r="K1754" t="n">
        <x:f>G1754</x:f>
        <x:v>100.53096491487338</x:v>
      </x:c>
    </x:row>
    <x:row r="1755">
      <x:c r="A1755" t="n">
        <x:v>1738</x:v>
      </x:c>
      <x:c r="B1755" s="40" t="n">
        <x:v>-1.136300838274936</x:v>
      </x:c>
      <x:c r="C1755" s="40" t="n">
        <x:v>1.3484173107077524</x:v>
      </x:c>
      <x:c r="D1755" s="40" t="n">
        <x:v>1.344280352747421</x:v>
      </x:c>
      <x:c r="E1755" t="n">
        <x:f>--((B1755^2/$B$4^2+C1755^2/$B$5^2+D1755^2/$B$6^2)&lt;=1)</x:f>
        <x:v>1</x:v>
      </x:c>
      <x:c r="F1755" s="42" t="n">
        <x:f>$B$8*SUM($E$18:E1755)/A1755</x:f>
        <x:v>100.41887226697354</x:v>
      </x:c>
      <x:c r="G1755" s="42" t="n">
        <x:f>$B$11</x:f>
        <x:v>100.53096491487338</x:v>
      </x:c>
      <x:c r="I1755" t="n">
        <x:f>A1755</x:f>
        <x:v>1738</x:v>
      </x:c>
      <x:c r="J1755" t="n">
        <x:f>F1755</x:f>
        <x:v>100.41887226697354</x:v>
      </x:c>
      <x:c r="K1755" t="n">
        <x:f>G1755</x:f>
        <x:v>100.53096491487338</x:v>
      </x:c>
    </x:row>
    <x:row r="1756">
      <x:c r="A1756" t="n">
        <x:v>1739</x:v>
      </x:c>
      <x:c r="B1756" s="40" t="n">
        <x:v>0.12517101927441976</x:v>
      </x:c>
      <x:c r="C1756" s="40" t="n">
        <x:v>1.7747700288318748</x:v>
      </x:c>
      <x:c r="D1756" s="40" t="n">
        <x:v>3.3124846426116124</x:v>
      </x:c>
      <x:c r="E1756" t="n">
        <x:f>--((B1756^2/$B$4^2+C1756^2/$B$5^2+D1756^2/$B$6^2)&lt;=1)</x:f>
        <x:v>0</x:v>
      </x:c>
      <x:c r="F1756" s="42" t="n">
        <x:f>$B$8*SUM($E$18:E1756)/A1756</x:f>
        <x:v>100.36112708453133</x:v>
      </x:c>
      <x:c r="G1756" s="42" t="n">
        <x:f>$B$11</x:f>
        <x:v>100.53096491487338</x:v>
      </x:c>
      <x:c r="I1756" t="n">
        <x:f>A1756</x:f>
        <x:v>1739</x:v>
      </x:c>
      <x:c r="J1756" t="n">
        <x:f>F1756</x:f>
        <x:v>100.36112708453133</x:v>
      </x:c>
      <x:c r="K1756" t="n">
        <x:f>G1756</x:f>
        <x:v>100.53096491487338</x:v>
      </x:c>
    </x:row>
    <x:row r="1757">
      <x:c r="A1757" t="n">
        <x:v>1740</x:v>
      </x:c>
      <x:c r="B1757" s="40" t="n">
        <x:v>1.117079774299203</x:v>
      </x:c>
      <x:c r="C1757" s="40" t="n">
        <x:v>-0.3527069723317138</x:v>
      </x:c>
      <x:c r="D1757" s="40" t="n">
        <x:v>-0.9539762024429708</x:v>
      </x:c>
      <x:c r="E1757" t="n">
        <x:f>--((B1757^2/$B$4^2+C1757^2/$B$5^2+D1757^2/$B$6^2)&lt;=1)</x:f>
        <x:v>1</x:v>
      </x:c>
      <x:c r="F1757" s="42" t="n">
        <x:f>$B$8*SUM($E$18:E1757)/A1757</x:f>
        <x:v>100.41379310344827</x:v>
      </x:c>
      <x:c r="G1757" s="42" t="n">
        <x:f>$B$11</x:f>
        <x:v>100.53096491487338</x:v>
      </x:c>
      <x:c r="I1757" t="n">
        <x:f>A1757</x:f>
        <x:v>1740</x:v>
      </x:c>
      <x:c r="J1757" t="n">
        <x:f>F1757</x:f>
        <x:v>100.41379310344827</x:v>
      </x:c>
      <x:c r="K1757" t="n">
        <x:f>G1757</x:f>
        <x:v>100.53096491487338</x:v>
      </x:c>
    </x:row>
    <x:row r="1758">
      <x:c r="A1758" t="n">
        <x:v>1741</x:v>
      </x:c>
      <x:c r="B1758" s="40" t="n">
        <x:v>-1.017201028020076</x:v>
      </x:c>
      <x:c r="C1758" s="40" t="n">
        <x:v>-1.732837679825652</x:v>
      </x:c>
      <x:c r="D1758" s="40" t="n">
        <x:v>1.7565999575668974</x:v>
      </x:c>
      <x:c r="E1758" t="n">
        <x:f>--((B1758^2/$B$4^2+C1758^2/$B$5^2+D1758^2/$B$6^2)&lt;=1)</x:f>
        <x:v>1</x:v>
      </x:c>
      <x:c r="F1758" s="42" t="n">
        <x:f>$B$8*SUM($E$18:E1758)/A1758</x:f>
        <x:v>100.4663986214819</x:v>
      </x:c>
      <x:c r="G1758" s="42" t="n">
        <x:f>$B$11</x:f>
        <x:v>100.53096491487338</x:v>
      </x:c>
      <x:c r="I1758" t="n">
        <x:f>A1758</x:f>
        <x:v>1741</x:v>
      </x:c>
      <x:c r="J1758" t="n">
        <x:f>F1758</x:f>
        <x:v>100.4663986214819</x:v>
      </x:c>
      <x:c r="K1758" t="n">
        <x:f>G1758</x:f>
        <x:v>100.53096491487338</x:v>
      </x:c>
    </x:row>
    <x:row r="1759">
      <x:c r="A1759" t="n">
        <x:v>1742</x:v>
      </x:c>
      <x:c r="B1759" s="40" t="n">
        <x:v>-1.0770147789311322</x:v>
      </x:c>
      <x:c r="C1759" s="40" t="n">
        <x:v>-1.8662376946818795</x:v>
      </x:c>
      <x:c r="D1759" s="40" t="n">
        <x:v>1.1227249689958718</x:v>
      </x:c>
      <x:c r="E1759" t="n">
        <x:f>--((B1759^2/$B$4^2+C1759^2/$B$5^2+D1759^2/$B$6^2)&lt;=1)</x:f>
        <x:v>1</x:v>
      </x:c>
      <x:c r="F1759" s="42" t="n">
        <x:f>$B$8*SUM($E$18:E1759)/A1759</x:f>
        <x:v>100.51894374282433</x:v>
      </x:c>
      <x:c r="G1759" s="42" t="n">
        <x:f>$B$11</x:f>
        <x:v>100.53096491487338</x:v>
      </x:c>
      <x:c r="I1759" t="n">
        <x:f>A1759</x:f>
        <x:v>1742</x:v>
      </x:c>
      <x:c r="J1759" t="n">
        <x:f>F1759</x:f>
        <x:v>100.51894374282433</x:v>
      </x:c>
      <x:c r="K1759" t="n">
        <x:f>G1759</x:f>
        <x:v>100.53096491487338</x:v>
      </x:c>
    </x:row>
    <x:row r="1760">
      <x:c r="A1760" t="n">
        <x:v>1743</x:v>
      </x:c>
      <x:c r="B1760" s="40" t="n">
        <x:v>-1.89127146600966</x:v>
      </x:c>
      <x:c r="C1760" s="40" t="n">
        <x:v>2.1389760054095506</x:v>
      </x:c>
      <x:c r="D1760" s="40" t="n">
        <x:v>2.3020217509276817</x:v>
      </x:c>
      <x:c r="E1760" t="n">
        <x:f>--((B1760^2/$B$4^2+C1760^2/$B$5^2+D1760^2/$B$6^2)&lt;=1)</x:f>
        <x:v>0</x:v>
      </x:c>
      <x:c r="F1760" s="42" t="n">
        <x:f>$B$8*SUM($E$18:E1760)/A1760</x:f>
        <x:v>100.46127366609295</x:v>
      </x:c>
      <x:c r="G1760" s="42" t="n">
        <x:f>$B$11</x:f>
        <x:v>100.53096491487338</x:v>
      </x:c>
      <x:c r="I1760" t="n">
        <x:f>A1760</x:f>
        <x:v>1743</x:v>
      </x:c>
      <x:c r="J1760" t="n">
        <x:f>F1760</x:f>
        <x:v>100.46127366609295</x:v>
      </x:c>
      <x:c r="K1760" t="n">
        <x:f>G1760</x:f>
        <x:v>100.53096491487338</x:v>
      </x:c>
    </x:row>
    <x:row r="1761">
      <x:c r="A1761" t="n">
        <x:v>1744</x:v>
      </x:c>
      <x:c r="B1761" s="40" t="n">
        <x:v>1.8340611759018093</x:v>
      </x:c>
      <x:c r="C1761" s="40" t="n">
        <x:v>0.06453892049108889</x:v>
      </x:c>
      <x:c r="D1761" s="40" t="n">
        <x:v>3.175542334666458</x:v>
      </x:c>
      <x:c r="E1761" t="n">
        <x:f>--((B1761^2/$B$4^2+C1761^2/$B$5^2+D1761^2/$B$6^2)&lt;=1)</x:f>
        <x:v>0</x:v>
      </x:c>
      <x:c r="F1761" s="42" t="n">
        <x:f>$B$8*SUM($E$18:E1761)/A1761</x:f>
        <x:v>100.40366972477064</x:v>
      </x:c>
      <x:c r="G1761" s="42" t="n">
        <x:f>$B$11</x:f>
        <x:v>100.53096491487338</x:v>
      </x:c>
      <x:c r="I1761" t="n">
        <x:f>A1761</x:f>
        <x:v>1744</x:v>
      </x:c>
      <x:c r="J1761" t="n">
        <x:f>F1761</x:f>
        <x:v>100.40366972477064</x:v>
      </x:c>
      <x:c r="K1761" t="n">
        <x:f>G1761</x:f>
        <x:v>100.53096491487338</x:v>
      </x:c>
    </x:row>
    <x:row r="1762">
      <x:c r="A1762" t="n">
        <x:v>1745</x:v>
      </x:c>
      <x:c r="B1762" s="40" t="n">
        <x:v>0.8400675202184935</x:v>
      </x:c>
      <x:c r="C1762" s="40" t="n">
        <x:v>-2.4591781077704</x:v>
      </x:c>
      <x:c r="D1762" s="40" t="n">
        <x:v>1.4404868434407572</x:v>
      </x:c>
      <x:c r="E1762" t="n">
        <x:f>--((B1762^2/$B$4^2+C1762^2/$B$5^2+D1762^2/$B$6^2)&lt;=1)</x:f>
        <x:v>1</x:v>
      </x:c>
      <x:c r="F1762" s="42" t="n">
        <x:f>$B$8*SUM($E$18:E1762)/A1762</x:f>
        <x:v>100.45616045845273</x:v>
      </x:c>
      <x:c r="G1762" s="42" t="n">
        <x:f>$B$11</x:f>
        <x:v>100.53096491487338</x:v>
      </x:c>
      <x:c r="I1762" t="n">
        <x:f>A1762</x:f>
        <x:v>1745</x:v>
      </x:c>
      <x:c r="J1762" t="n">
        <x:f>F1762</x:f>
        <x:v>100.45616045845273</x:v>
      </x:c>
      <x:c r="K1762" t="n">
        <x:f>G1762</x:f>
        <x:v>100.53096491487338</x:v>
      </x:c>
    </x:row>
    <x:row r="1763">
      <x:c r="A1763" t="n">
        <x:v>1746</x:v>
      </x:c>
      <x:c r="B1763" s="40" t="n">
        <x:v>0.5422414160407394</x:v>
      </x:c>
      <x:c r="C1763" s="40" t="n">
        <x:v>1.3021168365773317</x:v>
      </x:c>
      <x:c r="D1763" s="40" t="n">
        <x:v>-3.458883563975485</x:v>
      </x:c>
      <x:c r="E1763" t="n">
        <x:f>--((B1763^2/$B$4^2+C1763^2/$B$5^2+D1763^2/$B$6^2)&lt;=1)</x:f>
        <x:v>0</x:v>
      </x:c>
      <x:c r="F1763" s="42" t="n">
        <x:f>$B$8*SUM($E$18:E1763)/A1763</x:f>
        <x:v>100.39862542955326</x:v>
      </x:c>
      <x:c r="G1763" s="42" t="n">
        <x:f>$B$11</x:f>
        <x:v>100.53096491487338</x:v>
      </x:c>
      <x:c r="I1763" t="n">
        <x:f>A1763</x:f>
        <x:v>1746</x:v>
      </x:c>
      <x:c r="J1763" t="n">
        <x:f>F1763</x:f>
        <x:v>100.39862542955326</x:v>
      </x:c>
      <x:c r="K1763" t="n">
        <x:f>G1763</x:f>
        <x:v>100.53096491487338</x:v>
      </x:c>
    </x:row>
    <x:row r="1764">
      <x:c r="A1764" t="n">
        <x:v>1747</x:v>
      </x:c>
      <x:c r="B1764" s="40" t="n">
        <x:v>0.9759788907799636</x:v>
      </x:c>
      <x:c r="C1764" s="40" t="n">
        <x:v>-1.4989736831698224</x:v>
      </x:c>
      <x:c r="D1764" s="40" t="n">
        <x:v>-2.534877233201758</x:v>
      </x:c>
      <x:c r="E1764" t="n">
        <x:f>--((B1764^2/$B$4^2+C1764^2/$B$5^2+D1764^2/$B$6^2)&lt;=1)</x:f>
        <x:v>1</x:v>
      </x:c>
      <x:c r="F1764" s="42" t="n">
        <x:f>$B$8*SUM($E$18:E1764)/A1764</x:f>
        <x:v>100.45105895821408</x:v>
      </x:c>
      <x:c r="G1764" s="42" t="n">
        <x:f>$B$11</x:f>
        <x:v>100.53096491487338</x:v>
      </x:c>
      <x:c r="I1764" t="n">
        <x:f>A1764</x:f>
        <x:v>1747</x:v>
      </x:c>
      <x:c r="J1764" t="n">
        <x:f>F1764</x:f>
        <x:v>100.45105895821408</x:v>
      </x:c>
      <x:c r="K1764" t="n">
        <x:f>G1764</x:f>
        <x:v>100.53096491487338</x:v>
      </x:c>
    </x:row>
    <x:row r="1765">
      <x:c r="A1765" t="n">
        <x:v>1748</x:v>
      </x:c>
      <x:c r="B1765" s="40" t="n">
        <x:v>0.12645167478175745</x:v>
      </x:c>
      <x:c r="C1765" s="40" t="n">
        <x:v>2.2583685045052757</x:v>
      </x:c>
      <x:c r="D1765" s="40" t="n">
        <x:v>3.6318254581366727</x:v>
      </x:c>
      <x:c r="E1765" t="n">
        <x:f>--((B1765^2/$B$4^2+C1765^2/$B$5^2+D1765^2/$B$6^2)&lt;=1)</x:f>
        <x:v>0</x:v>
      </x:c>
      <x:c r="F1765" s="42" t="n">
        <x:f>$B$8*SUM($E$18:E1765)/A1765</x:f>
        <x:v>100.39359267734554</x:v>
      </x:c>
      <x:c r="G1765" s="42" t="n">
        <x:f>$B$11</x:f>
        <x:v>100.53096491487338</x:v>
      </x:c>
      <x:c r="I1765" t="n">
        <x:f>A1765</x:f>
        <x:v>1748</x:v>
      </x:c>
      <x:c r="J1765" t="n">
        <x:f>F1765</x:f>
        <x:v>100.39359267734554</x:v>
      </x:c>
      <x:c r="K1765" t="n">
        <x:f>G1765</x:f>
        <x:v>100.53096491487338</x:v>
      </x:c>
    </x:row>
    <x:row r="1766">
      <x:c r="A1766" t="n">
        <x:v>1749</x:v>
      </x:c>
      <x:c r="B1766" s="40" t="n">
        <x:v>-0.09546471563835857</x:v>
      </x:c>
      <x:c r="C1766" s="40" t="n">
        <x:v>-1.1425692838201484</x:v>
      </x:c>
      <x:c r="D1766" s="40" t="n">
        <x:v>3.7492037870178097</x:v>
      </x:c>
      <x:c r="E1766" t="n">
        <x:f>--((B1766^2/$B$4^2+C1766^2/$B$5^2+D1766^2/$B$6^2)&lt;=1)</x:f>
        <x:v>0</x:v>
      </x:c>
      <x:c r="F1766" s="42" t="n">
        <x:f>$B$8*SUM($E$18:E1766)/A1766</x:f>
        <x:v>100.33619210977702</x:v>
      </x:c>
      <x:c r="G1766" s="42" t="n">
        <x:f>$B$11</x:f>
        <x:v>100.53096491487338</x:v>
      </x:c>
      <x:c r="I1766" t="n">
        <x:f>A1766</x:f>
        <x:v>1749</x:v>
      </x:c>
      <x:c r="J1766" t="n">
        <x:f>F1766</x:f>
        <x:v>100.33619210977702</x:v>
      </x:c>
      <x:c r="K1766" t="n">
        <x:f>G1766</x:f>
        <x:v>100.53096491487338</x:v>
      </x:c>
    </x:row>
    <x:row r="1767">
      <x:c r="A1767" t="n">
        <x:v>1750</x:v>
      </x:c>
      <x:c r="B1767" s="40" t="n">
        <x:v>-0.20187103550591656</x:v>
      </x:c>
      <x:c r="C1767" s="40" t="n">
        <x:v>-1.7983750194591412</x:v>
      </x:c>
      <x:c r="D1767" s="40" t="n">
        <x:v>3.7393065095869</x:v>
      </x:c>
      <x:c r="E1767" t="n">
        <x:f>--((B1767^2/$B$4^2+C1767^2/$B$5^2+D1767^2/$B$6^2)&lt;=1)</x:f>
        <x:v>0</x:v>
      </x:c>
      <x:c r="F1767" s="42" t="n">
        <x:f>$B$8*SUM($E$18:E1767)/A1767</x:f>
        <x:v>100.27885714285715</x:v>
      </x:c>
      <x:c r="G1767" s="42" t="n">
        <x:f>$B$11</x:f>
        <x:v>100.53096491487338</x:v>
      </x:c>
      <x:c r="I1767" t="n">
        <x:f>A1767</x:f>
        <x:v>1750</x:v>
      </x:c>
      <x:c r="J1767" t="n">
        <x:f>F1767</x:f>
        <x:v>100.27885714285715</x:v>
      </x:c>
      <x:c r="K1767" t="n">
        <x:f>G1767</x:f>
        <x:v>100.53096491487338</x:v>
      </x:c>
    </x:row>
    <x:row r="1768">
      <x:c r="A1768" t="n">
        <x:v>1751</x:v>
      </x:c>
      <x:c r="B1768" s="40" t="n">
        <x:v>0.5617568484145652</x:v>
      </x:c>
      <x:c r="C1768" s="40" t="n">
        <x:v>-2.490849338670394</x:v>
      </x:c>
      <x:c r="D1768" s="40" t="n">
        <x:v>-3.705604796799056</x:v>
      </x:c>
      <x:c r="E1768" t="n">
        <x:f>--((B1768^2/$B$4^2+C1768^2/$B$5^2+D1768^2/$B$6^2)&lt;=1)</x:f>
        <x:v>0</x:v>
      </x:c>
      <x:c r="F1768" s="42" t="n">
        <x:f>$B$8*SUM($E$18:E1768)/A1768</x:f>
        <x:v>100.22158766419189</x:v>
      </x:c>
      <x:c r="G1768" s="42" t="n">
        <x:f>$B$11</x:f>
        <x:v>100.53096491487338</x:v>
      </x:c>
      <x:c r="I1768" t="n">
        <x:f>A1768</x:f>
        <x:v>1751</x:v>
      </x:c>
      <x:c r="J1768" t="n">
        <x:f>F1768</x:f>
        <x:v>100.22158766419189</x:v>
      </x:c>
      <x:c r="K1768" t="n">
        <x:f>G1768</x:f>
        <x:v>100.53096491487338</x:v>
      </x:c>
    </x:row>
    <x:row r="1769">
      <x:c r="A1769" t="n">
        <x:v>1752</x:v>
      </x:c>
      <x:c r="B1769" s="40" t="n">
        <x:v>-1.1938600984304673</x:v>
      </x:c>
      <x:c r="C1769" s="40" t="n">
        <x:v>0.0691868198258847</x:v>
      </x:c>
      <x:c r="D1769" s="40" t="n">
        <x:v>-0.9404146564046538</x:v>
      </x:c>
      <x:c r="E1769" t="n">
        <x:f>--((B1769^2/$B$4^2+C1769^2/$B$5^2+D1769^2/$B$6^2)&lt;=1)</x:f>
        <x:v>1</x:v>
      </x:c>
      <x:c r="F1769" s="42" t="n">
        <x:f>$B$8*SUM($E$18:E1769)/A1769</x:f>
        <x:v>100.27397260273973</x:v>
      </x:c>
      <x:c r="G1769" s="42" t="n">
        <x:f>$B$11</x:f>
        <x:v>100.53096491487338</x:v>
      </x:c>
      <x:c r="I1769" t="n">
        <x:f>A1769</x:f>
        <x:v>1752</x:v>
      </x:c>
      <x:c r="J1769" t="n">
        <x:f>F1769</x:f>
        <x:v>100.27397260273973</x:v>
      </x:c>
      <x:c r="K1769" t="n">
        <x:f>G1769</x:f>
        <x:v>100.53096491487338</x:v>
      </x:c>
    </x:row>
    <x:row r="1770">
      <x:c r="A1770" t="n">
        <x:v>1753</x:v>
      </x:c>
      <x:c r="B1770" s="40" t="n">
        <x:v>1.5522347800594787</x:v>
      </x:c>
      <x:c r="C1770" s="40" t="n">
        <x:v>-0.29557447309027607</x:v>
      </x:c>
      <x:c r="D1770" s="40" t="n">
        <x:v>2.077381631903968</x:v>
      </x:c>
      <x:c r="E1770" t="n">
        <x:f>--((B1770^2/$B$4^2+C1770^2/$B$5^2+D1770^2/$B$6^2)&lt;=1)</x:f>
        <x:v>1</x:v>
      </x:c>
      <x:c r="F1770" s="42" t="n">
        <x:f>$B$8*SUM($E$18:E1770)/A1770</x:f>
        <x:v>100.32629777524244</x:v>
      </x:c>
      <x:c r="G1770" s="42" t="n">
        <x:f>$B$11</x:f>
        <x:v>100.53096491487338</x:v>
      </x:c>
      <x:c r="I1770" t="n">
        <x:f>A1770</x:f>
        <x:v>1753</x:v>
      </x:c>
      <x:c r="J1770" t="n">
        <x:f>F1770</x:f>
        <x:v>100.32629777524244</x:v>
      </x:c>
      <x:c r="K1770" t="n">
        <x:f>G1770</x:f>
        <x:v>100.53096491487338</x:v>
      </x:c>
    </x:row>
    <x:row r="1771">
      <x:c r="A1771" t="n">
        <x:v>1754</x:v>
      </x:c>
      <x:c r="B1771" s="40" t="n">
        <x:v>1.2470094848770605</x:v>
      </x:c>
      <x:c r="C1771" s="40" t="n">
        <x:v>1.5078728676188575</x:v>
      </x:c>
      <x:c r="D1771" s="40" t="n">
        <x:v>2.023086429262647</x:v>
      </x:c>
      <x:c r="E1771" t="n">
        <x:f>--((B1771^2/$B$4^2+C1771^2/$B$5^2+D1771^2/$B$6^2)&lt;=1)</x:f>
        <x:v>1</x:v>
      </x:c>
      <x:c r="F1771" s="42" t="n">
        <x:f>$B$8*SUM($E$18:E1771)/A1771</x:f>
        <x:v>100.37856328392246</x:v>
      </x:c>
      <x:c r="G1771" s="42" t="n">
        <x:f>$B$11</x:f>
        <x:v>100.53096491487338</x:v>
      </x:c>
      <x:c r="I1771" t="n">
        <x:f>A1771</x:f>
        <x:v>1754</x:v>
      </x:c>
      <x:c r="J1771" t="n">
        <x:f>F1771</x:f>
        <x:v>100.37856328392246</x:v>
      </x:c>
      <x:c r="K1771" t="n">
        <x:f>G1771</x:f>
        <x:v>100.53096491487338</x:v>
      </x:c>
    </x:row>
    <x:row r="1772">
      <x:c r="A1772" t="n">
        <x:v>1755</x:v>
      </x:c>
      <x:c r="B1772" s="40" t="n">
        <x:v>-0.6017455541918646</x:v>
      </x:c>
      <x:c r="C1772" s="40" t="n">
        <x:v>-0.21238447684178174</x:v>
      </x:c>
      <x:c r="D1772" s="40" t="n">
        <x:v>-3.312728760400332</x:v>
      </x:c>
      <x:c r="E1772" t="n">
        <x:f>--((B1772^2/$B$4^2+C1772^2/$B$5^2+D1772^2/$B$6^2)&lt;=1)</x:f>
        <x:v>1</x:v>
      </x:c>
      <x:c r="F1772" s="42" t="n">
        <x:f>$B$8*SUM($E$18:E1772)/A1772</x:f>
        <x:v>100.43076923076923</x:v>
      </x:c>
      <x:c r="G1772" s="42" t="n">
        <x:f>$B$11</x:f>
        <x:v>100.53096491487338</x:v>
      </x:c>
      <x:c r="I1772" t="n">
        <x:f>A1772</x:f>
        <x:v>1755</x:v>
      </x:c>
      <x:c r="J1772" t="n">
        <x:f>F1772</x:f>
        <x:v>100.43076923076923</x:v>
      </x:c>
      <x:c r="K1772" t="n">
        <x:f>G1772</x:f>
        <x:v>100.53096491487338</x:v>
      </x:c>
    </x:row>
    <x:row r="1773">
      <x:c r="A1773" t="n">
        <x:v>1756</x:v>
      </x:c>
      <x:c r="B1773" s="40" t="n">
        <x:v>0.3144371872500975</x:v>
      </x:c>
      <x:c r="C1773" s="40" t="n">
        <x:v>-0.9371041864537739</x:v>
      </x:c>
      <x:c r="D1773" s="40" t="n">
        <x:v>0.8759110967161519</x:v>
      </x:c>
      <x:c r="E1773" t="n">
        <x:f>--((B1773^2/$B$4^2+C1773^2/$B$5^2+D1773^2/$B$6^2)&lt;=1)</x:f>
        <x:v>1</x:v>
      </x:c>
      <x:c r="F1773" s="42" t="n">
        <x:f>$B$8*SUM($E$18:E1773)/A1773</x:f>
        <x:v>100.48291571753987</x:v>
      </x:c>
      <x:c r="G1773" s="42" t="n">
        <x:f>$B$11</x:f>
        <x:v>100.53096491487338</x:v>
      </x:c>
      <x:c r="I1773" t="n">
        <x:f>A1773</x:f>
        <x:v>1756</x:v>
      </x:c>
      <x:c r="J1773" t="n">
        <x:f>F1773</x:f>
        <x:v>100.48291571753987</x:v>
      </x:c>
      <x:c r="K1773" t="n">
        <x:f>G1773</x:f>
        <x:v>100.53096491487338</x:v>
      </x:c>
    </x:row>
    <x:row r="1774">
      <x:c r="A1774" t="n">
        <x:v>1757</x:v>
      </x:c>
      <x:c r="B1774" s="40" t="n">
        <x:v>-1.4358908001999415</x:v>
      </x:c>
      <x:c r="C1774" s="40" t="n">
        <x:v>-1.4300705062023356</x:v>
      </x:c>
      <x:c r="D1774" s="40" t="n">
        <x:v>-2.8570430516731404</x:v>
      </x:c>
      <x:c r="E1774" t="n">
        <x:f>--((B1774^2/$B$4^2+C1774^2/$B$5^2+D1774^2/$B$6^2)&lt;=1)</x:f>
        <x:v>0</x:v>
      </x:c>
      <x:c r="F1774" s="42" t="n">
        <x:f>$B$8*SUM($E$18:E1774)/A1774</x:f>
        <x:v>100.42572566875356</x:v>
      </x:c>
      <x:c r="G1774" s="42" t="n">
        <x:f>$B$11</x:f>
        <x:v>100.53096491487338</x:v>
      </x:c>
      <x:c r="I1774" t="n">
        <x:f>A1774</x:f>
        <x:v>1757</x:v>
      </x:c>
      <x:c r="J1774" t="n">
        <x:f>F1774</x:f>
        <x:v>100.42572566875356</x:v>
      </x:c>
      <x:c r="K1774" t="n">
        <x:f>G1774</x:f>
        <x:v>100.53096491487338</x:v>
      </x:c>
    </x:row>
    <x:row r="1775">
      <x:c r="A1775" t="n">
        <x:v>1758</x:v>
      </x:c>
      <x:c r="B1775" s="40" t="n">
        <x:v>1.8893849917343921</x:v>
      </x:c>
      <x:c r="C1775" s="40" t="n">
        <x:v>-1.3311195271801735</x:v>
      </x:c>
      <x:c r="D1775" s="40" t="n">
        <x:v>-0.0543253370576533</x:v>
      </x:c>
      <x:c r="E1775" t="n">
        <x:f>--((B1775^2/$B$4^2+C1775^2/$B$5^2+D1775^2/$B$6^2)&lt;=1)</x:f>
        <x:v>0</x:v>
      </x:c>
      <x:c r="F1775" s="42" t="n">
        <x:f>$B$8*SUM($E$18:E1775)/A1775</x:f>
        <x:v>100.36860068259385</x:v>
      </x:c>
      <x:c r="G1775" s="42" t="n">
        <x:f>$B$11</x:f>
        <x:v>100.53096491487338</x:v>
      </x:c>
      <x:c r="I1775" t="n">
        <x:f>A1775</x:f>
        <x:v>1758</x:v>
      </x:c>
      <x:c r="J1775" t="n">
        <x:f>F1775</x:f>
        <x:v>100.36860068259385</x:v>
      </x:c>
      <x:c r="K1775" t="n">
        <x:f>G1775</x:f>
        <x:v>100.53096491487338</x:v>
      </x:c>
    </x:row>
    <x:row r="1776">
      <x:c r="A1776" t="n">
        <x:v>1759</x:v>
      </x:c>
      <x:c r="B1776" s="40" t="n">
        <x:v>1.611570750521134</x:v>
      </x:c>
      <x:c r="C1776" s="40" t="n">
        <x:v>2.5670874109668835</x:v>
      </x:c>
      <x:c r="D1776" s="40" t="n">
        <x:v>-2.082514393271028</x:v>
      </x:c>
      <x:c r="E1776" t="n">
        <x:f>--((B1776^2/$B$4^2+C1776^2/$B$5^2+D1776^2/$B$6^2)&lt;=1)</x:f>
        <x:v>0</x:v>
      </x:c>
      <x:c r="F1776" s="42" t="n">
        <x:f>$B$8*SUM($E$18:E1776)/A1776</x:f>
        <x:v>100.31154064809552</x:v>
      </x:c>
      <x:c r="G1776" s="42" t="n">
        <x:f>$B$11</x:f>
        <x:v>100.53096491487338</x:v>
      </x:c>
      <x:c r="I1776" t="n">
        <x:f>A1776</x:f>
        <x:v>1759</x:v>
      </x:c>
      <x:c r="J1776" t="n">
        <x:f>F1776</x:f>
        <x:v>100.31154064809552</x:v>
      </x:c>
      <x:c r="K1776" t="n">
        <x:f>G1776</x:f>
        <x:v>100.53096491487338</x:v>
      </x:c>
    </x:row>
    <x:row r="1777">
      <x:c r="A1777" t="n">
        <x:v>1760</x:v>
      </x:c>
      <x:c r="B1777" s="40" t="n">
        <x:v>1.6875900259968017</x:v>
      </x:c>
      <x:c r="C1777" s="40" t="n">
        <x:v>-2.009528387473126</x:v>
      </x:c>
      <x:c r="D1777" s="40" t="n">
        <x:v>-3.5747106261221786</x:v>
      </x:c>
      <x:c r="E1777" t="n">
        <x:f>--((B1777^2/$B$4^2+C1777^2/$B$5^2+D1777^2/$B$6^2)&lt;=1)</x:f>
        <x:v>0</x:v>
      </x:c>
      <x:c r="F1777" s="42" t="n">
        <x:f>$B$8*SUM($E$18:E1777)/A1777</x:f>
        <x:v>100.25454545454545</x:v>
      </x:c>
      <x:c r="G1777" s="42" t="n">
        <x:f>$B$11</x:f>
        <x:v>100.53096491487338</x:v>
      </x:c>
      <x:c r="I1777" t="n">
        <x:f>A1777</x:f>
        <x:v>1760</x:v>
      </x:c>
      <x:c r="J1777" t="n">
        <x:f>F1777</x:f>
        <x:v>100.25454545454545</x:v>
      </x:c>
      <x:c r="K1777" t="n">
        <x:f>G1777</x:f>
        <x:v>100.53096491487338</x:v>
      </x:c>
    </x:row>
    <x:row r="1778">
      <x:c r="A1778" t="n">
        <x:v>1761</x:v>
      </x:c>
      <x:c r="B1778" s="40" t="n">
        <x:v>-0.6713478091861935</x:v>
      </x:c>
      <x:c r="C1778" s="40" t="n">
        <x:v>2.929058547342901</x:v>
      </x:c>
      <x:c r="D1778" s="40" t="n">
        <x:v>-3.3598445957871235</x:v>
      </x:c>
      <x:c r="E1778" t="n">
        <x:f>--((B1778^2/$B$4^2+C1778^2/$B$5^2+D1778^2/$B$6^2)&lt;=1)</x:f>
        <x:v>0</x:v>
      </x:c>
      <x:c r="F1778" s="42" t="n">
        <x:f>$B$8*SUM($E$18:E1778)/A1778</x:f>
        <x:v>100.19761499148211</x:v>
      </x:c>
      <x:c r="G1778" s="42" t="n">
        <x:f>$B$11</x:f>
        <x:v>100.53096491487338</x:v>
      </x:c>
      <x:c r="I1778" t="n">
        <x:f>A1778</x:f>
        <x:v>1761</x:v>
      </x:c>
      <x:c r="J1778" t="n">
        <x:f>F1778</x:f>
        <x:v>100.19761499148211</x:v>
      </x:c>
      <x:c r="K1778" t="n">
        <x:f>G1778</x:f>
        <x:v>100.53096491487338</x:v>
      </x:c>
    </x:row>
    <x:row r="1779">
      <x:c r="A1779" t="n">
        <x:v>1762</x:v>
      </x:c>
      <x:c r="B1779" s="40" t="n">
        <x:v>-1.323461170468577</x:v>
      </x:c>
      <x:c r="C1779" s="40" t="n">
        <x:v>-1.0384832688466514</x:v>
      </x:c>
      <x:c r="D1779" s="40" t="n">
        <x:v>3.2871435978392656</x:v>
      </x:c>
      <x:c r="E1779" t="n">
        <x:f>--((B1779^2/$B$4^2+C1779^2/$B$5^2+D1779^2/$B$6^2)&lt;=1)</x:f>
        <x:v>0</x:v>
      </x:c>
      <x:c r="F1779" s="42" t="n">
        <x:f>$B$8*SUM($E$18:E1779)/A1779</x:f>
        <x:v>100.14074914869467</x:v>
      </x:c>
      <x:c r="G1779" s="42" t="n">
        <x:f>$B$11</x:f>
        <x:v>100.53096491487338</x:v>
      </x:c>
      <x:c r="I1779" t="n">
        <x:f>A1779</x:f>
        <x:v>1762</x:v>
      </x:c>
      <x:c r="J1779" t="n">
        <x:f>F1779</x:f>
        <x:v>100.14074914869467</x:v>
      </x:c>
      <x:c r="K1779" t="n">
        <x:f>G1779</x:f>
        <x:v>100.53096491487338</x:v>
      </x:c>
    </x:row>
    <x:row r="1780">
      <x:c r="A1780" t="n">
        <x:v>1763</x:v>
      </x:c>
      <x:c r="B1780" s="40" t="n">
        <x:v>-1.1529113461347587</x:v>
      </x:c>
      <x:c r="C1780" s="40" t="n">
        <x:v>-2.469658587495015</x:v>
      </x:c>
      <x:c r="D1780" s="40" t="n">
        <x:v>1.9571677136122725</x:v>
      </x:c>
      <x:c r="E1780" t="n">
        <x:f>--((B1780^2/$B$4^2+C1780^2/$B$5^2+D1780^2/$B$6^2)&lt;=1)</x:f>
        <x:v>0</x:v>
      </x:c>
      <x:c r="F1780" s="42" t="n">
        <x:f>$B$8*SUM($E$18:E1780)/A1780</x:f>
        <x:v>100.08394781622235</x:v>
      </x:c>
      <x:c r="G1780" s="42" t="n">
        <x:f>$B$11</x:f>
        <x:v>100.53096491487338</x:v>
      </x:c>
      <x:c r="I1780" t="n">
        <x:f>A1780</x:f>
        <x:v>1763</x:v>
      </x:c>
      <x:c r="J1780" t="n">
        <x:f>F1780</x:f>
        <x:v>100.08394781622235</x:v>
      </x:c>
      <x:c r="K1780" t="n">
        <x:f>G1780</x:f>
        <x:v>100.53096491487338</x:v>
      </x:c>
    </x:row>
    <x:row r="1781">
      <x:c r="A1781" t="n">
        <x:v>1764</x:v>
      </x:c>
      <x:c r="B1781" s="40" t="n">
        <x:v>-1.6399944358196406</x:v>
      </x:c>
      <x:c r="C1781" s="40" t="n">
        <x:v>-1.50785771527281</x:v>
      </x:c>
      <x:c r="D1781" s="40" t="n">
        <x:v>3.4545918541836036</x:v>
      </x:c>
      <x:c r="E1781" t="n">
        <x:f>--((B1781^2/$B$4^2+C1781^2/$B$5^2+D1781^2/$B$6^2)&lt;=1)</x:f>
        <x:v>0</x:v>
      </x:c>
      <x:c r="F1781" s="42" t="n">
        <x:f>$B$8*SUM($E$18:E1781)/A1781</x:f>
        <x:v>100.02721088435374</x:v>
      </x:c>
      <x:c r="G1781" s="42" t="n">
        <x:f>$B$11</x:f>
        <x:v>100.53096491487338</x:v>
      </x:c>
      <x:c r="I1781" t="n">
        <x:f>A1781</x:f>
        <x:v>1764</x:v>
      </x:c>
      <x:c r="J1781" t="n">
        <x:f>F1781</x:f>
        <x:v>100.02721088435374</x:v>
      </x:c>
      <x:c r="K1781" t="n">
        <x:f>G1781</x:f>
        <x:v>100.53096491487338</x:v>
      </x:c>
    </x:row>
    <x:row r="1782">
      <x:c r="A1782" t="n">
        <x:v>1765</x:v>
      </x:c>
      <x:c r="B1782" s="40" t="n">
        <x:v>-1.5195574795944626</x:v>
      </x:c>
      <x:c r="C1782" s="40" t="n">
        <x:v>-2.649513722672288</x:v>
      </x:c>
      <x:c r="D1782" s="40" t="n">
        <x:v>-0.24008054133157852</x:v>
      </x:c>
      <x:c r="E1782" t="n">
        <x:f>--((B1782^2/$B$4^2+C1782^2/$B$5^2+D1782^2/$B$6^2)&lt;=1)</x:f>
        <x:v>0</x:v>
      </x:c>
      <x:c r="F1782" s="42" t="n">
        <x:f>$B$8*SUM($E$18:E1782)/A1782</x:f>
        <x:v>99.97053824362607</x:v>
      </x:c>
      <x:c r="G1782" s="42" t="n">
        <x:f>$B$11</x:f>
        <x:v>100.53096491487338</x:v>
      </x:c>
      <x:c r="I1782" t="n">
        <x:f>A1782</x:f>
        <x:v>1765</x:v>
      </x:c>
      <x:c r="J1782" t="n">
        <x:f>F1782</x:f>
        <x:v>99.97053824362607</x:v>
      </x:c>
      <x:c r="K1782" t="n">
        <x:f>G1782</x:f>
        <x:v>100.53096491487338</x:v>
      </x:c>
    </x:row>
    <x:row r="1783">
      <x:c r="A1783" t="n">
        <x:v>1766</x:v>
      </x:c>
      <x:c r="B1783" s="40" t="n">
        <x:v>-1.7147818632606184</x:v>
      </x:c>
      <x:c r="C1783" s="40" t="n">
        <x:v>1.7401786149834955</x:v>
      </x:c>
      <x:c r="D1783" s="40" t="n">
        <x:v>-0.6936600083775657</x:v>
      </x:c>
      <x:c r="E1783" t="n">
        <x:f>--((B1783^2/$B$4^2+C1783^2/$B$5^2+D1783^2/$B$6^2)&lt;=1)</x:f>
        <x:v>0</x:v>
      </x:c>
      <x:c r="F1783" s="42" t="n">
        <x:f>$B$8*SUM($E$18:E1783)/A1783</x:f>
        <x:v>99.91392978482446</x:v>
      </x:c>
      <x:c r="G1783" s="42" t="n">
        <x:f>$B$11</x:f>
        <x:v>100.53096491487338</x:v>
      </x:c>
      <x:c r="I1783" t="n">
        <x:f>A1783</x:f>
        <x:v>1766</x:v>
      </x:c>
      <x:c r="J1783" t="n">
        <x:f>F1783</x:f>
        <x:v>99.91392978482446</x:v>
      </x:c>
      <x:c r="K1783" t="n">
        <x:f>G1783</x:f>
        <x:v>100.53096491487338</x:v>
      </x:c>
    </x:row>
    <x:row r="1784">
      <x:c r="A1784" t="n">
        <x:v>1767</x:v>
      </x:c>
      <x:c r="B1784" s="40" t="n">
        <x:v>1.959292276819494</x:v>
      </x:c>
      <x:c r="C1784" s="40" t="n">
        <x:v>0.07531747524663279</x:v>
      </x:c>
      <x:c r="D1784" s="40" t="n">
        <x:v>-1.1327416599832354</x:v>
      </x:c>
      <x:c r="E1784" t="n">
        <x:f>--((B1784^2/$B$4^2+C1784^2/$B$5^2+D1784^2/$B$6^2)&lt;=1)</x:f>
        <x:v>0</x:v>
      </x:c>
      <x:c r="F1784" s="42" t="n">
        <x:f>$B$8*SUM($E$18:E1784)/A1784</x:f>
        <x:v>99.85738539898132</x:v>
      </x:c>
      <x:c r="G1784" s="42" t="n">
        <x:f>$B$11</x:f>
        <x:v>100.53096491487338</x:v>
      </x:c>
      <x:c r="I1784" t="n">
        <x:f>A1784</x:f>
        <x:v>1767</x:v>
      </x:c>
      <x:c r="J1784" t="n">
        <x:f>F1784</x:f>
        <x:v>99.85738539898132</x:v>
      </x:c>
      <x:c r="K1784" t="n">
        <x:f>G1784</x:f>
        <x:v>100.53096491487338</x:v>
      </x:c>
    </x:row>
    <x:row r="1785">
      <x:c r="A1785" t="n">
        <x:v>1768</x:v>
      </x:c>
      <x:c r="B1785" s="40" t="n">
        <x:v>-1.7037692665237056</x:v>
      </x:c>
      <x:c r="C1785" s="40" t="n">
        <x:v>-0.9780802867991945</x:v>
      </x:c>
      <x:c r="D1785" s="40" t="n">
        <x:v>0.93045676841672</x:v>
      </x:c>
      <x:c r="E1785" t="n">
        <x:f>--((B1785^2/$B$4^2+C1785^2/$B$5^2+D1785^2/$B$6^2)&lt;=1)</x:f>
        <x:v>1</x:v>
      </x:c>
      <x:c r="F1785" s="42" t="n">
        <x:f>$B$8*SUM($E$18:E1785)/A1785</x:f>
        <x:v>99.90950226244344</x:v>
      </x:c>
      <x:c r="G1785" s="42" t="n">
        <x:f>$B$11</x:f>
        <x:v>100.53096491487338</x:v>
      </x:c>
      <x:c r="I1785" t="n">
        <x:f>A1785</x:f>
        <x:v>1768</x:v>
      </x:c>
      <x:c r="J1785" t="n">
        <x:f>F1785</x:f>
        <x:v>99.90950226244344</x:v>
      </x:c>
      <x:c r="K1785" t="n">
        <x:f>G1785</x:f>
        <x:v>100.53096491487338</x:v>
      </x:c>
    </x:row>
    <x:row r="1786">
      <x:c r="A1786" t="n">
        <x:v>1769</x:v>
      </x:c>
      <x:c r="B1786" s="40" t="n">
        <x:v>-1.4698316761943455</x:v>
      </x:c>
      <x:c r="C1786" s="40" t="n">
        <x:v>0.9722976277893749</x:v>
      </x:c>
      <x:c r="D1786" s="40" t="n">
        <x:v>-1.1875249042293312</x:v>
      </x:c>
      <x:c r="E1786" t="n">
        <x:f>--((B1786^2/$B$4^2+C1786^2/$B$5^2+D1786^2/$B$6^2)&lt;=1)</x:f>
        <x:v>1</x:v>
      </x:c>
      <x:c r="F1786" s="42" t="n">
        <x:f>$B$8*SUM($E$18:E1786)/A1786</x:f>
        <x:v>99.9615602035048</x:v>
      </x:c>
      <x:c r="G1786" s="42" t="n">
        <x:f>$B$11</x:f>
        <x:v>100.53096491487338</x:v>
      </x:c>
      <x:c r="I1786" t="n">
        <x:f>A1786</x:f>
        <x:v>1769</x:v>
      </x:c>
      <x:c r="J1786" t="n">
        <x:f>F1786</x:f>
        <x:v>99.9615602035048</x:v>
      </x:c>
      <x:c r="K1786" t="n">
        <x:f>G1786</x:f>
        <x:v>100.53096491487338</x:v>
      </x:c>
    </x:row>
    <x:row r="1787">
      <x:c r="A1787" t="n">
        <x:v>1770</x:v>
      </x:c>
      <x:c r="B1787" s="40" t="n">
        <x:v>1.3090183823629458</x:v>
      </x:c>
      <x:c r="C1787" s="40" t="n">
        <x:v>0.7838791557019213</x:v>
      </x:c>
      <x:c r="D1787" s="40" t="n">
        <x:v>1.9701858718560494</x:v>
      </x:c>
      <x:c r="E1787" t="n">
        <x:f>--((B1787^2/$B$4^2+C1787^2/$B$5^2+D1787^2/$B$6^2)&lt;=1)</x:f>
        <x:v>1</x:v>
      </x:c>
      <x:c r="F1787" s="42" t="n">
        <x:f>$B$8*SUM($E$18:E1787)/A1787</x:f>
        <x:v>100.0135593220339</x:v>
      </x:c>
      <x:c r="G1787" s="42" t="n">
        <x:f>$B$11</x:f>
        <x:v>100.53096491487338</x:v>
      </x:c>
      <x:c r="I1787" t="n">
        <x:f>A1787</x:f>
        <x:v>1770</x:v>
      </x:c>
      <x:c r="J1787" t="n">
        <x:f>F1787</x:f>
        <x:v>100.0135593220339</x:v>
      </x:c>
      <x:c r="K1787" t="n">
        <x:f>G1787</x:f>
        <x:v>100.53096491487338</x:v>
      </x:c>
    </x:row>
    <x:row r="1788">
      <x:c r="A1788" t="n">
        <x:v>1771</x:v>
      </x:c>
      <x:c r="B1788" s="40" t="n">
        <x:v>0.3209608669717725</x:v>
      </x:c>
      <x:c r="C1788" s="40" t="n">
        <x:v>2.639232535365542</x:v>
      </x:c>
      <x:c r="D1788" s="40" t="n">
        <x:v>2.4105386097268973</x:v>
      </x:c>
      <x:c r="E1788" t="n">
        <x:f>--((B1788^2/$B$4^2+C1788^2/$B$5^2+D1788^2/$B$6^2)&lt;=1)</x:f>
        <x:v>0</x:v>
      </x:c>
      <x:c r="F1788" s="42" t="n">
        <x:f>$B$8*SUM($E$18:E1788)/A1788</x:f>
        <x:v>99.957086391869</x:v>
      </x:c>
      <x:c r="G1788" s="42" t="n">
        <x:f>$B$11</x:f>
        <x:v>100.53096491487338</x:v>
      </x:c>
      <x:c r="I1788" t="n">
        <x:f>A1788</x:f>
        <x:v>1771</x:v>
      </x:c>
      <x:c r="J1788" t="n">
        <x:f>F1788</x:f>
        <x:v>99.957086391869</x:v>
      </x:c>
      <x:c r="K1788" t="n">
        <x:f>G1788</x:f>
        <x:v>100.53096491487338</x:v>
      </x:c>
    </x:row>
    <x:row r="1789">
      <x:c r="A1789" t="n">
        <x:v>1772</x:v>
      </x:c>
      <x:c r="B1789" s="40" t="n">
        <x:v>1.0976688182773295</x:v>
      </x:c>
      <x:c r="C1789" s="40" t="n">
        <x:v>2.7675631004902783</x:v>
      </x:c>
      <x:c r="D1789" s="40" t="n">
        <x:v>3.0067567474350483</x:v>
      </x:c>
      <x:c r="E1789" t="n">
        <x:f>--((B1789^2/$B$4^2+C1789^2/$B$5^2+D1789^2/$B$6^2)&lt;=1)</x:f>
        <x:v>0</x:v>
      </x:c>
      <x:c r="F1789" s="42" t="n">
        <x:f>$B$8*SUM($E$18:E1789)/A1789</x:f>
        <x:v>99.90067720090293</x:v>
      </x:c>
      <x:c r="G1789" s="42" t="n">
        <x:f>$B$11</x:f>
        <x:v>100.53096491487338</x:v>
      </x:c>
      <x:c r="I1789" t="n">
        <x:f>A1789</x:f>
        <x:v>1772</x:v>
      </x:c>
      <x:c r="J1789" t="n">
        <x:f>F1789</x:f>
        <x:v>99.90067720090293</x:v>
      </x:c>
      <x:c r="K1789" t="n">
        <x:f>G1789</x:f>
        <x:v>100.53096491487338</x:v>
      </x:c>
    </x:row>
    <x:row r="1790">
      <x:c r="A1790" t="n">
        <x:v>1773</x:v>
      </x:c>
      <x:c r="B1790" s="40" t="n">
        <x:v>0.52364803109062</x:v>
      </x:c>
      <x:c r="C1790" s="40" t="n">
        <x:v>1.0841026539924314</x:v>
      </x:c>
      <x:c r="D1790" s="40" t="n">
        <x:v>-2.057592558037782</x:v>
      </x:c>
      <x:c r="E1790" t="n">
        <x:f>--((B1790^2/$B$4^2+C1790^2/$B$5^2+D1790^2/$B$6^2)&lt;=1)</x:f>
        <x:v>1</x:v>
      </x:c>
      <x:c r="F1790" s="42" t="n">
        <x:f>$B$8*SUM($E$18:E1790)/A1790</x:f>
        <x:v>99.95262267343486</x:v>
      </x:c>
      <x:c r="G1790" s="42" t="n">
        <x:f>$B$11</x:f>
        <x:v>100.53096491487338</x:v>
      </x:c>
      <x:c r="I1790" t="n">
        <x:f>A1790</x:f>
        <x:v>1773</x:v>
      </x:c>
      <x:c r="J1790" t="n">
        <x:f>F1790</x:f>
        <x:v>99.95262267343486</x:v>
      </x:c>
      <x:c r="K1790" t="n">
        <x:f>G1790</x:f>
        <x:v>100.53096491487338</x:v>
      </x:c>
    </x:row>
    <x:row r="1791">
      <x:c r="A1791" t="n">
        <x:v>1774</x:v>
      </x:c>
      <x:c r="B1791" s="40" t="n">
        <x:v>1.5287002813157922</x:v>
      </x:c>
      <x:c r="C1791" s="40" t="n">
        <x:v>1.906895563465011</x:v>
      </x:c>
      <x:c r="D1791" s="40" t="n">
        <x:v>0.21617639433900315</x:v>
      </x:c>
      <x:c r="E1791" t="n">
        <x:f>--((B1791^2/$B$4^2+C1791^2/$B$5^2+D1791^2/$B$6^2)&lt;=1)</x:f>
        <x:v>1</x:v>
      </x:c>
      <x:c r="F1791" s="42" t="n">
        <x:f>$B$8*SUM($E$18:E1791)/A1791</x:f>
        <x:v>100.00450958286359</x:v>
      </x:c>
      <x:c r="G1791" s="42" t="n">
        <x:f>$B$11</x:f>
        <x:v>100.53096491487338</x:v>
      </x:c>
      <x:c r="I1791" t="n">
        <x:f>A1791</x:f>
        <x:v>1774</x:v>
      </x:c>
      <x:c r="J1791" t="n">
        <x:f>F1791</x:f>
        <x:v>100.00450958286359</x:v>
      </x:c>
      <x:c r="K1791" t="n">
        <x:f>G1791</x:f>
        <x:v>100.53096491487338</x:v>
      </x:c>
    </x:row>
    <x:row r="1792">
      <x:c r="A1792" t="n">
        <x:v>1775</x:v>
      </x:c>
      <x:c r="B1792" s="40" t="n">
        <x:v>0.5538701110589623</x:v>
      </x:c>
      <x:c r="C1792" s="40" t="n">
        <x:v>1.7545506020110713</x:v>
      </x:c>
      <x:c r="D1792" s="40" t="n">
        <x:v>-2.2124430661612893</x:v>
      </x:c>
      <x:c r="E1792" t="n">
        <x:f>--((B1792^2/$B$4^2+C1792^2/$B$5^2+D1792^2/$B$6^2)&lt;=1)</x:f>
        <x:v>1</x:v>
      </x:c>
      <x:c r="F1792" s="42" t="n">
        <x:f>$B$8*SUM($E$18:E1792)/A1792</x:f>
        <x:v>100.05633802816901</x:v>
      </x:c>
      <x:c r="G1792" s="42" t="n">
        <x:f>$B$11</x:f>
        <x:v>100.53096491487338</x:v>
      </x:c>
      <x:c r="I1792" t="n">
        <x:f>A1792</x:f>
        <x:v>1775</x:v>
      </x:c>
      <x:c r="J1792" t="n">
        <x:f>F1792</x:f>
        <x:v>100.05633802816901</x:v>
      </x:c>
      <x:c r="K1792" t="n">
        <x:f>G1792</x:f>
        <x:v>100.53096491487338</x:v>
      </x:c>
    </x:row>
    <x:row r="1793">
      <x:c r="A1793" t="n">
        <x:v>1776</x:v>
      </x:c>
      <x:c r="B1793" s="40" t="n">
        <x:v>0.0885003716126036</x:v>
      </x:c>
      <x:c r="C1793" s="40" t="n">
        <x:v>-0.05217880380060125</x:v>
      </x:c>
      <x:c r="D1793" s="40" t="n">
        <x:v>-3.699553412637271</x:v>
      </x:c>
      <x:c r="E1793" t="n">
        <x:f>--((B1793^2/$B$4^2+C1793^2/$B$5^2+D1793^2/$B$6^2)&lt;=1)</x:f>
        <x:v>1</x:v>
      </x:c>
      <x:c r="F1793" s="42" t="n">
        <x:f>$B$8*SUM($E$18:E1793)/A1793</x:f>
        <x:v>100.10810810810811</x:v>
      </x:c>
      <x:c r="G1793" s="42" t="n">
        <x:f>$B$11</x:f>
        <x:v>100.53096491487338</x:v>
      </x:c>
      <x:c r="I1793" t="n">
        <x:f>A1793</x:f>
        <x:v>1776</x:v>
      </x:c>
      <x:c r="J1793" t="n">
        <x:f>F1793</x:f>
        <x:v>100.10810810810811</x:v>
      </x:c>
      <x:c r="K1793" t="n">
        <x:f>G1793</x:f>
        <x:v>100.53096491487338</x:v>
      </x:c>
    </x:row>
    <x:row r="1794">
      <x:c r="A1794" t="n">
        <x:v>1777</x:v>
      </x:c>
      <x:c r="B1794" s="40" t="n">
        <x:v>0.8509987750451988</x:v>
      </x:c>
      <x:c r="C1794" s="40" t="n">
        <x:v>1.2267497282005015</x:v>
      </x:c>
      <x:c r="D1794" s="40" t="n">
        <x:v>1.6626024333587015</x:v>
      </x:c>
      <x:c r="E1794" t="n">
        <x:f>--((B1794^2/$B$4^2+C1794^2/$B$5^2+D1794^2/$B$6^2)&lt;=1)</x:f>
        <x:v>1</x:v>
      </x:c>
      <x:c r="F1794" s="42" t="n">
        <x:f>$B$8*SUM($E$18:E1794)/A1794</x:f>
        <x:v>100.15981992121553</x:v>
      </x:c>
      <x:c r="G1794" s="42" t="n">
        <x:f>$B$11</x:f>
        <x:v>100.53096491487338</x:v>
      </x:c>
      <x:c r="I1794" t="n">
        <x:f>A1794</x:f>
        <x:v>1777</x:v>
      </x:c>
      <x:c r="J1794" t="n">
        <x:f>F1794</x:f>
        <x:v>100.15981992121553</x:v>
      </x:c>
      <x:c r="K1794" t="n">
        <x:f>G1794</x:f>
        <x:v>100.53096491487338</x:v>
      </x:c>
    </x:row>
    <x:row r="1795">
      <x:c r="A1795" t="n">
        <x:v>1778</x:v>
      </x:c>
      <x:c r="B1795" s="40" t="n">
        <x:v>-0.21042899283156213</x:v>
      </x:c>
      <x:c r="C1795" s="40" t="n">
        <x:v>-2.530445953898579</x:v>
      </x:c>
      <x:c r="D1795" s="40" t="n">
        <x:v>0.3918501914809971</x:v>
      </x:c>
      <x:c r="E1795" t="n">
        <x:f>--((B1795^2/$B$4^2+C1795^2/$B$5^2+D1795^2/$B$6^2)&lt;=1)</x:f>
        <x:v>1</x:v>
      </x:c>
      <x:c r="F1795" s="42" t="n">
        <x:f>$B$8*SUM($E$18:E1795)/A1795</x:f>
        <x:v>100.21147356580427</x:v>
      </x:c>
      <x:c r="G1795" s="42" t="n">
        <x:f>$B$11</x:f>
        <x:v>100.53096491487338</x:v>
      </x:c>
      <x:c r="I1795" t="n">
        <x:f>A1795</x:f>
        <x:v>1778</x:v>
      </x:c>
      <x:c r="J1795" t="n">
        <x:f>F1795</x:f>
        <x:v>100.21147356580427</x:v>
      </x:c>
      <x:c r="K1795" t="n">
        <x:f>G1795</x:f>
        <x:v>100.53096491487338</x:v>
      </x:c>
    </x:row>
    <x:row r="1796">
      <x:c r="A1796" t="n">
        <x:v>1779</x:v>
      </x:c>
      <x:c r="B1796" s="40" t="n">
        <x:v>-0.6157447083810612</x:v>
      </x:c>
      <x:c r="C1796" s="40" t="n">
        <x:v>1.5481264989018415</x:v>
      </x:c>
      <x:c r="D1796" s="40" t="n">
        <x:v>1.7914182364246694</x:v>
      </x:c>
      <x:c r="E1796" t="n">
        <x:f>--((B1796^2/$B$4^2+C1796^2/$B$5^2+D1796^2/$B$6^2)&lt;=1)</x:f>
        <x:v>1</x:v>
      </x:c>
      <x:c r="F1796" s="42" t="n">
        <x:f>$B$8*SUM($E$18:E1796)/A1796</x:f>
        <x:v>100.26306913996628</x:v>
      </x:c>
      <x:c r="G1796" s="42" t="n">
        <x:f>$B$11</x:f>
        <x:v>100.53096491487338</x:v>
      </x:c>
      <x:c r="I1796" t="n">
        <x:f>A1796</x:f>
        <x:v>1779</x:v>
      </x:c>
      <x:c r="J1796" t="n">
        <x:f>F1796</x:f>
        <x:v>100.26306913996628</x:v>
      </x:c>
      <x:c r="K1796" t="n">
        <x:f>G1796</x:f>
        <x:v>100.53096491487338</x:v>
      </x:c>
    </x:row>
    <x:row r="1797">
      <x:c r="A1797" t="n">
        <x:v>1780</x:v>
      </x:c>
      <x:c r="B1797" s="40" t="n">
        <x:v>-0.1293901901991501</x:v>
      </x:c>
      <x:c r="C1797" s="40" t="n">
        <x:v>2.770998043154206</x:v>
      </x:c>
      <x:c r="D1797" s="40" t="n">
        <x:v>-3.299016708747703</x:v>
      </x:c>
      <x:c r="E1797" t="n">
        <x:f>--((B1797^2/$B$4^2+C1797^2/$B$5^2+D1797^2/$B$6^2)&lt;=1)</x:f>
        <x:v>0</x:v>
      </x:c>
      <x:c r="F1797" s="42" t="n">
        <x:f>$B$8*SUM($E$18:E1797)/A1797</x:f>
        <x:v>100.20674157303371</x:v>
      </x:c>
      <x:c r="G1797" s="42" t="n">
        <x:f>$B$11</x:f>
        <x:v>100.53096491487338</x:v>
      </x:c>
      <x:c r="I1797" t="n">
        <x:f>A1797</x:f>
        <x:v>1780</x:v>
      </x:c>
      <x:c r="J1797" t="n">
        <x:f>F1797</x:f>
        <x:v>100.20674157303371</x:v>
      </x:c>
      <x:c r="K1797" t="n">
        <x:f>G1797</x:f>
        <x:v>100.53096491487338</x:v>
      </x:c>
    </x:row>
    <x:row r="1798">
      <x:c r="A1798" t="n">
        <x:v>1781</x:v>
      </x:c>
      <x:c r="B1798" s="40" t="n">
        <x:v>-1.3211435796057573</x:v>
      </x:c>
      <x:c r="C1798" s="40" t="n">
        <x:v>-2.4901514812455696</x:v>
      </x:c>
      <x:c r="D1798" s="40" t="n">
        <x:v>3.9642094324955357</x:v>
      </x:c>
      <x:c r="E1798" t="n">
        <x:f>--((B1798^2/$B$4^2+C1798^2/$B$5^2+D1798^2/$B$6^2)&lt;=1)</x:f>
        <x:v>0</x:v>
      </x:c>
      <x:c r="F1798" s="42" t="n">
        <x:f>$B$8*SUM($E$18:E1798)/A1798</x:f>
        <x:v>100.15047725996631</x:v>
      </x:c>
      <x:c r="G1798" s="42" t="n">
        <x:f>$B$11</x:f>
        <x:v>100.53096491487338</x:v>
      </x:c>
      <x:c r="I1798" t="n">
        <x:f>A1798</x:f>
        <x:v>1781</x:v>
      </x:c>
      <x:c r="J1798" t="n">
        <x:f>F1798</x:f>
        <x:v>100.15047725996631</x:v>
      </x:c>
      <x:c r="K1798" t="n">
        <x:f>G1798</x:f>
        <x:v>100.53096491487338</x:v>
      </x:c>
    </x:row>
    <x:row r="1799">
      <x:c r="A1799" t="n">
        <x:v>1782</x:v>
      </x:c>
      <x:c r="B1799" s="40" t="n">
        <x:v>1.1862869192107657</x:v>
      </x:c>
      <x:c r="C1799" s="40" t="n">
        <x:v>2.0166947075511272</x:v>
      </x:c>
      <x:c r="D1799" s="40" t="n">
        <x:v>3.954788535576256</x:v>
      </x:c>
      <x:c r="E1799" t="n">
        <x:f>--((B1799^2/$B$4^2+C1799^2/$B$5^2+D1799^2/$B$6^2)&lt;=1)</x:f>
        <x:v>0</x:v>
      </x:c>
      <x:c r="F1799" s="42" t="n">
        <x:f>$B$8*SUM($E$18:E1799)/A1799</x:f>
        <x:v>100.0942760942761</x:v>
      </x:c>
      <x:c r="G1799" s="42" t="n">
        <x:f>$B$11</x:f>
        <x:v>100.53096491487338</x:v>
      </x:c>
      <x:c r="I1799" t="n">
        <x:f>A1799</x:f>
        <x:v>1782</x:v>
      </x:c>
      <x:c r="J1799" t="n">
        <x:f>F1799</x:f>
        <x:v>100.0942760942761</x:v>
      </x:c>
      <x:c r="K1799" t="n">
        <x:f>G1799</x:f>
        <x:v>100.53096491487338</x:v>
      </x:c>
    </x:row>
    <x:row r="1800">
      <x:c r="A1800" t="n">
        <x:v>1783</x:v>
      </x:c>
      <x:c r="B1800" s="40" t="n">
        <x:v>-0.9571848746562215</x:v>
      </x:c>
      <x:c r="C1800" s="40" t="n">
        <x:v>2.5978801598956274</x:v>
      </x:c>
      <x:c r="D1800" s="40" t="n">
        <x:v>-0.2800013959718983</x:v>
      </x:c>
      <x:c r="E1800" t="n">
        <x:f>--((B1800^2/$B$4^2+C1800^2/$B$5^2+D1800^2/$B$6^2)&lt;=1)</x:f>
        <x:v>1</x:v>
      </x:c>
      <x:c r="F1800" s="42" t="n">
        <x:f>$B$8*SUM($E$18:E1800)/A1800</x:f>
        <x:v>100.14582164890633</x:v>
      </x:c>
      <x:c r="G1800" s="42" t="n">
        <x:f>$B$11</x:f>
        <x:v>100.53096491487338</x:v>
      </x:c>
      <x:c r="I1800" t="n">
        <x:f>A1800</x:f>
        <x:v>1783</x:v>
      </x:c>
      <x:c r="J1800" t="n">
        <x:f>F1800</x:f>
        <x:v>100.14582164890633</x:v>
      </x:c>
      <x:c r="K1800" t="n">
        <x:f>G1800</x:f>
        <x:v>100.53096491487338</x:v>
      </x:c>
    </x:row>
    <x:row r="1801">
      <x:c r="A1801" t="n">
        <x:v>1784</x:v>
      </x:c>
      <x:c r="B1801" s="40" t="n">
        <x:v>-1.3858738146518101</x:v>
      </x:c>
      <x:c r="C1801" s="40" t="n">
        <x:v>-1.6428666611876275</x:v>
      </x:c>
      <x:c r="D1801" s="40" t="n">
        <x:v>2.9284697214706883</x:v>
      </x:c>
      <x:c r="E1801" t="n">
        <x:f>--((B1801^2/$B$4^2+C1801^2/$B$5^2+D1801^2/$B$6^2)&lt;=1)</x:f>
        <x:v>0</x:v>
      </x:c>
      <x:c r="F1801" s="42" t="n">
        <x:f>$B$8*SUM($E$18:E1801)/A1801</x:f>
        <x:v>100.08968609865471</x:v>
      </x:c>
      <x:c r="G1801" s="42" t="n">
        <x:f>$B$11</x:f>
        <x:v>100.53096491487338</x:v>
      </x:c>
      <x:c r="I1801" t="n">
        <x:f>A1801</x:f>
        <x:v>1784</x:v>
      </x:c>
      <x:c r="J1801" t="n">
        <x:f>F1801</x:f>
        <x:v>100.08968609865471</x:v>
      </x:c>
      <x:c r="K1801" t="n">
        <x:f>G1801</x:f>
        <x:v>100.53096491487338</x:v>
      </x:c>
    </x:row>
    <x:row r="1802">
      <x:c r="A1802" t="n">
        <x:v>1785</x:v>
      </x:c>
      <x:c r="B1802" s="40" t="n">
        <x:v>-1.0145910328670928</x:v>
      </x:c>
      <x:c r="C1802" s="40" t="n">
        <x:v>0.1488671256552223</x:v>
      </x:c>
      <x:c r="D1802" s="40" t="n">
        <x:v>-2.0514515535555455</x:v>
      </x:c>
      <x:c r="E1802" t="n">
        <x:f>--((B1802^2/$B$4^2+C1802^2/$B$5^2+D1802^2/$B$6^2)&lt;=1)</x:f>
        <x:v>1</x:v>
      </x:c>
      <x:c r="F1802" s="42" t="n">
        <x:f>$B$8*SUM($E$18:E1802)/A1802</x:f>
        <x:v>100.14117647058823</x:v>
      </x:c>
      <x:c r="G1802" s="42" t="n">
        <x:f>$B$11</x:f>
        <x:v>100.53096491487338</x:v>
      </x:c>
      <x:c r="I1802" t="n">
        <x:f>A1802</x:f>
        <x:v>1785</x:v>
      </x:c>
      <x:c r="J1802" t="n">
        <x:f>F1802</x:f>
        <x:v>100.14117647058823</x:v>
      </x:c>
      <x:c r="K1802" t="n">
        <x:f>G1802</x:f>
        <x:v>100.53096491487338</x:v>
      </x:c>
    </x:row>
    <x:row r="1803">
      <x:c r="A1803" t="n">
        <x:v>1786</x:v>
      </x:c>
      <x:c r="B1803" s="40" t="n">
        <x:v>1.368280607088959</x:v>
      </x:c>
      <x:c r="C1803" s="40" t="n">
        <x:v>2.567149352777931</x:v>
      </x:c>
      <x:c r="D1803" s="40" t="n">
        <x:v>1.900529289786376</x:v>
      </x:c>
      <x:c r="E1803" t="n">
        <x:f>--((B1803^2/$B$4^2+C1803^2/$B$5^2+D1803^2/$B$6^2)&lt;=1)</x:f>
        <x:v>0</x:v>
      </x:c>
      <x:c r="F1803" s="42" t="n">
        <x:f>$B$8*SUM($E$18:E1803)/A1803</x:f>
        <x:v>100.08510638297872</x:v>
      </x:c>
      <x:c r="G1803" s="42" t="n">
        <x:f>$B$11</x:f>
        <x:v>100.53096491487338</x:v>
      </x:c>
      <x:c r="I1803" t="n">
        <x:f>A1803</x:f>
        <x:v>1786</x:v>
      </x:c>
      <x:c r="J1803" t="n">
        <x:f>F1803</x:f>
        <x:v>100.08510638297872</x:v>
      </x:c>
      <x:c r="K1803" t="n">
        <x:f>G1803</x:f>
        <x:v>100.53096491487338</x:v>
      </x:c>
    </x:row>
    <x:row r="1804">
      <x:c r="A1804" t="n">
        <x:v>1787</x:v>
      </x:c>
      <x:c r="B1804" s="40" t="n">
        <x:v>-0.6791948176090745</x:v>
      </x:c>
      <x:c r="C1804" s="40" t="n">
        <x:v>2.7613560271378077</x:v>
      </x:c>
      <x:c r="D1804" s="40" t="n">
        <x:v>3.0338068545085264</x:v>
      </x:c>
      <x:c r="E1804" t="n">
        <x:f>--((B1804^2/$B$4^2+C1804^2/$B$5^2+D1804^2/$B$6^2)&lt;=1)</x:f>
        <x:v>0</x:v>
      </x:c>
      <x:c r="F1804" s="42" t="n">
        <x:f>$B$8*SUM($E$18:E1804)/A1804</x:f>
        <x:v>100.02909904868494</x:v>
      </x:c>
      <x:c r="G1804" s="42" t="n">
        <x:f>$B$11</x:f>
        <x:v>100.53096491487338</x:v>
      </x:c>
      <x:c r="I1804" t="n">
        <x:f>A1804</x:f>
        <x:v>1787</x:v>
      </x:c>
      <x:c r="J1804" t="n">
        <x:f>F1804</x:f>
        <x:v>100.02909904868494</x:v>
      </x:c>
      <x:c r="K1804" t="n">
        <x:f>G1804</x:f>
        <x:v>100.53096491487338</x:v>
      </x:c>
    </x:row>
    <x:row r="1805">
      <x:c r="A1805" t="n">
        <x:v>1788</x:v>
      </x:c>
      <x:c r="B1805" s="40" t="n">
        <x:v>0.7441994780236008</x:v>
      </x:c>
      <x:c r="C1805" s="40" t="n">
        <x:v>-2.2327056938861016</x:v>
      </x:c>
      <x:c r="D1805" s="40" t="n">
        <x:v>2.517330128646228</x:v>
      </x:c>
      <x:c r="E1805" t="n">
        <x:f>--((B1805^2/$B$4^2+C1805^2/$B$5^2+D1805^2/$B$6^2)&lt;=1)</x:f>
        <x:v>0</x:v>
      </x:c>
      <x:c r="F1805" s="42" t="n">
        <x:f>$B$8*SUM($E$18:E1805)/A1805</x:f>
        <x:v>99.97315436241611</x:v>
      </x:c>
      <x:c r="G1805" s="42" t="n">
        <x:f>$B$11</x:f>
        <x:v>100.53096491487338</x:v>
      </x:c>
      <x:c r="I1805" t="n">
        <x:f>A1805</x:f>
        <x:v>1788</x:v>
      </x:c>
      <x:c r="J1805" t="n">
        <x:f>F1805</x:f>
        <x:v>99.97315436241611</x:v>
      </x:c>
      <x:c r="K1805" t="n">
        <x:f>G1805</x:f>
        <x:v>100.53096491487338</x:v>
      </x:c>
    </x:row>
    <x:row r="1806">
      <x:c r="A1806" t="n">
        <x:v>1789</x:v>
      </x:c>
      <x:c r="B1806" s="40" t="n">
        <x:v>1.425638522622957</x:v>
      </x:c>
      <x:c r="C1806" s="40" t="n">
        <x:v>-0.9059746466672962</x:v>
      </x:c>
      <x:c r="D1806" s="40" t="n">
        <x:v>2.4941926259292595</x:v>
      </x:c>
      <x:c r="E1806" t="n">
        <x:f>--((B1806^2/$B$4^2+C1806^2/$B$5^2+D1806^2/$B$6^2)&lt;=1)</x:f>
        <x:v>1</x:v>
      </x:c>
      <x:c r="F1806" s="42" t="n">
        <x:f>$B$8*SUM($E$18:E1806)/A1806</x:f>
        <x:v>100.02459474566797</x:v>
      </x:c>
      <x:c r="G1806" s="42" t="n">
        <x:f>$B$11</x:f>
        <x:v>100.53096491487338</x:v>
      </x:c>
      <x:c r="I1806" t="n">
        <x:f>A1806</x:f>
        <x:v>1789</x:v>
      </x:c>
      <x:c r="J1806" t="n">
        <x:f>F1806</x:f>
        <x:v>100.02459474566797</x:v>
      </x:c>
      <x:c r="K1806" t="n">
        <x:f>G1806</x:f>
        <x:v>100.53096491487338</x:v>
      </x:c>
    </x:row>
    <x:row r="1807">
      <x:c r="A1807" t="n">
        <x:v>1790</x:v>
      </x:c>
      <x:c r="B1807" s="40" t="n">
        <x:v>-1.6890213322998315</x:v>
      </x:c>
      <x:c r="C1807" s="40" t="n">
        <x:v>1.18886784690514</x:v>
      </x:c>
      <x:c r="D1807" s="40" t="n">
        <x:v>-0.2957869432890794</x:v>
      </x:c>
      <x:c r="E1807" t="n">
        <x:f>--((B1807^2/$B$4^2+C1807^2/$B$5^2+D1807^2/$B$6^2)&lt;=1)</x:f>
        <x:v>1</x:v>
      </x:c>
      <x:c r="F1807" s="42" t="n">
        <x:f>$B$8*SUM($E$18:E1807)/A1807</x:f>
        <x:v>100.07597765363128</x:v>
      </x:c>
      <x:c r="G1807" s="42" t="n">
        <x:f>$B$11</x:f>
        <x:v>100.53096491487338</x:v>
      </x:c>
      <x:c r="I1807" t="n">
        <x:f>A1807</x:f>
        <x:v>1790</x:v>
      </x:c>
      <x:c r="J1807" t="n">
        <x:f>F1807</x:f>
        <x:v>100.07597765363128</x:v>
      </x:c>
      <x:c r="K1807" t="n">
        <x:f>G1807</x:f>
        <x:v>100.53096491487338</x:v>
      </x:c>
    </x:row>
    <x:row r="1808">
      <x:c r="A1808" t="n">
        <x:v>1791</x:v>
      </x:c>
      <x:c r="B1808" s="40" t="n">
        <x:v>1.0600976207121717</x:v>
      </x:c>
      <x:c r="C1808" s="40" t="n">
        <x:v>-1.6706490036844182</x:v>
      </x:c>
      <x:c r="D1808" s="40" t="n">
        <x:v>2.559919582230182</x:v>
      </x:c>
      <x:c r="E1808" t="n">
        <x:f>--((B1808^2/$B$4^2+C1808^2/$B$5^2+D1808^2/$B$6^2)&lt;=1)</x:f>
        <x:v>0</x:v>
      </x:c>
      <x:c r="F1808" s="42" t="n">
        <x:f>$B$8*SUM($E$18:E1808)/A1808</x:f>
        <x:v>100.02010050251256</x:v>
      </x:c>
      <x:c r="G1808" s="42" t="n">
        <x:f>$B$11</x:f>
        <x:v>100.53096491487338</x:v>
      </x:c>
      <x:c r="I1808" t="n">
        <x:f>A1808</x:f>
        <x:v>1791</x:v>
      </x:c>
      <x:c r="J1808" t="n">
        <x:f>F1808</x:f>
        <x:v>100.02010050251256</x:v>
      </x:c>
      <x:c r="K1808" t="n">
        <x:f>G1808</x:f>
        <x:v>100.53096491487338</x:v>
      </x:c>
    </x:row>
    <x:row r="1809">
      <x:c r="A1809" t="n">
        <x:v>1792</x:v>
      </x:c>
      <x:c r="B1809" s="40" t="n">
        <x:v>-0.7693381344838799</x:v>
      </x:c>
      <x:c r="C1809" s="40" t="n">
        <x:v>-1.0513762281931152</x:v>
      </x:c>
      <x:c r="D1809" s="40" t="n">
        <x:v>1.525638504170404</x:v>
      </x:c>
      <x:c r="E1809" t="n">
        <x:f>--((B1809^2/$B$4^2+C1809^2/$B$5^2+D1809^2/$B$6^2)&lt;=1)</x:f>
        <x:v>1</x:v>
      </x:c>
      <x:c r="F1809" s="42" t="n">
        <x:f>$B$8*SUM($E$18:E1809)/A1809</x:f>
        <x:v>100.07142857142857</x:v>
      </x:c>
      <x:c r="G1809" s="42" t="n">
        <x:f>$B$11</x:f>
        <x:v>100.53096491487338</x:v>
      </x:c>
      <x:c r="I1809" t="n">
        <x:f>A1809</x:f>
        <x:v>1792</x:v>
      </x:c>
      <x:c r="J1809" t="n">
        <x:f>F1809</x:f>
        <x:v>100.07142857142857</x:v>
      </x:c>
      <x:c r="K1809" t="n">
        <x:f>G1809</x:f>
        <x:v>100.53096491487338</x:v>
      </x:c>
    </x:row>
    <x:row r="1810">
      <x:c r="A1810" t="n">
        <x:v>1793</x:v>
      </x:c>
      <x:c r="B1810" s="40" t="n">
        <x:v>-1.1335105432638293</x:v>
      </x:c>
      <x:c r="C1810" s="40" t="n">
        <x:v>-2.86025363997184</x:v>
      </x:c>
      <x:c r="D1810" s="40" t="n">
        <x:v>-2.940388814846365</x:v>
      </x:c>
      <x:c r="E1810" t="n">
        <x:f>--((B1810^2/$B$4^2+C1810^2/$B$5^2+D1810^2/$B$6^2)&lt;=1)</x:f>
        <x:v>0</x:v>
      </x:c>
      <x:c r="F1810" s="42" t="n">
        <x:f>$B$8*SUM($E$18:E1810)/A1810</x:f>
        <x:v>100.01561628555494</x:v>
      </x:c>
      <x:c r="G1810" s="42" t="n">
        <x:f>$B$11</x:f>
        <x:v>100.53096491487338</x:v>
      </x:c>
      <x:c r="I1810" t="n">
        <x:f>A1810</x:f>
        <x:v>1793</x:v>
      </x:c>
      <x:c r="J1810" t="n">
        <x:f>F1810</x:f>
        <x:v>100.01561628555494</x:v>
      </x:c>
      <x:c r="K1810" t="n">
        <x:f>G1810</x:f>
        <x:v>100.53096491487338</x:v>
      </x:c>
    </x:row>
    <x:row r="1811">
      <x:c r="A1811" t="n">
        <x:v>1794</x:v>
      </x:c>
      <x:c r="B1811" s="40" t="n">
        <x:v>0.7556058098118887</x:v>
      </x:c>
      <x:c r="C1811" s="40" t="n">
        <x:v>-2.078869914412807</x:v>
      </x:c>
      <x:c r="D1811" s="40" t="n">
        <x:v>-3.086524767483839</x:v>
      </x:c>
      <x:c r="E1811" t="n">
        <x:f>--((B1811^2/$B$4^2+C1811^2/$B$5^2+D1811^2/$B$6^2)&lt;=1)</x:f>
        <x:v>0</x:v>
      </x:c>
      <x:c r="F1811" s="42" t="n">
        <x:f>$B$8*SUM($E$18:E1811)/A1811</x:f>
        <x:v>99.95986622073579</x:v>
      </x:c>
      <x:c r="G1811" s="42" t="n">
        <x:f>$B$11</x:f>
        <x:v>100.53096491487338</x:v>
      </x:c>
      <x:c r="I1811" t="n">
        <x:f>A1811</x:f>
        <x:v>1794</x:v>
      </x:c>
      <x:c r="J1811" t="n">
        <x:f>F1811</x:f>
        <x:v>99.95986622073579</x:v>
      </x:c>
      <x:c r="K1811" t="n">
        <x:f>G1811</x:f>
        <x:v>100.53096491487338</x:v>
      </x:c>
    </x:row>
    <x:row r="1812">
      <x:c r="A1812" t="n">
        <x:v>1795</x:v>
      </x:c>
      <x:c r="B1812" s="40" t="n">
        <x:v>1.6391864909329352</x:v>
      </x:c>
      <x:c r="C1812" s="40" t="n">
        <x:v>0.37397696650646317</x:v>
      </x:c>
      <x:c r="D1812" s="40" t="n">
        <x:v>2.175377087477119</x:v>
      </x:c>
      <x:c r="E1812" t="n">
        <x:f>--((B1812^2/$B$4^2+C1812^2/$B$5^2+D1812^2/$B$6^2)&lt;=1)</x:f>
        <x:v>1</x:v>
      </x:c>
      <x:c r="F1812" s="42" t="n">
        <x:f>$B$8*SUM($E$18:E1812)/A1812</x:f>
        <x:v>100.01114206128133</x:v>
      </x:c>
      <x:c r="G1812" s="42" t="n">
        <x:f>$B$11</x:f>
        <x:v>100.53096491487338</x:v>
      </x:c>
      <x:c r="I1812" t="n">
        <x:f>A1812</x:f>
        <x:v>1795</x:v>
      </x:c>
      <x:c r="J1812" t="n">
        <x:f>F1812</x:f>
        <x:v>100.01114206128133</x:v>
      </x:c>
      <x:c r="K1812" t="n">
        <x:f>G1812</x:f>
        <x:v>100.53096491487338</x:v>
      </x:c>
    </x:row>
    <x:row r="1813">
      <x:c r="A1813" t="n">
        <x:v>1796</x:v>
      </x:c>
      <x:c r="B1813" s="40" t="n">
        <x:v>-0.8199231651504184</x:v>
      </x:c>
      <x:c r="C1813" s="40" t="n">
        <x:v>0.9185403978250966</x:v>
      </x:c>
      <x:c r="D1813" s="40" t="n">
        <x:v>1.0037127101833905</x:v>
      </x:c>
      <x:c r="E1813" t="n">
        <x:f>--((B1813^2/$B$4^2+C1813^2/$B$5^2+D1813^2/$B$6^2)&lt;=1)</x:f>
        <x:v>1</x:v>
      </x:c>
      <x:c r="F1813" s="42" t="n">
        <x:f>$B$8*SUM($E$18:E1813)/A1813</x:f>
        <x:v>100.06236080178174</x:v>
      </x:c>
      <x:c r="G1813" s="42" t="n">
        <x:f>$B$11</x:f>
        <x:v>100.53096491487338</x:v>
      </x:c>
      <x:c r="I1813" t="n">
        <x:f>A1813</x:f>
        <x:v>1796</x:v>
      </x:c>
      <x:c r="J1813" t="n">
        <x:f>F1813</x:f>
        <x:v>100.06236080178174</x:v>
      </x:c>
      <x:c r="K1813" t="n">
        <x:f>G1813</x:f>
        <x:v>100.53096491487338</x:v>
      </x:c>
    </x:row>
    <x:row r="1814">
      <x:c r="A1814" t="n">
        <x:v>1797</x:v>
      </x:c>
      <x:c r="B1814" s="40" t="n">
        <x:v>0.2753352215372762</x:v>
      </x:c>
      <x:c r="C1814" s="40" t="n">
        <x:v>0.8934709865750214</x:v>
      </x:c>
      <x:c r="D1814" s="40" t="n">
        <x:v>0.15500893753101952</x:v>
      </x:c>
      <x:c r="E1814" t="n">
        <x:f>--((B1814^2/$B$4^2+C1814^2/$B$5^2+D1814^2/$B$6^2)&lt;=1)</x:f>
        <x:v>1</x:v>
      </x:c>
      <x:c r="F1814" s="42" t="n">
        <x:f>$B$8*SUM($E$18:E1814)/A1814</x:f>
        <x:v>100.1135225375626</x:v>
      </x:c>
      <x:c r="G1814" s="42" t="n">
        <x:f>$B$11</x:f>
        <x:v>100.53096491487338</x:v>
      </x:c>
      <x:c r="I1814" t="n">
        <x:f>A1814</x:f>
        <x:v>1797</x:v>
      </x:c>
      <x:c r="J1814" t="n">
        <x:f>F1814</x:f>
        <x:v>100.1135225375626</x:v>
      </x:c>
      <x:c r="K1814" t="n">
        <x:f>G1814</x:f>
        <x:v>100.53096491487338</x:v>
      </x:c>
    </x:row>
    <x:row r="1815">
      <x:c r="A1815" t="n">
        <x:v>1798</x:v>
      </x:c>
      <x:c r="B1815" s="40" t="n">
        <x:v>-0.8406635446020339</x:v>
      </x:c>
      <x:c r="C1815" s="40" t="n">
        <x:v>1.6701628246693003</x:v>
      </x:c>
      <x:c r="D1815" s="40" t="n">
        <x:v>3.2580943267906255</x:v>
      </x:c>
      <x:c r="E1815" t="n">
        <x:f>--((B1815^2/$B$4^2+C1815^2/$B$5^2+D1815^2/$B$6^2)&lt;=1)</x:f>
        <x:v>0</x:v>
      </x:c>
      <x:c r="F1815" s="42" t="n">
        <x:f>$B$8*SUM($E$18:E1815)/A1815</x:f>
        <x:v>100.05784204671858</x:v>
      </x:c>
      <x:c r="G1815" s="42" t="n">
        <x:f>$B$11</x:f>
        <x:v>100.53096491487338</x:v>
      </x:c>
      <x:c r="I1815" t="n">
        <x:f>A1815</x:f>
        <x:v>1798</x:v>
      </x:c>
      <x:c r="J1815" t="n">
        <x:f>F1815</x:f>
        <x:v>100.05784204671858</x:v>
      </x:c>
      <x:c r="K1815" t="n">
        <x:f>G1815</x:f>
        <x:v>100.53096491487338</x:v>
      </x:c>
    </x:row>
    <x:row r="1816">
      <x:c r="A1816" t="n">
        <x:v>1799</x:v>
      </x:c>
      <x:c r="B1816" s="40" t="n">
        <x:v>0.21714234290571177</x:v>
      </x:c>
      <x:c r="C1816" s="40" t="n">
        <x:v>-0.5083115175672512</x:v>
      </x:c>
      <x:c r="D1816" s="40" t="n">
        <x:v>1.2767228549697487</x:v>
      </x:c>
      <x:c r="E1816" t="n">
        <x:f>--((B1816^2/$B$4^2+C1816^2/$B$5^2+D1816^2/$B$6^2)&lt;=1)</x:f>
        <x:v>1</x:v>
      </x:c>
      <x:c r="F1816" s="42" t="n">
        <x:f>$B$8*SUM($E$18:E1816)/A1816</x:f>
        <x:v>100.10894941634241</x:v>
      </x:c>
      <x:c r="G1816" s="42" t="n">
        <x:f>$B$11</x:f>
        <x:v>100.53096491487338</x:v>
      </x:c>
      <x:c r="I1816" t="n">
        <x:f>A1816</x:f>
        <x:v>1799</x:v>
      </x:c>
      <x:c r="J1816" t="n">
        <x:f>F1816</x:f>
        <x:v>100.10894941634241</x:v>
      </x:c>
      <x:c r="K1816" t="n">
        <x:f>G1816</x:f>
        <x:v>100.53096491487338</x:v>
      </x:c>
    </x:row>
    <x:row r="1817">
      <x:c r="A1817" t="n">
        <x:v>1800</x:v>
      </x:c>
      <x:c r="B1817" s="40" t="n">
        <x:v>0.48744812261736215</x:v>
      </x:c>
      <x:c r="C1817" s="40" t="n">
        <x:v>-1.359055702553067</x:v>
      </x:c>
      <x:c r="D1817" s="40" t="n">
        <x:v>-0.8308260392935987</x:v>
      </x:c>
      <x:c r="E1817" t="n">
        <x:f>--((B1817^2/$B$4^2+C1817^2/$B$5^2+D1817^2/$B$6^2)&lt;=1)</x:f>
        <x:v>1</x:v>
      </x:c>
      <x:c r="F1817" s="42" t="n">
        <x:f>$B$8*SUM($E$18:E1817)/A1817</x:f>
        <x:v>100.16</x:v>
      </x:c>
      <x:c r="G1817" s="42" t="n">
        <x:f>$B$11</x:f>
        <x:v>100.53096491487338</x:v>
      </x:c>
      <x:c r="I1817" t="n">
        <x:f>A1817</x:f>
        <x:v>1800</x:v>
      </x:c>
      <x:c r="J1817" t="n">
        <x:f>F1817</x:f>
        <x:v>100.16</x:v>
      </x:c>
      <x:c r="K1817" t="n">
        <x:f>G1817</x:f>
        <x:v>100.53096491487338</x:v>
      </x:c>
    </x:row>
    <x:row r="1818">
      <x:c r="A1818" t="n">
        <x:v>1801</x:v>
      </x:c>
      <x:c r="B1818" s="40" t="n">
        <x:v>0.44134155516071916</x:v>
      </x:c>
      <x:c r="C1818" s="40" t="n">
        <x:v>-2.90651579974485</x:v>
      </x:c>
      <x:c r="D1818" s="40" t="n">
        <x:v>-0.6885455345905296</x:v>
      </x:c>
      <x:c r="E1818" t="n">
        <x:f>--((B1818^2/$B$4^2+C1818^2/$B$5^2+D1818^2/$B$6^2)&lt;=1)</x:f>
        <x:v>0</x:v>
      </x:c>
      <x:c r="F1818" s="42" t="n">
        <x:f>$B$8*SUM($E$18:E1818)/A1818</x:f>
        <x:v>100.10438645197112</x:v>
      </x:c>
      <x:c r="G1818" s="42" t="n">
        <x:f>$B$11</x:f>
        <x:v>100.53096491487338</x:v>
      </x:c>
      <x:c r="I1818" t="n">
        <x:f>A1818</x:f>
        <x:v>1801</x:v>
      </x:c>
      <x:c r="J1818" t="n">
        <x:f>F1818</x:f>
        <x:v>100.10438645197112</x:v>
      </x:c>
      <x:c r="K1818" t="n">
        <x:f>G1818</x:f>
        <x:v>100.53096491487338</x:v>
      </x:c>
    </x:row>
    <x:row r="1819">
      <x:c r="A1819" t="n">
        <x:v>1802</x:v>
      </x:c>
      <x:c r="B1819" s="40" t="n">
        <x:v>0.4941854785709836</x:v>
      </x:c>
      <x:c r="C1819" s="40" t="n">
        <x:v>-1.7602210436856787</x:v>
      </x:c>
      <x:c r="D1819" s="40" t="n">
        <x:v>0.8419548865406794</x:v>
      </x:c>
      <x:c r="E1819" t="n">
        <x:f>--((B1819^2/$B$4^2+C1819^2/$B$5^2+D1819^2/$B$6^2)&lt;=1)</x:f>
        <x:v>1</x:v>
      </x:c>
      <x:c r="F1819" s="42" t="n">
        <x:f>$B$8*SUM($E$18:E1819)/A1819</x:f>
        <x:v>100.15538290788014</x:v>
      </x:c>
      <x:c r="G1819" s="42" t="n">
        <x:f>$B$11</x:f>
        <x:v>100.53096491487338</x:v>
      </x:c>
      <x:c r="I1819" t="n">
        <x:f>A1819</x:f>
        <x:v>1802</x:v>
      </x:c>
      <x:c r="J1819" t="n">
        <x:f>F1819</x:f>
        <x:v>100.15538290788014</x:v>
      </x:c>
      <x:c r="K1819" t="n">
        <x:f>G1819</x:f>
        <x:v>100.53096491487338</x:v>
      </x:c>
    </x:row>
    <x:row r="1820">
      <x:c r="A1820" t="n">
        <x:v>1803</x:v>
      </x:c>
      <x:c r="B1820" s="40" t="n">
        <x:v>-1.4596808311299037</x:v>
      </x:c>
      <x:c r="C1820" s="40" t="n">
        <x:v>-1.1256731267877764</x:v>
      </x:c>
      <x:c r="D1820" s="40" t="n">
        <x:v>2.0822022774907873</x:v>
      </x:c>
      <x:c r="E1820" t="n">
        <x:f>--((B1820^2/$B$4^2+C1820^2/$B$5^2+D1820^2/$B$6^2)&lt;=1)</x:f>
        <x:v>1</x:v>
      </x:c>
      <x:c r="F1820" s="42" t="n">
        <x:f>$B$8*SUM($E$18:E1820)/A1820</x:f>
        <x:v>100.2063227953411</x:v>
      </x:c>
      <x:c r="G1820" s="42" t="n">
        <x:f>$B$11</x:f>
        <x:v>100.53096491487338</x:v>
      </x:c>
      <x:c r="I1820" t="n">
        <x:f>A1820</x:f>
        <x:v>1803</x:v>
      </x:c>
      <x:c r="J1820" t="n">
        <x:f>F1820</x:f>
        <x:v>100.2063227953411</x:v>
      </x:c>
      <x:c r="K1820" t="n">
        <x:f>G1820</x:f>
        <x:v>100.53096491487338</x:v>
      </x:c>
    </x:row>
    <x:row r="1821">
      <x:c r="A1821" t="n">
        <x:v>1804</x:v>
      </x:c>
      <x:c r="B1821" s="40" t="n">
        <x:v>0.7741618783468782</x:v>
      </x:c>
      <x:c r="C1821" s="40" t="n">
        <x:v>-1.9307588611172068</x:v>
      </x:c>
      <x:c r="D1821" s="40" t="n">
        <x:v>0.5148264555929929</x:v>
      </x:c>
      <x:c r="E1821" t="n">
        <x:f>--((B1821^2/$B$4^2+C1821^2/$B$5^2+D1821^2/$B$6^2)&lt;=1)</x:f>
        <x:v>1</x:v>
      </x:c>
      <x:c r="F1821" s="42" t="n">
        <x:f>$B$8*SUM($E$18:E1821)/A1821</x:f>
        <x:v>100.25720620842571</x:v>
      </x:c>
      <x:c r="G1821" s="42" t="n">
        <x:f>$B$11</x:f>
        <x:v>100.53096491487338</x:v>
      </x:c>
      <x:c r="I1821" t="n">
        <x:f>A1821</x:f>
        <x:v>1804</x:v>
      </x:c>
      <x:c r="J1821" t="n">
        <x:f>F1821</x:f>
        <x:v>100.25720620842571</x:v>
      </x:c>
      <x:c r="K1821" t="n">
        <x:f>G1821</x:f>
        <x:v>100.53096491487338</x:v>
      </x:c>
    </x:row>
    <x:row r="1822">
      <x:c r="A1822" t="n">
        <x:v>1805</x:v>
      </x:c>
      <x:c r="B1822" s="40" t="n">
        <x:v>0.6990014255208932</x:v>
      </x:c>
      <x:c r="C1822" s="40" t="n">
        <x:v>-2.8791331710203867</x:v>
      </x:c>
      <x:c r="D1822" s="40" t="n">
        <x:v>0.0700870577534376</x:v>
      </x:c>
      <x:c r="E1822" t="n">
        <x:f>--((B1822^2/$B$4^2+C1822^2/$B$5^2+D1822^2/$B$6^2)&lt;=1)</x:f>
        <x:v>0</x:v>
      </x:c>
      <x:c r="F1822" s="42" t="n">
        <x:f>$B$8*SUM($E$18:E1822)/A1822</x:f>
        <x:v>100.2016620498615</x:v>
      </x:c>
      <x:c r="G1822" s="42" t="n">
        <x:f>$B$11</x:f>
        <x:v>100.53096491487338</x:v>
      </x:c>
      <x:c r="I1822" t="n">
        <x:f>A1822</x:f>
        <x:v>1805</x:v>
      </x:c>
      <x:c r="J1822" t="n">
        <x:f>F1822</x:f>
        <x:v>100.2016620498615</x:v>
      </x:c>
      <x:c r="K1822" t="n">
        <x:f>G1822</x:f>
        <x:v>100.53096491487338</x:v>
      </x:c>
    </x:row>
    <x:row r="1823">
      <x:c r="A1823" t="n">
        <x:v>1806</x:v>
      </x:c>
      <x:c r="B1823" s="40" t="n">
        <x:v>0.7303524888675326</x:v>
      </x:c>
      <x:c r="C1823" s="40" t="n">
        <x:v>-2.0553143480088503</x:v>
      </x:c>
      <x:c r="D1823" s="40" t="n">
        <x:v>1.8152056212334546</x:v>
      </x:c>
      <x:c r="E1823" t="n">
        <x:f>--((B1823^2/$B$4^2+C1823^2/$B$5^2+D1823^2/$B$6^2)&lt;=1)</x:f>
        <x:v>1</x:v>
      </x:c>
      <x:c r="F1823" s="42" t="n">
        <x:f>$B$8*SUM($E$18:E1823)/A1823</x:f>
        <x:v>100.25249169435216</x:v>
      </x:c>
      <x:c r="G1823" s="42" t="n">
        <x:f>$B$11</x:f>
        <x:v>100.53096491487338</x:v>
      </x:c>
      <x:c r="I1823" t="n">
        <x:f>A1823</x:f>
        <x:v>1806</x:v>
      </x:c>
      <x:c r="J1823" t="n">
        <x:f>F1823</x:f>
        <x:v>100.25249169435216</x:v>
      </x:c>
      <x:c r="K1823" t="n">
        <x:f>G1823</x:f>
        <x:v>100.53096491487338</x:v>
      </x:c>
    </x:row>
    <x:row r="1824">
      <x:c r="A1824" t="n">
        <x:v>1807</x:v>
      </x:c>
      <x:c r="B1824" s="40" t="n">
        <x:v>-1.7037177890451747</x:v>
      </x:c>
      <x:c r="C1824" s="40" t="n">
        <x:v>0.9965973214054342</x:v>
      </x:c>
      <x:c r="D1824" s="40" t="n">
        <x:v>1.6421163992562908</x:v>
      </x:c>
      <x:c r="E1824" t="n">
        <x:f>--((B1824^2/$B$4^2+C1824^2/$B$5^2+D1824^2/$B$6^2)&lt;=1)</x:f>
        <x:v>0</x:v>
      </x:c>
      <x:c r="F1824" s="42" t="n">
        <x:f>$B$8*SUM($E$18:E1824)/A1824</x:f>
        <x:v>100.19701162147206</x:v>
      </x:c>
      <x:c r="G1824" s="42" t="n">
        <x:f>$B$11</x:f>
        <x:v>100.53096491487338</x:v>
      </x:c>
      <x:c r="I1824" t="n">
        <x:f>A1824</x:f>
        <x:v>1807</x:v>
      </x:c>
      <x:c r="J1824" t="n">
        <x:f>F1824</x:f>
        <x:v>100.19701162147206</x:v>
      </x:c>
      <x:c r="K1824" t="n">
        <x:f>G1824</x:f>
        <x:v>100.53096491487338</x:v>
      </x:c>
    </x:row>
    <x:row r="1825">
      <x:c r="A1825" t="n">
        <x:v>1808</x:v>
      </x:c>
      <x:c r="B1825" s="40" t="n">
        <x:v>-0.21264463034338954</x:v>
      </x:c>
      <x:c r="C1825" s="40" t="n">
        <x:v>0.7775124988355748</x:v>
      </x:c>
      <x:c r="D1825" s="40" t="n">
        <x:v>2.642774724908488</x:v>
      </x:c>
      <x:c r="E1825" t="n">
        <x:f>--((B1825^2/$B$4^2+C1825^2/$B$5^2+D1825^2/$B$6^2)&lt;=1)</x:f>
        <x:v>1</x:v>
      </x:c>
      <x:c r="F1825" s="42" t="n">
        <x:f>$B$8*SUM($E$18:E1825)/A1825</x:f>
        <x:v>100.24778761061947</x:v>
      </x:c>
      <x:c r="G1825" s="42" t="n">
        <x:f>$B$11</x:f>
        <x:v>100.53096491487338</x:v>
      </x:c>
      <x:c r="I1825" t="n">
        <x:f>A1825</x:f>
        <x:v>1808</x:v>
      </x:c>
      <x:c r="J1825" t="n">
        <x:f>F1825</x:f>
        <x:v>100.24778761061947</x:v>
      </x:c>
      <x:c r="K1825" t="n">
        <x:f>G1825</x:f>
        <x:v>100.53096491487338</x:v>
      </x:c>
    </x:row>
    <x:row r="1826">
      <x:c r="A1826" t="n">
        <x:v>1809</x:v>
      </x:c>
      <x:c r="B1826" s="40" t="n">
        <x:v>-0.3638594718170811</x:v>
      </x:c>
      <x:c r="C1826" s="40" t="n">
        <x:v>2.6141018363882544</x:v>
      </x:c>
      <x:c r="D1826" s="40" t="n">
        <x:v>-3.4995857097816447</x:v>
      </x:c>
      <x:c r="E1826" t="n">
        <x:f>--((B1826^2/$B$4^2+C1826^2/$B$5^2+D1826^2/$B$6^2)&lt;=1)</x:f>
        <x:v>0</x:v>
      </x:c>
      <x:c r="F1826" s="42" t="n">
        <x:f>$B$8*SUM($E$18:E1826)/A1826</x:f>
        <x:v>100.19237147595356</x:v>
      </x:c>
      <x:c r="G1826" s="42" t="n">
        <x:f>$B$11</x:f>
        <x:v>100.53096491487338</x:v>
      </x:c>
      <x:c r="I1826" t="n">
        <x:f>A1826</x:f>
        <x:v>1809</x:v>
      </x:c>
      <x:c r="J1826" t="n">
        <x:f>F1826</x:f>
        <x:v>100.19237147595356</x:v>
      </x:c>
      <x:c r="K1826" t="n">
        <x:f>G1826</x:f>
        <x:v>100.53096491487338</x:v>
      </x:c>
    </x:row>
    <x:row r="1827">
      <x:c r="A1827" t="n">
        <x:v>1810</x:v>
      </x:c>
      <x:c r="B1827" s="40" t="n">
        <x:v>-1.6531540654272034</x:v>
      </x:c>
      <x:c r="C1827" s="40" t="n">
        <x:v>1.7890097483838554</x:v>
      </x:c>
      <x:c r="D1827" s="40" t="n">
        <x:v>2.039617056655831</x:v>
      </x:c>
      <x:c r="E1827" t="n">
        <x:f>--((B1827^2/$B$4^2+C1827^2/$B$5^2+D1827^2/$B$6^2)&lt;=1)</x:f>
        <x:v>0</x:v>
      </x:c>
      <x:c r="F1827" s="42" t="n">
        <x:f>$B$8*SUM($E$18:E1827)/A1827</x:f>
        <x:v>100.13701657458563</x:v>
      </x:c>
      <x:c r="G1827" s="42" t="n">
        <x:f>$B$11</x:f>
        <x:v>100.53096491487338</x:v>
      </x:c>
      <x:c r="I1827" t="n">
        <x:f>A1827</x:f>
        <x:v>1810</x:v>
      </x:c>
      <x:c r="J1827" t="n">
        <x:f>F1827</x:f>
        <x:v>100.13701657458563</x:v>
      </x:c>
      <x:c r="K1827" t="n">
        <x:f>G1827</x:f>
        <x:v>100.53096491487338</x:v>
      </x:c>
    </x:row>
    <x:row r="1828">
      <x:c r="A1828" t="n">
        <x:v>1811</x:v>
      </x:c>
      <x:c r="B1828" s="40" t="n">
        <x:v>-1.1105282884127572</x:v>
      </x:c>
      <x:c r="C1828" s="40" t="n">
        <x:v>0.40653670104714745</x:v>
      </x:c>
      <x:c r="D1828" s="40" t="n">
        <x:v>0.11008360761351987</x:v>
      </x:c>
      <x:c r="E1828" t="n">
        <x:f>--((B1828^2/$B$4^2+C1828^2/$B$5^2+D1828^2/$B$6^2)&lt;=1)</x:f>
        <x:v>1</x:v>
      </x:c>
      <x:c r="F1828" s="42" t="n">
        <x:f>$B$8*SUM($E$18:E1828)/A1828</x:f>
        <x:v>100.187741579238</x:v>
      </x:c>
      <x:c r="G1828" s="42" t="n">
        <x:f>$B$11</x:f>
        <x:v>100.53096491487338</x:v>
      </x:c>
      <x:c r="I1828" t="n">
        <x:f>A1828</x:f>
        <x:v>1811</x:v>
      </x:c>
      <x:c r="J1828" t="n">
        <x:f>F1828</x:f>
        <x:v>100.187741579238</x:v>
      </x:c>
      <x:c r="K1828" t="n">
        <x:f>G1828</x:f>
        <x:v>100.53096491487338</x:v>
      </x:c>
    </x:row>
    <x:row r="1829">
      <x:c r="A1829" t="n">
        <x:v>1812</x:v>
      </x:c>
      <x:c r="B1829" s="40" t="n">
        <x:v>-0.23614947280785303</x:v>
      </x:c>
      <x:c r="C1829" s="40" t="n">
        <x:v>-2.174661915040732</x:v>
      </x:c>
      <x:c r="D1829" s="40" t="n">
        <x:v>-3.402455039734785</x:v>
      </x:c>
      <x:c r="E1829" t="n">
        <x:f>--((B1829^2/$B$4^2+C1829^2/$B$5^2+D1829^2/$B$6^2)&lt;=1)</x:f>
        <x:v>0</x:v>
      </x:c>
      <x:c r="F1829" s="42" t="n">
        <x:f>$B$8*SUM($E$18:E1829)/A1829</x:f>
        <x:v>100.13245033112582</x:v>
      </x:c>
      <x:c r="G1829" s="42" t="n">
        <x:f>$B$11</x:f>
        <x:v>100.53096491487338</x:v>
      </x:c>
      <x:c r="I1829" t="n">
        <x:f>A1829</x:f>
        <x:v>1812</x:v>
      </x:c>
      <x:c r="J1829" t="n">
        <x:f>F1829</x:f>
        <x:v>100.13245033112582</x:v>
      </x:c>
      <x:c r="K1829" t="n">
        <x:f>G1829</x:f>
        <x:v>100.53096491487338</x:v>
      </x:c>
    </x:row>
    <x:row r="1830">
      <x:c r="A1830" t="n">
        <x:v>1813</x:v>
      </x:c>
      <x:c r="B1830" s="40" t="n">
        <x:v>0.971625239432329</x:v>
      </x:c>
      <x:c r="C1830" s="40" t="n">
        <x:v>0.3844309135509416</x:v>
      </x:c>
      <x:c r="D1830" s="40" t="n">
        <x:v>1.4320802253561578</x:v>
      </x:c>
      <x:c r="E1830" t="n">
        <x:f>--((B1830^2/$B$4^2+C1830^2/$B$5^2+D1830^2/$B$6^2)&lt;=1)</x:f>
        <x:v>1</x:v>
      </x:c>
      <x:c r="F1830" s="42" t="n">
        <x:f>$B$8*SUM($E$18:E1830)/A1830</x:f>
        <x:v>100.18312189740762</x:v>
      </x:c>
      <x:c r="G1830" s="42" t="n">
        <x:f>$B$11</x:f>
        <x:v>100.53096491487338</x:v>
      </x:c>
      <x:c r="I1830" t="n">
        <x:f>A1830</x:f>
        <x:v>1813</x:v>
      </x:c>
      <x:c r="J1830" t="n">
        <x:f>F1830</x:f>
        <x:v>100.18312189740762</x:v>
      </x:c>
      <x:c r="K1830" t="n">
        <x:f>G1830</x:f>
        <x:v>100.53096491487338</x:v>
      </x:c>
    </x:row>
    <x:row r="1831">
      <x:c r="A1831" t="n">
        <x:v>1814</x:v>
      </x:c>
      <x:c r="B1831" s="40" t="n">
        <x:v>-1.0517516920613472</x:v>
      </x:c>
      <x:c r="C1831" s="40" t="n">
        <x:v>-2.6304296345149156</x:v>
      </x:c>
      <x:c r="D1831" s="40" t="n">
        <x:v>1.7323215520155424</x:v>
      </x:c>
      <x:c r="E1831" t="n">
        <x:f>--((B1831^2/$B$4^2+C1831^2/$B$5^2+D1831^2/$B$6^2)&lt;=1)</x:f>
        <x:v>0</x:v>
      </x:c>
      <x:c r="F1831" s="42" t="n">
        <x:f>$B$8*SUM($E$18:E1831)/A1831</x:f>
        <x:v>100.12789415656009</x:v>
      </x:c>
      <x:c r="G1831" s="42" t="n">
        <x:f>$B$11</x:f>
        <x:v>100.53096491487338</x:v>
      </x:c>
      <x:c r="I1831" t="n">
        <x:f>A1831</x:f>
        <x:v>1814</x:v>
      </x:c>
      <x:c r="J1831" t="n">
        <x:f>F1831</x:f>
        <x:v>100.12789415656009</x:v>
      </x:c>
      <x:c r="K1831" t="n">
        <x:f>G1831</x:f>
        <x:v>100.53096491487338</x:v>
      </x:c>
    </x:row>
    <x:row r="1832">
      <x:c r="A1832" t="n">
        <x:v>1815</x:v>
      </x:c>
      <x:c r="B1832" s="40" t="n">
        <x:v>1.318999640499646</x:v>
      </x:c>
      <x:c r="C1832" s="40" t="n">
        <x:v>-0.4146906155348833</x:v>
      </x:c>
      <x:c r="D1832" s="40" t="n">
        <x:v>0.18901735635747574</x:v>
      </x:c>
      <x:c r="E1832" t="n">
        <x:f>--((B1832^2/$B$4^2+C1832^2/$B$5^2+D1832^2/$B$6^2)&lt;=1)</x:f>
        <x:v>1</x:v>
      </x:c>
      <x:c r="F1832" s="42" t="n">
        <x:f>$B$8*SUM($E$18:E1832)/A1832</x:f>
        <x:v>100.17851239669422</x:v>
      </x:c>
      <x:c r="G1832" s="42" t="n">
        <x:f>$B$11</x:f>
        <x:v>100.53096491487338</x:v>
      </x:c>
      <x:c r="I1832" t="n">
        <x:f>A1832</x:f>
        <x:v>1815</x:v>
      </x:c>
      <x:c r="J1832" t="n">
        <x:f>F1832</x:f>
        <x:v>100.17851239669422</x:v>
      </x:c>
      <x:c r="K1832" t="n">
        <x:f>G1832</x:f>
        <x:v>100.53096491487338</x:v>
      </x:c>
    </x:row>
    <x:row r="1833">
      <x:c r="A1833" t="n">
        <x:v>1816</x:v>
      </x:c>
      <x:c r="B1833" s="40" t="n">
        <x:v>0.18319314295785372</x:v>
      </x:c>
      <x:c r="C1833" s="40" t="n">
        <x:v>-0.6584482263168274</x:v>
      </x:c>
      <x:c r="D1833" s="40" t="n">
        <x:v>2.3503918211981025</x:v>
      </x:c>
      <x:c r="E1833" t="n">
        <x:f>--((B1833^2/$B$4^2+C1833^2/$B$5^2+D1833^2/$B$6^2)&lt;=1)</x:f>
        <x:v>1</x:v>
      </x:c>
      <x:c r="F1833" s="42" t="n">
        <x:f>$B$8*SUM($E$18:E1833)/A1833</x:f>
        <x:v>100.22907488986785</x:v>
      </x:c>
      <x:c r="G1833" s="42" t="n">
        <x:f>$B$11</x:f>
        <x:v>100.53096491487338</x:v>
      </x:c>
      <x:c r="I1833" t="n">
        <x:f>A1833</x:f>
        <x:v>1816</x:v>
      </x:c>
      <x:c r="J1833" t="n">
        <x:f>F1833</x:f>
        <x:v>100.22907488986785</x:v>
      </x:c>
      <x:c r="K1833" t="n">
        <x:f>G1833</x:f>
        <x:v>100.53096491487338</x:v>
      </x:c>
    </x:row>
    <x:row r="1834">
      <x:c r="A1834" t="n">
        <x:v>1817</x:v>
      </x:c>
      <x:c r="B1834" s="40" t="n">
        <x:v>1.04168674073847</x:v>
      </x:c>
      <x:c r="C1834" s="40" t="n">
        <x:v>-0.4331171438223498</x:v>
      </x:c>
      <x:c r="D1834" s="40" t="n">
        <x:v>-1.598015130965588</x:v>
      </x:c>
      <x:c r="E1834" t="n">
        <x:f>--((B1834^2/$B$4^2+C1834^2/$B$5^2+D1834^2/$B$6^2)&lt;=1)</x:f>
        <x:v>1</x:v>
      </x:c>
      <x:c r="F1834" s="42" t="n">
        <x:f>$B$8*SUM($E$18:E1834)/A1834</x:f>
        <x:v>100.27958172812328</x:v>
      </x:c>
      <x:c r="G1834" s="42" t="n">
        <x:f>$B$11</x:f>
        <x:v>100.53096491487338</x:v>
      </x:c>
      <x:c r="I1834" t="n">
        <x:f>A1834</x:f>
        <x:v>1817</x:v>
      </x:c>
      <x:c r="J1834" t="n">
        <x:f>F1834</x:f>
        <x:v>100.27958172812328</x:v>
      </x:c>
      <x:c r="K1834" t="n">
        <x:f>G1834</x:f>
        <x:v>100.53096491487338</x:v>
      </x:c>
    </x:row>
    <x:row r="1835">
      <x:c r="A1835" t="n">
        <x:v>1818</x:v>
      </x:c>
      <x:c r="B1835" s="40" t="n">
        <x:v>-0.10977606665257156</x:v>
      </x:c>
      <x:c r="C1835" s="40" t="n">
        <x:v>-1.3210444896312767</x:v>
      </x:c>
      <x:c r="D1835" s="40" t="n">
        <x:v>-2.384742251748511</x:v>
      </x:c>
      <x:c r="E1835" t="n">
        <x:f>--((B1835^2/$B$4^2+C1835^2/$B$5^2+D1835^2/$B$6^2)&lt;=1)</x:f>
        <x:v>1</x:v>
      </x:c>
      <x:c r="F1835" s="42" t="n">
        <x:f>$B$8*SUM($E$18:E1835)/A1835</x:f>
        <x:v>100.33003300330033</x:v>
      </x:c>
      <x:c r="G1835" s="42" t="n">
        <x:f>$B$11</x:f>
        <x:v>100.53096491487338</x:v>
      </x:c>
      <x:c r="I1835" t="n">
        <x:f>A1835</x:f>
        <x:v>1818</x:v>
      </x:c>
      <x:c r="J1835" t="n">
        <x:f>F1835</x:f>
        <x:v>100.33003300330033</x:v>
      </x:c>
      <x:c r="K1835" t="n">
        <x:f>G1835</x:f>
        <x:v>100.53096491487338</x:v>
      </x:c>
    </x:row>
    <x:row r="1836">
      <x:c r="A1836" t="n">
        <x:v>1819</x:v>
      </x:c>
      <x:c r="B1836" s="40" t="n">
        <x:v>-0.0032230983111065648</x:v>
      </x:c>
      <x:c r="C1836" s="40" t="n">
        <x:v>1.1149826857429428</x:v>
      </x:c>
      <x:c r="D1836" s="40" t="n">
        <x:v>-1.1941283860537721</x:v>
      </x:c>
      <x:c r="E1836" t="n">
        <x:f>--((B1836^2/$B$4^2+C1836^2/$B$5^2+D1836^2/$B$6^2)&lt;=1)</x:f>
        <x:v>1</x:v>
      </x:c>
      <x:c r="F1836" s="42" t="n">
        <x:f>$B$8*SUM($E$18:E1836)/A1836</x:f>
        <x:v>100.38042880703684</x:v>
      </x:c>
      <x:c r="G1836" s="42" t="n">
        <x:f>$B$11</x:f>
        <x:v>100.53096491487338</x:v>
      </x:c>
      <x:c r="I1836" t="n">
        <x:f>A1836</x:f>
        <x:v>1819</x:v>
      </x:c>
      <x:c r="J1836" t="n">
        <x:f>F1836</x:f>
        <x:v>100.38042880703684</x:v>
      </x:c>
      <x:c r="K1836" t="n">
        <x:f>G1836</x:f>
        <x:v>100.53096491487338</x:v>
      </x:c>
    </x:row>
    <x:row r="1837">
      <x:c r="A1837" t="n">
        <x:v>1820</x:v>
      </x:c>
      <x:c r="B1837" s="40" t="n">
        <x:v>0.47887755751856087</x:v>
      </x:c>
      <x:c r="C1837" s="40" t="n">
        <x:v>2.0456668037926766</x:v>
      </x:c>
      <x:c r="D1837" s="40" t="n">
        <x:v>-0.7195958936321798</x:v>
      </x:c>
      <x:c r="E1837" t="n">
        <x:f>--((B1837^2/$B$4^2+C1837^2/$B$5^2+D1837^2/$B$6^2)&lt;=1)</x:f>
        <x:v>1</x:v>
      </x:c>
      <x:c r="F1837" s="42" t="n">
        <x:f>$B$8*SUM($E$18:E1837)/A1837</x:f>
        <x:v>100.43076923076923</x:v>
      </x:c>
      <x:c r="G1837" s="42" t="n">
        <x:f>$B$11</x:f>
        <x:v>100.53096491487338</x:v>
      </x:c>
      <x:c r="I1837" t="n">
        <x:f>A1837</x:f>
        <x:v>1820</x:v>
      </x:c>
      <x:c r="J1837" t="n">
        <x:f>F1837</x:f>
        <x:v>100.43076923076923</x:v>
      </x:c>
      <x:c r="K1837" t="n">
        <x:f>G1837</x:f>
        <x:v>100.53096491487338</x:v>
      </x:c>
    </x:row>
    <x:row r="1838">
      <x:c r="A1838" t="n">
        <x:v>1821</x:v>
      </x:c>
      <x:c r="B1838" s="40" t="n">
        <x:v>1.7118824326632969</x:v>
      </x:c>
      <x:c r="C1838" s="40" t="n">
        <x:v>1.611101955593865</x:v>
      </x:c>
      <x:c r="D1838" s="40" t="n">
        <x:v>1.5674688192173507</x:v>
      </x:c>
      <x:c r="E1838" t="n">
        <x:f>--((B1838^2/$B$4^2+C1838^2/$B$5^2+D1838^2/$B$6^2)&lt;=1)</x:f>
        <x:v>0</x:v>
      </x:c>
      <x:c r="F1838" s="42" t="n">
        <x:f>$B$8*SUM($E$18:E1838)/A1838</x:f>
        <x:v>100.37561779242175</x:v>
      </x:c>
      <x:c r="G1838" s="42" t="n">
        <x:f>$B$11</x:f>
        <x:v>100.53096491487338</x:v>
      </x:c>
      <x:c r="I1838" t="n">
        <x:f>A1838</x:f>
        <x:v>1821</x:v>
      </x:c>
      <x:c r="J1838" t="n">
        <x:f>F1838</x:f>
        <x:v>100.37561779242175</x:v>
      </x:c>
      <x:c r="K1838" t="n">
        <x:f>G1838</x:f>
        <x:v>100.53096491487338</x:v>
      </x:c>
    </x:row>
    <x:row r="1839">
      <x:c r="A1839" t="n">
        <x:v>1822</x:v>
      </x:c>
      <x:c r="B1839" s="40" t="n">
        <x:v>-0.03274967434836018</x:v>
      </x:c>
      <x:c r="C1839" s="40" t="n">
        <x:v>0.7665125747452821</x:v>
      </x:c>
      <x:c r="D1839" s="40" t="n">
        <x:v>2.7641595030258213</x:v>
      </x:c>
      <x:c r="E1839" t="n">
        <x:f>--((B1839^2/$B$4^2+C1839^2/$B$5^2+D1839^2/$B$6^2)&lt;=1)</x:f>
        <x:v>1</x:v>
      </x:c>
      <x:c r="F1839" s="42" t="n">
        <x:f>$B$8*SUM($E$18:E1839)/A1839</x:f>
        <x:v>100.42590559824369</x:v>
      </x:c>
      <x:c r="G1839" s="42" t="n">
        <x:f>$B$11</x:f>
        <x:v>100.53096491487338</x:v>
      </x:c>
      <x:c r="I1839" t="n">
        <x:f>A1839</x:f>
        <x:v>1822</x:v>
      </x:c>
      <x:c r="J1839" t="n">
        <x:f>F1839</x:f>
        <x:v>100.42590559824369</x:v>
      </x:c>
      <x:c r="K1839" t="n">
        <x:f>G1839</x:f>
        <x:v>100.53096491487338</x:v>
      </x:c>
    </x:row>
    <x:row r="1840">
      <x:c r="A1840" t="n">
        <x:v>1823</x:v>
      </x:c>
      <x:c r="B1840" s="40" t="n">
        <x:v>0.11463015243316388</x:v>
      </x:c>
      <x:c r="C1840" s="40" t="n">
        <x:v>0.2300687959980796</x:v>
      </x:c>
      <x:c r="D1840" s="40" t="n">
        <x:v>1.7673455206294122</x:v>
      </x:c>
      <x:c r="E1840" t="n">
        <x:f>--((B1840^2/$B$4^2+C1840^2/$B$5^2+D1840^2/$B$6^2)&lt;=1)</x:f>
        <x:v>1</x:v>
      </x:c>
      <x:c r="F1840" s="42" t="n">
        <x:f>$B$8*SUM($E$18:E1840)/A1840</x:f>
        <x:v>100.47613823368074</x:v>
      </x:c>
      <x:c r="G1840" s="42" t="n">
        <x:f>$B$11</x:f>
        <x:v>100.53096491487338</x:v>
      </x:c>
      <x:c r="I1840" t="n">
        <x:f>A1840</x:f>
        <x:v>1823</x:v>
      </x:c>
      <x:c r="J1840" t="n">
        <x:f>F1840</x:f>
        <x:v>100.47613823368074</x:v>
      </x:c>
      <x:c r="K1840" t="n">
        <x:f>G1840</x:f>
        <x:v>100.53096491487338</x:v>
      </x:c>
    </x:row>
    <x:row r="1841">
      <x:c r="A1841" t="n">
        <x:v>1824</x:v>
      </x:c>
      <x:c r="B1841" s="40" t="n">
        <x:v>0.40798785411011806</x:v>
      </x:c>
      <x:c r="C1841" s="40" t="n">
        <x:v>-2.8134949199518178</x:v>
      </x:c>
      <x:c r="D1841" s="40" t="n">
        <x:v>-2.608099527443188</x:v>
      </x:c>
      <x:c r="E1841" t="n">
        <x:f>--((B1841^2/$B$4^2+C1841^2/$B$5^2+D1841^2/$B$6^2)&lt;=1)</x:f>
        <x:v>0</x:v>
      </x:c>
      <x:c r="F1841" s="42" t="n">
        <x:f>$B$8*SUM($E$18:E1841)/A1841</x:f>
        <x:v>100.42105263157895</x:v>
      </x:c>
      <x:c r="G1841" s="42" t="n">
        <x:f>$B$11</x:f>
        <x:v>100.53096491487338</x:v>
      </x:c>
      <x:c r="I1841" t="n">
        <x:f>A1841</x:f>
        <x:v>1824</x:v>
      </x:c>
      <x:c r="J1841" t="n">
        <x:f>F1841</x:f>
        <x:v>100.42105263157895</x:v>
      </x:c>
      <x:c r="K1841" t="n">
        <x:f>G1841</x:f>
        <x:v>100.53096491487338</x:v>
      </x:c>
    </x:row>
    <x:row r="1842">
      <x:c r="A1842" t="n">
        <x:v>1825</x:v>
      </x:c>
      <x:c r="B1842" s="40" t="n">
        <x:v>0.9500605491909031</x:v>
      </x:c>
      <x:c r="C1842" s="40" t="n">
        <x:v>1.3376039921515268</x:v>
      </x:c>
      <x:c r="D1842" s="40" t="n">
        <x:v>-1.070263321597941</x:v>
      </x:c>
      <x:c r="E1842" t="n">
        <x:f>--((B1842^2/$B$4^2+C1842^2/$B$5^2+D1842^2/$B$6^2)&lt;=1)</x:f>
        <x:v>1</x:v>
      </x:c>
      <x:c r="F1842" s="42" t="n">
        <x:f>$B$8*SUM($E$18:E1842)/A1842</x:f>
        <x:v>100.47123287671234</x:v>
      </x:c>
      <x:c r="G1842" s="42" t="n">
        <x:f>$B$11</x:f>
        <x:v>100.53096491487338</x:v>
      </x:c>
      <x:c r="I1842" t="n">
        <x:f>A1842</x:f>
        <x:v>1825</x:v>
      </x:c>
      <x:c r="J1842" t="n">
        <x:f>F1842</x:f>
        <x:v>100.47123287671234</x:v>
      </x:c>
      <x:c r="K1842" t="n">
        <x:f>G1842</x:f>
        <x:v>100.53096491487338</x:v>
      </x:c>
    </x:row>
    <x:row r="1843">
      <x:c r="A1843" t="n">
        <x:v>1826</x:v>
      </x:c>
      <x:c r="B1843" s="40" t="n">
        <x:v>-1.7125986580550627</x:v>
      </x:c>
      <x:c r="C1843" s="40" t="n">
        <x:v>0.2698976374709847</x:v>
      </x:c>
      <x:c r="D1843" s="40" t="n">
        <x:v>-2.732690292417776</x:v>
      </x:c>
      <x:c r="E1843" t="n">
        <x:f>--((B1843^2/$B$4^2+C1843^2/$B$5^2+D1843^2/$B$6^2)&lt;=1)</x:f>
        <x:v>0</x:v>
      </x:c>
      <x:c r="F1843" s="42" t="n">
        <x:f>$B$8*SUM($E$18:E1843)/A1843</x:f>
        <x:v>100.41621029572836</x:v>
      </x:c>
      <x:c r="G1843" s="42" t="n">
        <x:f>$B$11</x:f>
        <x:v>100.53096491487338</x:v>
      </x:c>
      <x:c r="I1843" t="n">
        <x:f>A1843</x:f>
        <x:v>1826</x:v>
      </x:c>
      <x:c r="J1843" t="n">
        <x:f>F1843</x:f>
        <x:v>100.41621029572836</x:v>
      </x:c>
      <x:c r="K1843" t="n">
        <x:f>G1843</x:f>
        <x:v>100.53096491487338</x:v>
      </x:c>
    </x:row>
    <x:row r="1844">
      <x:c r="A1844" t="n">
        <x:v>1827</x:v>
      </x:c>
      <x:c r="B1844" s="40" t="n">
        <x:v>0.0627497540878883</x:v>
      </x:c>
      <x:c r="C1844" s="40" t="n">
        <x:v>-1.3755536960166788</x:v>
      </x:c>
      <x:c r="D1844" s="40" t="n">
        <x:v>1.4937935964644105</x:v>
      </x:c>
      <x:c r="E1844" t="n">
        <x:f>--((B1844^2/$B$4^2+C1844^2/$B$5^2+D1844^2/$B$6^2)&lt;=1)</x:f>
        <x:v>1</x:v>
      </x:c>
      <x:c r="F1844" s="42" t="n">
        <x:f>$B$8*SUM($E$18:E1844)/A1844</x:f>
        <x:v>100.46633825944171</x:v>
      </x:c>
      <x:c r="G1844" s="42" t="n">
        <x:f>$B$11</x:f>
        <x:v>100.53096491487338</x:v>
      </x:c>
      <x:c r="I1844" t="n">
        <x:f>A1844</x:f>
        <x:v>1827</x:v>
      </x:c>
      <x:c r="J1844" t="n">
        <x:f>F1844</x:f>
        <x:v>100.46633825944171</x:v>
      </x:c>
      <x:c r="K1844" t="n">
        <x:f>G1844</x:f>
        <x:v>100.53096491487338</x:v>
      </x:c>
    </x:row>
    <x:row r="1845">
      <x:c r="A1845" t="n">
        <x:v>1828</x:v>
      </x:c>
      <x:c r="B1845" s="40" t="n">
        <x:v>-0.07363364317582599</x:v>
      </x:c>
      <x:c r="C1845" s="40" t="n">
        <x:v>-1.03294776687935</x:v>
      </x:c>
      <x:c r="D1845" s="40" t="n">
        <x:v>-2.014624974264847</x:v>
      </x:c>
      <x:c r="E1845" t="n">
        <x:f>--((B1845^2/$B$4^2+C1845^2/$B$5^2+D1845^2/$B$6^2)&lt;=1)</x:f>
        <x:v>1</x:v>
      </x:c>
      <x:c r="F1845" s="42" t="n">
        <x:f>$B$8*SUM($E$18:E1845)/A1845</x:f>
        <x:v>100.5164113785558</x:v>
      </x:c>
      <x:c r="G1845" s="42" t="n">
        <x:f>$B$11</x:f>
        <x:v>100.53096491487338</x:v>
      </x:c>
      <x:c r="I1845" t="n">
        <x:f>A1845</x:f>
        <x:v>1828</x:v>
      </x:c>
      <x:c r="J1845" t="n">
        <x:f>F1845</x:f>
        <x:v>100.5164113785558</x:v>
      </x:c>
      <x:c r="K1845" t="n">
        <x:f>G1845</x:f>
        <x:v>100.53096491487338</x:v>
      </x:c>
    </x:row>
    <x:row r="1846">
      <x:c r="A1846" t="n">
        <x:v>1829</x:v>
      </x:c>
      <x:c r="B1846" s="40" t="n">
        <x:v>1.6867399369502816</x:v>
      </x:c>
      <x:c r="C1846" s="40" t="n">
        <x:v>2.6136407188184485</x:v>
      </x:c>
      <x:c r="D1846" s="40" t="n">
        <x:v>0.2030954628147743</x:v>
      </x:c>
      <x:c r="E1846" t="n">
        <x:f>--((B1846^2/$B$4^2+C1846^2/$B$5^2+D1846^2/$B$6^2)&lt;=1)</x:f>
        <x:v>0</x:v>
      </x:c>
      <x:c r="F1846" s="42" t="n">
        <x:f>$B$8*SUM($E$18:E1846)/A1846</x:f>
        <x:v>100.46145434663751</x:v>
      </x:c>
      <x:c r="G1846" s="42" t="n">
        <x:f>$B$11</x:f>
        <x:v>100.53096491487338</x:v>
      </x:c>
      <x:c r="I1846" t="n">
        <x:f>A1846</x:f>
        <x:v>1829</x:v>
      </x:c>
      <x:c r="J1846" t="n">
        <x:f>F1846</x:f>
        <x:v>100.46145434663751</x:v>
      </x:c>
      <x:c r="K1846" t="n">
        <x:f>G1846</x:f>
        <x:v>100.53096491487338</x:v>
      </x:c>
    </x:row>
    <x:row r="1847">
      <x:c r="A1847" t="n">
        <x:v>1830</x:v>
      </x:c>
      <x:c r="B1847" s="40" t="n">
        <x:v>-0.02597367825463559</x:v>
      </x:c>
      <x:c r="C1847" s="40" t="n">
        <x:v>0.7461734707033623</x:v>
      </x:c>
      <x:c r="D1847" s="40" t="n">
        <x:v>2.3346387455574744</x:v>
      </x:c>
      <x:c r="E1847" t="n">
        <x:f>--((B1847^2/$B$4^2+C1847^2/$B$5^2+D1847^2/$B$6^2)&lt;=1)</x:f>
        <x:v>1</x:v>
      </x:c>
      <x:c r="F1847" s="42" t="n">
        <x:f>$B$8*SUM($E$18:E1847)/A1847</x:f>
        <x:v>100.51147540983607</x:v>
      </x:c>
      <x:c r="G1847" s="42" t="n">
        <x:f>$B$11</x:f>
        <x:v>100.53096491487338</x:v>
      </x:c>
      <x:c r="I1847" t="n">
        <x:f>A1847</x:f>
        <x:v>1830</x:v>
      </x:c>
      <x:c r="J1847" t="n">
        <x:f>F1847</x:f>
        <x:v>100.51147540983607</x:v>
      </x:c>
      <x:c r="K1847" t="n">
        <x:f>G1847</x:f>
        <x:v>100.53096491487338</x:v>
      </x:c>
    </x:row>
    <x:row r="1848">
      <x:c r="A1848" t="n">
        <x:v>1831</x:v>
      </x:c>
      <x:c r="B1848" s="40" t="n">
        <x:v>-0.12671786122267603</x:v>
      </x:c>
      <x:c r="C1848" s="40" t="n">
        <x:v>-0.14452539205483017</x:v>
      </x:c>
      <x:c r="D1848" s="40" t="n">
        <x:v>1.3675141993729207</x:v>
      </x:c>
      <x:c r="E1848" t="n">
        <x:f>--((B1848^2/$B$4^2+C1848^2/$B$5^2+D1848^2/$B$6^2)&lt;=1)</x:f>
        <x:v>1</x:v>
      </x:c>
      <x:c r="F1848" s="42" t="n">
        <x:f>$B$8*SUM($E$18:E1848)/A1848</x:f>
        <x:v>100.56144183506281</x:v>
      </x:c>
      <x:c r="G1848" s="42" t="n">
        <x:f>$B$11</x:f>
        <x:v>100.53096491487338</x:v>
      </x:c>
      <x:c r="I1848" t="n">
        <x:f>A1848</x:f>
        <x:v>1831</x:v>
      </x:c>
      <x:c r="J1848" t="n">
        <x:f>F1848</x:f>
        <x:v>100.56144183506281</x:v>
      </x:c>
      <x:c r="K1848" t="n">
        <x:f>G1848</x:f>
        <x:v>100.53096491487338</x:v>
      </x:c>
    </x:row>
    <x:row r="1849">
      <x:c r="A1849" t="n">
        <x:v>1832</x:v>
      </x:c>
      <x:c r="B1849" s="40" t="n">
        <x:v>1.848799954138808</x:v>
      </x:c>
      <x:c r="C1849" s="40" t="n">
        <x:v>0.7255304382504462</x:v>
      </x:c>
      <x:c r="D1849" s="40" t="n">
        <x:v>-1.6130080746789384</x:v>
      </x:c>
      <x:c r="E1849" t="n">
        <x:f>--((B1849^2/$B$4^2+C1849^2/$B$5^2+D1849^2/$B$6^2)&lt;=1)</x:f>
        <x:v>0</x:v>
      </x:c>
      <x:c r="F1849" s="42" t="n">
        <x:f>$B$8*SUM($E$18:E1849)/A1849</x:f>
        <x:v>100.5065502183406</x:v>
      </x:c>
      <x:c r="G1849" s="42" t="n">
        <x:f>$B$11</x:f>
        <x:v>100.53096491487338</x:v>
      </x:c>
      <x:c r="I1849" t="n">
        <x:f>A1849</x:f>
        <x:v>1832</x:v>
      </x:c>
      <x:c r="J1849" t="n">
        <x:f>F1849</x:f>
        <x:v>100.5065502183406</x:v>
      </x:c>
      <x:c r="K1849" t="n">
        <x:f>G1849</x:f>
        <x:v>100.53096491487338</x:v>
      </x:c>
    </x:row>
    <x:row r="1850">
      <x:c r="A1850" t="n">
        <x:v>1833</x:v>
      </x:c>
      <x:c r="B1850" s="40" t="n">
        <x:v>-0.1976941455964738</x:v>
      </x:c>
      <x:c r="C1850" s="40" t="n">
        <x:v>-0.5175460500860583</x:v>
      </x:c>
      <x:c r="D1850" s="40" t="n">
        <x:v>-1.3370659950692731</x:v>
      </x:c>
      <x:c r="E1850" t="n">
        <x:f>--((B1850^2/$B$4^2+C1850^2/$B$5^2+D1850^2/$B$6^2)&lt;=1)</x:f>
        <x:v>1</x:v>
      </x:c>
      <x:c r="F1850" s="42" t="n">
        <x:f>$B$8*SUM($E$18:E1850)/A1850</x:f>
        <x:v>100.55646481178395</x:v>
      </x:c>
      <x:c r="G1850" s="42" t="n">
        <x:f>$B$11</x:f>
        <x:v>100.53096491487338</x:v>
      </x:c>
      <x:c r="I1850" t="n">
        <x:f>A1850</x:f>
        <x:v>1833</x:v>
      </x:c>
      <x:c r="J1850" t="n">
        <x:f>F1850</x:f>
        <x:v>100.55646481178395</x:v>
      </x:c>
      <x:c r="K1850" t="n">
        <x:f>G1850</x:f>
        <x:v>100.53096491487338</x:v>
      </x:c>
    </x:row>
    <x:row r="1851">
      <x:c r="A1851" t="n">
        <x:v>1834</x:v>
      </x:c>
      <x:c r="B1851" s="40" t="n">
        <x:v>-1.2764622787116386</x:v>
      </x:c>
      <x:c r="C1851" s="40" t="n">
        <x:v>-0.17890636078190258</x:v>
      </x:c>
      <x:c r="D1851" s="40" t="n">
        <x:v>1.2269142928242545</x:v>
      </x:c>
      <x:c r="E1851" t="n">
        <x:f>--((B1851^2/$B$4^2+C1851^2/$B$5^2+D1851^2/$B$6^2)&lt;=1)</x:f>
        <x:v>1</x:v>
      </x:c>
      <x:c r="F1851" s="42" t="n">
        <x:f>$B$8*SUM($E$18:E1851)/A1851</x:f>
        <x:v>100.60632497273718</x:v>
      </x:c>
      <x:c r="G1851" s="42" t="n">
        <x:f>$B$11</x:f>
        <x:v>100.53096491487338</x:v>
      </x:c>
      <x:c r="I1851" t="n">
        <x:f>A1851</x:f>
        <x:v>1834</x:v>
      </x:c>
      <x:c r="J1851" t="n">
        <x:f>F1851</x:f>
        <x:v>100.60632497273718</x:v>
      </x:c>
      <x:c r="K1851" t="n">
        <x:f>G1851</x:f>
        <x:v>100.53096491487338</x:v>
      </x:c>
    </x:row>
    <x:row r="1852">
      <x:c r="A1852" t="n">
        <x:v>1835</x:v>
      </x:c>
      <x:c r="B1852" s="40" t="n">
        <x:v>-1.1323355087768467</x:v>
      </x:c>
      <x:c r="C1852" s="40" t="n">
        <x:v>-1.2581444597539777</x:v>
      </x:c>
      <x:c r="D1852" s="40" t="n">
        <x:v>0.39574199471955307</x:v>
      </x:c>
      <x:c r="E1852" t="n">
        <x:f>--((B1852^2/$B$4^2+C1852^2/$B$5^2+D1852^2/$B$6^2)&lt;=1)</x:f>
        <x:v>1</x:v>
      </x:c>
      <x:c r="F1852" s="42" t="n">
        <x:f>$B$8*SUM($E$18:E1852)/A1852</x:f>
        <x:v>100.65613079019073</x:v>
      </x:c>
      <x:c r="G1852" s="42" t="n">
        <x:f>$B$11</x:f>
        <x:v>100.53096491487338</x:v>
      </x:c>
      <x:c r="I1852" t="n">
        <x:f>A1852</x:f>
        <x:v>1835</x:v>
      </x:c>
      <x:c r="J1852" t="n">
        <x:f>F1852</x:f>
        <x:v>100.65613079019073</x:v>
      </x:c>
      <x:c r="K1852" t="n">
        <x:f>G1852</x:f>
        <x:v>100.53096491487338</x:v>
      </x:c>
    </x:row>
    <x:row r="1853">
      <x:c r="A1853" t="n">
        <x:v>1836</x:v>
      </x:c>
      <x:c r="B1853" s="40" t="n">
        <x:v>-1.6192498466521035</x:v>
      </x:c>
      <x:c r="C1853" s="40" t="n">
        <x:v>-0.3608801964501329</x:v>
      </x:c>
      <x:c r="D1853" s="40" t="n">
        <x:v>-3.228852100239645</x:v>
      </x:c>
      <x:c r="E1853" t="n">
        <x:f>--((B1853^2/$B$4^2+C1853^2/$B$5^2+D1853^2/$B$6^2)&lt;=1)</x:f>
        <x:v>0</x:v>
      </x:c>
      <x:c r="F1853" s="42" t="n">
        <x:f>$B$8*SUM($E$18:E1853)/A1853</x:f>
        <x:v>100.60130718954248</x:v>
      </x:c>
      <x:c r="G1853" s="42" t="n">
        <x:f>$B$11</x:f>
        <x:v>100.53096491487338</x:v>
      </x:c>
      <x:c r="I1853" t="n">
        <x:f>A1853</x:f>
        <x:v>1836</x:v>
      </x:c>
      <x:c r="J1853" t="n">
        <x:f>F1853</x:f>
        <x:v>100.60130718954248</x:v>
      </x:c>
      <x:c r="K1853" t="n">
        <x:f>G1853</x:f>
        <x:v>100.53096491487338</x:v>
      </x:c>
    </x:row>
    <x:row r="1854">
      <x:c r="A1854" t="n">
        <x:v>1837</x:v>
      </x:c>
      <x:c r="B1854" s="40" t="n">
        <x:v>-1.9977274829642222</x:v>
      </x:c>
      <x:c r="C1854" s="40" t="n">
        <x:v>1.1135533946274627</x:v>
      </x:c>
      <x:c r="D1854" s="40" t="n">
        <x:v>2.991932714188369</x:v>
      </x:c>
      <x:c r="E1854" t="n">
        <x:f>--((B1854^2/$B$4^2+C1854^2/$B$5^2+D1854^2/$B$6^2)&lt;=1)</x:f>
        <x:v>0</x:v>
      </x:c>
      <x:c r="F1854" s="42" t="n">
        <x:f>$B$8*SUM($E$18:E1854)/A1854</x:f>
        <x:v>100.5465432770822</x:v>
      </x:c>
      <x:c r="G1854" s="42" t="n">
        <x:f>$B$11</x:f>
        <x:v>100.53096491487338</x:v>
      </x:c>
      <x:c r="I1854" t="n">
        <x:f>A1854</x:f>
        <x:v>1837</x:v>
      </x:c>
      <x:c r="J1854" t="n">
        <x:f>F1854</x:f>
        <x:v>100.5465432770822</x:v>
      </x:c>
      <x:c r="K1854" t="n">
        <x:f>G1854</x:f>
        <x:v>100.53096491487338</x:v>
      </x:c>
    </x:row>
    <x:row r="1855">
      <x:c r="A1855" t="n">
        <x:v>1838</x:v>
      </x:c>
      <x:c r="B1855" s="40" t="n">
        <x:v>-0.2722173559980723</x:v>
      </x:c>
      <x:c r="C1855" s="40" t="n">
        <x:v>-2.7603484494811847</x:v>
      </x:c>
      <x:c r="D1855" s="40" t="n">
        <x:v>0.10090598442902898</x:v>
      </x:c>
      <x:c r="E1855" t="n">
        <x:f>--((B1855^2/$B$4^2+C1855^2/$B$5^2+D1855^2/$B$6^2)&lt;=1)</x:f>
        <x:v>1</x:v>
      </x:c>
      <x:c r="F1855" s="42" t="n">
        <x:f>$B$8*SUM($E$18:E1855)/A1855</x:f>
        <x:v>100.59630032644178</x:v>
      </x:c>
      <x:c r="G1855" s="42" t="n">
        <x:f>$B$11</x:f>
        <x:v>100.53096491487338</x:v>
      </x:c>
      <x:c r="I1855" t="n">
        <x:f>A1855</x:f>
        <x:v>1838</x:v>
      </x:c>
      <x:c r="J1855" t="n">
        <x:f>F1855</x:f>
        <x:v>100.59630032644178</x:v>
      </x:c>
      <x:c r="K1855" t="n">
        <x:f>G1855</x:f>
        <x:v>100.53096491487338</x:v>
      </x:c>
    </x:row>
    <x:row r="1856">
      <x:c r="A1856" t="n">
        <x:v>1839</x:v>
      </x:c>
      <x:c r="B1856" s="40" t="n">
        <x:v>1.0769703251928857</x:v>
      </x:c>
      <x:c r="C1856" s="40" t="n">
        <x:v>1.7701644437769293</x:v>
      </x:c>
      <x:c r="D1856" s="40" t="n">
        <x:v>-0.213111894420277</x:v>
      </x:c>
      <x:c r="E1856" t="n">
        <x:f>--((B1856^2/$B$4^2+C1856^2/$B$5^2+D1856^2/$B$6^2)&lt;=1)</x:f>
        <x:v>1</x:v>
      </x:c>
      <x:c r="F1856" s="42" t="n">
        <x:f>$B$8*SUM($E$18:E1856)/A1856</x:f>
        <x:v>100.64600326264274</x:v>
      </x:c>
      <x:c r="G1856" s="42" t="n">
        <x:f>$B$11</x:f>
        <x:v>100.53096491487338</x:v>
      </x:c>
      <x:c r="I1856" t="n">
        <x:f>A1856</x:f>
        <x:v>1839</x:v>
      </x:c>
      <x:c r="J1856" t="n">
        <x:f>F1856</x:f>
        <x:v>100.64600326264274</x:v>
      </x:c>
      <x:c r="K1856" t="n">
        <x:f>G1856</x:f>
        <x:v>100.53096491487338</x:v>
      </x:c>
    </x:row>
    <x:row r="1857">
      <x:c r="A1857" t="n">
        <x:v>1840</x:v>
      </x:c>
      <x:c r="B1857" s="40" t="n">
        <x:v>0.9338657711993434</x:v>
      </x:c>
      <x:c r="C1857" s="40" t="n">
        <x:v>-1.302122754832123</x:v>
      </x:c>
      <x:c r="D1857" s="40" t="n">
        <x:v>-2.4124853069419014</x:v>
      </x:c>
      <x:c r="E1857" t="n">
        <x:f>--((B1857^2/$B$4^2+C1857^2/$B$5^2+D1857^2/$B$6^2)&lt;=1)</x:f>
        <x:v>1</x:v>
      </x:c>
      <x:c r="F1857" s="42" t="n">
        <x:f>$B$8*SUM($E$18:E1857)/A1857</x:f>
        <x:v>100.69565217391305</x:v>
      </x:c>
      <x:c r="G1857" s="42" t="n">
        <x:f>$B$11</x:f>
        <x:v>100.53096491487338</x:v>
      </x:c>
      <x:c r="I1857" t="n">
        <x:f>A1857</x:f>
        <x:v>1840</x:v>
      </x:c>
      <x:c r="J1857" t="n">
        <x:f>F1857</x:f>
        <x:v>100.69565217391305</x:v>
      </x:c>
      <x:c r="K1857" t="n">
        <x:f>G1857</x:f>
        <x:v>100.53096491487338</x:v>
      </x:c>
    </x:row>
    <x:row r="1858">
      <x:c r="A1858" t="n">
        <x:v>1841</x:v>
      </x:c>
      <x:c r="B1858" s="40" t="n">
        <x:v>-1.8714036487885992</x:v>
      </x:c>
      <x:c r="C1858" s="40" t="n">
        <x:v>1.0953587605949986</x:v>
      </x:c>
      <x:c r="D1858" s="40" t="n">
        <x:v>-0.9840494482357016</x:v>
      </x:c>
      <x:c r="E1858" t="n">
        <x:f>--((B1858^2/$B$4^2+C1858^2/$B$5^2+D1858^2/$B$6^2)&lt;=1)</x:f>
        <x:v>0</x:v>
      </x:c>
      <x:c r="F1858" s="42" t="n">
        <x:f>$B$8*SUM($E$18:E1858)/A1858</x:f>
        <x:v>100.64095600217273</x:v>
      </x:c>
      <x:c r="G1858" s="42" t="n">
        <x:f>$B$11</x:f>
        <x:v>100.53096491487338</x:v>
      </x:c>
      <x:c r="I1858" t="n">
        <x:f>A1858</x:f>
        <x:v>1841</x:v>
      </x:c>
      <x:c r="J1858" t="n">
        <x:f>F1858</x:f>
        <x:v>100.64095600217273</x:v>
      </x:c>
      <x:c r="K1858" t="n">
        <x:f>G1858</x:f>
        <x:v>100.53096491487338</x:v>
      </x:c>
    </x:row>
    <x:row r="1859">
      <x:c r="A1859" t="n">
        <x:v>1842</x:v>
      </x:c>
      <x:c r="B1859" s="40" t="n">
        <x:v>0.2799316143761317</x:v>
      </x:c>
      <x:c r="C1859" s="40" t="n">
        <x:v>0.85635188808036</x:v>
      </x:c>
      <x:c r="D1859" s="40" t="n">
        <x:v>-1.337401101479207</x:v>
      </x:c>
      <x:c r="E1859" t="n">
        <x:f>--((B1859^2/$B$4^2+C1859^2/$B$5^2+D1859^2/$B$6^2)&lt;=1)</x:f>
        <x:v>1</x:v>
      </x:c>
      <x:c r="F1859" s="42" t="n">
        <x:f>$B$8*SUM($E$18:E1859)/A1859</x:f>
        <x:v>100.69055374592834</x:v>
      </x:c>
      <x:c r="G1859" s="42" t="n">
        <x:f>$B$11</x:f>
        <x:v>100.53096491487338</x:v>
      </x:c>
      <x:c r="I1859" t="n">
        <x:f>A1859</x:f>
        <x:v>1842</x:v>
      </x:c>
      <x:c r="J1859" t="n">
        <x:f>F1859</x:f>
        <x:v>100.69055374592834</x:v>
      </x:c>
      <x:c r="K1859" t="n">
        <x:f>G1859</x:f>
        <x:v>100.53096491487338</x:v>
      </x:c>
    </x:row>
    <x:row r="1860">
      <x:c r="A1860" t="n">
        <x:v>1843</x:v>
      </x:c>
      <x:c r="B1860" s="40" t="n">
        <x:v>-1.382867498346096</x:v>
      </x:c>
      <x:c r="C1860" s="40" t="n">
        <x:v>0.9157682948478323</x:v>
      </x:c>
      <x:c r="D1860" s="40" t="n">
        <x:v>-1.8341145373645853</x:v>
      </x:c>
      <x:c r="E1860" t="n">
        <x:f>--((B1860^2/$B$4^2+C1860^2/$B$5^2+D1860^2/$B$6^2)&lt;=1)</x:f>
        <x:v>1</x:v>
      </x:c>
      <x:c r="F1860" s="42" t="n">
        <x:f>$B$8*SUM($E$18:E1860)/A1860</x:f>
        <x:v>100.74009766684753</x:v>
      </x:c>
      <x:c r="G1860" s="42" t="n">
        <x:f>$B$11</x:f>
        <x:v>100.53096491487338</x:v>
      </x:c>
      <x:c r="I1860" t="n">
        <x:f>A1860</x:f>
        <x:v>1843</x:v>
      </x:c>
      <x:c r="J1860" t="n">
        <x:f>F1860</x:f>
        <x:v>100.74009766684753</x:v>
      </x:c>
      <x:c r="K1860" t="n">
        <x:f>G1860</x:f>
        <x:v>100.53096491487338</x:v>
      </x:c>
    </x:row>
    <x:row r="1861">
      <x:c r="A1861" t="n">
        <x:v>1844</x:v>
      </x:c>
      <x:c r="B1861" s="40" t="n">
        <x:v>1.7643051390587892</x:v>
      </x:c>
      <x:c r="C1861" s="40" t="n">
        <x:v>0.6487734975348172</x:v>
      </x:c>
      <x:c r="D1861" s="40" t="n">
        <x:v>0.539252597174185</x:v>
      </x:c>
      <x:c r="E1861" t="n">
        <x:f>--((B1861^2/$B$4^2+C1861^2/$B$5^2+D1861^2/$B$6^2)&lt;=1)</x:f>
        <x:v>1</x:v>
      </x:c>
      <x:c r="F1861" s="42" t="n">
        <x:f>$B$8*SUM($E$18:E1861)/A1861</x:f>
        <x:v>100.78958785249458</x:v>
      </x:c>
      <x:c r="G1861" s="42" t="n">
        <x:f>$B$11</x:f>
        <x:v>100.53096491487338</x:v>
      </x:c>
      <x:c r="I1861" t="n">
        <x:f>A1861</x:f>
        <x:v>1844</x:v>
      </x:c>
      <x:c r="J1861" t="n">
        <x:f>F1861</x:f>
        <x:v>100.78958785249458</x:v>
      </x:c>
      <x:c r="K1861" t="n">
        <x:f>G1861</x:f>
        <x:v>100.53096491487338</x:v>
      </x:c>
    </x:row>
    <x:row r="1862">
      <x:c r="A1862" t="n">
        <x:v>1845</x:v>
      </x:c>
      <x:c r="B1862" s="40" t="n">
        <x:v>-1.3305400014232829</x:v>
      </x:c>
      <x:c r="C1862" s="40" t="n">
        <x:v>2.7546110284172087</x:v>
      </x:c>
      <x:c r="D1862" s="40" t="n">
        <x:v>-0.30179711775774365</x:v>
      </x:c>
      <x:c r="E1862" t="n">
        <x:f>--((B1862^2/$B$4^2+C1862^2/$B$5^2+D1862^2/$B$6^2)&lt;=1)</x:f>
        <x:v>0</x:v>
      </x:c>
      <x:c r="F1862" s="42" t="n">
        <x:f>$B$8*SUM($E$18:E1862)/A1862</x:f>
        <x:v>100.7349593495935</x:v>
      </x:c>
      <x:c r="G1862" s="42" t="n">
        <x:f>$B$11</x:f>
        <x:v>100.53096491487338</x:v>
      </x:c>
      <x:c r="I1862" t="n">
        <x:f>A1862</x:f>
        <x:v>1845</x:v>
      </x:c>
      <x:c r="J1862" t="n">
        <x:f>F1862</x:f>
        <x:v>100.7349593495935</x:v>
      </x:c>
      <x:c r="K1862" t="n">
        <x:f>G1862</x:f>
        <x:v>100.53096491487338</x:v>
      </x:c>
    </x:row>
    <x:row r="1863">
      <x:c r="A1863" t="n">
        <x:v>1846</x:v>
      </x:c>
      <x:c r="B1863" s="40" t="n">
        <x:v>0.5065568707899262</x:v>
      </x:c>
      <x:c r="C1863" s="40" t="n">
        <x:v>0.050064976172345066</x:v>
      </x:c>
      <x:c r="D1863" s="40" t="n">
        <x:v>3.113581482517338</x:v>
      </x:c>
      <x:c r="E1863" t="n">
        <x:f>--((B1863^2/$B$4^2+C1863^2/$B$5^2+D1863^2/$B$6^2)&lt;=1)</x:f>
        <x:v>1</x:v>
      </x:c>
      <x:c r="F1863" s="42" t="n">
        <x:f>$B$8*SUM($E$18:E1863)/A1863</x:f>
        <x:v>100.78439869989165</x:v>
      </x:c>
      <x:c r="G1863" s="42" t="n">
        <x:f>$B$11</x:f>
        <x:v>100.53096491487338</x:v>
      </x:c>
      <x:c r="I1863" t="n">
        <x:f>A1863</x:f>
        <x:v>1846</x:v>
      </x:c>
      <x:c r="J1863" t="n">
        <x:f>F1863</x:f>
        <x:v>100.78439869989165</x:v>
      </x:c>
      <x:c r="K1863" t="n">
        <x:f>G1863</x:f>
        <x:v>100.53096491487338</x:v>
      </x:c>
    </x:row>
    <x:row r="1864">
      <x:c r="A1864" t="n">
        <x:v>1847</x:v>
      </x:c>
      <x:c r="B1864" s="40" t="n">
        <x:v>-0.6950465513437729</x:v>
      </x:c>
      <x:c r="C1864" s="40" t="n">
        <x:v>1.3939146930921087</x:v>
      </x:c>
      <x:c r="D1864" s="40" t="n">
        <x:v>3.530751816377287</x:v>
      </x:c>
      <x:c r="E1864" t="n">
        <x:f>--((B1864^2/$B$4^2+C1864^2/$B$5^2+D1864^2/$B$6^2)&lt;=1)</x:f>
        <x:v>0</x:v>
      </x:c>
      <x:c r="F1864" s="42" t="n">
        <x:f>$B$8*SUM($E$18:E1864)/A1864</x:f>
        <x:v>100.72983216025987</x:v>
      </x:c>
      <x:c r="G1864" s="42" t="n">
        <x:f>$B$11</x:f>
        <x:v>100.53096491487338</x:v>
      </x:c>
      <x:c r="I1864" t="n">
        <x:f>A1864</x:f>
        <x:v>1847</x:v>
      </x:c>
      <x:c r="J1864" t="n">
        <x:f>F1864</x:f>
        <x:v>100.72983216025987</x:v>
      </x:c>
      <x:c r="K1864" t="n">
        <x:f>G1864</x:f>
        <x:v>100.53096491487338</x:v>
      </x:c>
    </x:row>
    <x:row r="1865">
      <x:c r="A1865" t="n">
        <x:v>1848</x:v>
      </x:c>
      <x:c r="B1865" s="40" t="n">
        <x:v>0.5662453038574089</x:v>
      </x:c>
      <x:c r="C1865" s="40" t="n">
        <x:v>1.2326959874074657</x:v>
      </x:c>
      <x:c r="D1865" s="40" t="n">
        <x:v>-2.244212566175273</x:v>
      </x:c>
      <x:c r="E1865" t="n">
        <x:f>--((B1865^2/$B$4^2+C1865^2/$B$5^2+D1865^2/$B$6^2)&lt;=1)</x:f>
        <x:v>1</x:v>
      </x:c>
      <x:c r="F1865" s="42" t="n">
        <x:f>$B$8*SUM($E$18:E1865)/A1865</x:f>
        <x:v>100.77922077922078</x:v>
      </x:c>
      <x:c r="G1865" s="42" t="n">
        <x:f>$B$11</x:f>
        <x:v>100.53096491487338</x:v>
      </x:c>
      <x:c r="I1865" t="n">
        <x:f>A1865</x:f>
        <x:v>1848</x:v>
      </x:c>
      <x:c r="J1865" t="n">
        <x:f>F1865</x:f>
        <x:v>100.77922077922078</x:v>
      </x:c>
      <x:c r="K1865" t="n">
        <x:f>G1865</x:f>
        <x:v>100.53096491487338</x:v>
      </x:c>
    </x:row>
    <x:row r="1866">
      <x:c r="A1866" t="n">
        <x:v>1849</x:v>
      </x:c>
      <x:c r="B1866" s="40" t="n">
        <x:v>-0.3509656141436994</x:v>
      </x:c>
      <x:c r="C1866" s="40" t="n">
        <x:v>-1.5823945363300178</x:v>
      </x:c>
      <x:c r="D1866" s="40" t="n">
        <x:v>-3.199156569862316</x:v>
      </x:c>
      <x:c r="E1866" t="n">
        <x:f>--((B1866^2/$B$4^2+C1866^2/$B$5^2+D1866^2/$B$6^2)&lt;=1)</x:f>
        <x:v>1</x:v>
      </x:c>
      <x:c r="F1866" s="42" t="n">
        <x:f>$B$8*SUM($E$18:E1866)/A1866</x:f>
        <x:v>100.82855597620335</x:v>
      </x:c>
      <x:c r="G1866" s="42" t="n">
        <x:f>$B$11</x:f>
        <x:v>100.53096491487338</x:v>
      </x:c>
      <x:c r="I1866" t="n">
        <x:f>A1866</x:f>
        <x:v>1849</x:v>
      </x:c>
      <x:c r="J1866" t="n">
        <x:f>F1866</x:f>
        <x:v>100.82855597620335</x:v>
      </x:c>
      <x:c r="K1866" t="n">
        <x:f>G1866</x:f>
        <x:v>100.53096491487338</x:v>
      </x:c>
    </x:row>
    <x:row r="1867">
      <x:c r="A1867" t="n">
        <x:v>1850</x:v>
      </x:c>
      <x:c r="B1867" s="40" t="n">
        <x:v>1.038572209225579</x:v>
      </x:c>
      <x:c r="C1867" s="40" t="n">
        <x:v>-1.3001649648790463</x:v>
      </x:c>
      <x:c r="D1867" s="40" t="n">
        <x:v>2.2827004119019954</x:v>
      </x:c>
      <x:c r="E1867" t="n">
        <x:f>--((B1867^2/$B$4^2+C1867^2/$B$5^2+D1867^2/$B$6^2)&lt;=1)</x:f>
        <x:v>1</x:v>
      </x:c>
      <x:c r="F1867" s="42" t="n">
        <x:f>$B$8*SUM($E$18:E1867)/A1867</x:f>
        <x:v>100.87783783783784</x:v>
      </x:c>
      <x:c r="G1867" s="42" t="n">
        <x:f>$B$11</x:f>
        <x:v>100.53096491487338</x:v>
      </x:c>
      <x:c r="I1867" t="n">
        <x:f>A1867</x:f>
        <x:v>1850</x:v>
      </x:c>
      <x:c r="J1867" t="n">
        <x:f>F1867</x:f>
        <x:v>100.87783783783784</x:v>
      </x:c>
      <x:c r="K1867" t="n">
        <x:f>G1867</x:f>
        <x:v>100.53096491487338</x:v>
      </x:c>
    </x:row>
    <x:row r="1868">
      <x:c r="A1868" t="n">
        <x:v>1851</x:v>
      </x:c>
      <x:c r="B1868" s="40" t="n">
        <x:v>-1.0772834986885687</x:v>
      </x:c>
      <x:c r="C1868" s="40" t="n">
        <x:v>-0.45589741105819304</x:v>
      </x:c>
      <x:c r="D1868" s="40" t="n">
        <x:v>3.958891229108872</x:v>
      </x:c>
      <x:c r="E1868" t="n">
        <x:f>--((B1868^2/$B$4^2+C1868^2/$B$5^2+D1868^2/$B$6^2)&lt;=1)</x:f>
        <x:v>0</x:v>
      </x:c>
      <x:c r="F1868" s="42" t="n">
        <x:f>$B$8*SUM($E$18:E1868)/A1868</x:f>
        <x:v>100.82333873581848</x:v>
      </x:c>
      <x:c r="G1868" s="42" t="n">
        <x:f>$B$11</x:f>
        <x:v>100.53096491487338</x:v>
      </x:c>
      <x:c r="I1868" t="n">
        <x:f>A1868</x:f>
        <x:v>1851</x:v>
      </x:c>
      <x:c r="J1868" t="n">
        <x:f>F1868</x:f>
        <x:v>100.82333873581848</x:v>
      </x:c>
      <x:c r="K1868" t="n">
        <x:f>G1868</x:f>
        <x:v>100.53096491487338</x:v>
      </x:c>
    </x:row>
    <x:row r="1869">
      <x:c r="A1869" t="n">
        <x:v>1852</x:v>
      </x:c>
      <x:c r="B1869" s="40" t="n">
        <x:v>1.6231674116570405</x:v>
      </x:c>
      <x:c r="C1869" s="40" t="n">
        <x:v>-1.3338124172207446</x:v>
      </x:c>
      <x:c r="D1869" s="40" t="n">
        <x:v>2.9088005588332333</x:v>
      </x:c>
      <x:c r="E1869" t="n">
        <x:f>--((B1869^2/$B$4^2+C1869^2/$B$5^2+D1869^2/$B$6^2)&lt;=1)</x:f>
        <x:v>0</x:v>
      </x:c>
      <x:c r="F1869" s="42" t="n">
        <x:f>$B$8*SUM($E$18:E1869)/A1869</x:f>
        <x:v>100.76889848812095</x:v>
      </x:c>
      <x:c r="G1869" s="42" t="n">
        <x:f>$B$11</x:f>
        <x:v>100.53096491487338</x:v>
      </x:c>
      <x:c r="I1869" t="n">
        <x:f>A1869</x:f>
        <x:v>1852</x:v>
      </x:c>
      <x:c r="J1869" t="n">
        <x:f>F1869</x:f>
        <x:v>100.76889848812095</x:v>
      </x:c>
      <x:c r="K1869" t="n">
        <x:f>G1869</x:f>
        <x:v>100.53096491487338</x:v>
      </x:c>
    </x:row>
    <x:row r="1870">
      <x:c r="A1870" t="n">
        <x:v>1853</x:v>
      </x:c>
      <x:c r="B1870" s="40" t="n">
        <x:v>0.0008385972534084019</x:v>
      </x:c>
      <x:c r="C1870" s="40" t="n">
        <x:v>-0.799541406420242</x:v>
      </x:c>
      <x:c r="D1870" s="40" t="n">
        <x:v>-3.810420783050122</x:v>
      </x:c>
      <x:c r="E1870" t="n">
        <x:f>--((B1870^2/$B$4^2+C1870^2/$B$5^2+D1870^2/$B$6^2)&lt;=1)</x:f>
        <x:v>1</x:v>
      </x:c>
      <x:c r="F1870" s="42" t="n">
        <x:f>$B$8*SUM($E$18:E1870)/A1870</x:f>
        <x:v>100.81813275769024</x:v>
      </x:c>
      <x:c r="G1870" s="42" t="n">
        <x:f>$B$11</x:f>
        <x:v>100.53096491487338</x:v>
      </x:c>
      <x:c r="I1870" t="n">
        <x:f>A1870</x:f>
        <x:v>1853</x:v>
      </x:c>
      <x:c r="J1870" t="n">
        <x:f>F1870</x:f>
        <x:v>100.81813275769024</x:v>
      </x:c>
      <x:c r="K1870" t="n">
        <x:f>G1870</x:f>
        <x:v>100.53096491487338</x:v>
      </x:c>
    </x:row>
    <x:row r="1871">
      <x:c r="A1871" t="n">
        <x:v>1854</x:v>
      </x:c>
      <x:c r="B1871" s="40" t="n">
        <x:v>1.0243725908514114</x:v>
      </x:c>
      <x:c r="C1871" s="40" t="n">
        <x:v>-0.6542363164301643</x:v>
      </x:c>
      <x:c r="D1871" s="40" t="n">
        <x:v>-1.989891594348272</x:v>
      </x:c>
      <x:c r="E1871" t="n">
        <x:f>--((B1871^2/$B$4^2+C1871^2/$B$5^2+D1871^2/$B$6^2)&lt;=1)</x:f>
        <x:v>1</x:v>
      </x:c>
      <x:c r="F1871" s="42" t="n">
        <x:f>$B$8*SUM($E$18:E1871)/A1871</x:f>
        <x:v>100.86731391585761</x:v>
      </x:c>
      <x:c r="G1871" s="42" t="n">
        <x:f>$B$11</x:f>
        <x:v>100.53096491487338</x:v>
      </x:c>
      <x:c r="I1871" t="n">
        <x:f>A1871</x:f>
        <x:v>1854</x:v>
      </x:c>
      <x:c r="J1871" t="n">
        <x:f>F1871</x:f>
        <x:v>100.86731391585761</x:v>
      </x:c>
      <x:c r="K1871" t="n">
        <x:f>G1871</x:f>
        <x:v>100.53096491487338</x:v>
      </x:c>
    </x:row>
    <x:row r="1872">
      <x:c r="A1872" t="n">
        <x:v>1855</x:v>
      </x:c>
      <x:c r="B1872" s="40" t="n">
        <x:v>1.3989207656049083</x:v>
      </x:c>
      <x:c r="C1872" s="40" t="n">
        <x:v>0.6231873656300637</x:v>
      </x:c>
      <x:c r="D1872" s="40" t="n">
        <x:v>-3.6532617836698886</x:v>
      </x:c>
      <x:c r="E1872" t="n">
        <x:f>--((B1872^2/$B$4^2+C1872^2/$B$5^2+D1872^2/$B$6^2)&lt;=1)</x:f>
        <x:v>0</x:v>
      </x:c>
      <x:c r="F1872" s="42" t="n">
        <x:f>$B$8*SUM($E$18:E1872)/A1872</x:f>
        <x:v>100.81293800539083</x:v>
      </x:c>
      <x:c r="G1872" s="42" t="n">
        <x:f>$B$11</x:f>
        <x:v>100.53096491487338</x:v>
      </x:c>
      <x:c r="I1872" t="n">
        <x:f>A1872</x:f>
        <x:v>1855</x:v>
      </x:c>
      <x:c r="J1872" t="n">
        <x:f>F1872</x:f>
        <x:v>100.81293800539083</x:v>
      </x:c>
      <x:c r="K1872" t="n">
        <x:f>G1872</x:f>
        <x:v>100.53096491487338</x:v>
      </x:c>
    </x:row>
    <x:row r="1873">
      <x:c r="A1873" t="n">
        <x:v>1856</x:v>
      </x:c>
      <x:c r="B1873" s="40" t="n">
        <x:v>1.9953144438192196</x:v>
      </x:c>
      <x:c r="C1873" s="40" t="n">
        <x:v>-1.6806597435896302</x:v>
      </x:c>
      <x:c r="D1873" s="40" t="n">
        <x:v>2.5662350163293324</x:v>
      </x:c>
      <x:c r="E1873" t="n">
        <x:f>--((B1873^2/$B$4^2+C1873^2/$B$5^2+D1873^2/$B$6^2)&lt;=1)</x:f>
        <x:v>0</x:v>
      </x:c>
      <x:c r="F1873" s="42" t="n">
        <x:f>$B$8*SUM($E$18:E1873)/A1873</x:f>
        <x:v>100.75862068965517</x:v>
      </x:c>
      <x:c r="G1873" s="42" t="n">
        <x:f>$B$11</x:f>
        <x:v>100.53096491487338</x:v>
      </x:c>
      <x:c r="I1873" t="n">
        <x:f>A1873</x:f>
        <x:v>1856</x:v>
      </x:c>
      <x:c r="J1873" t="n">
        <x:f>F1873</x:f>
        <x:v>100.75862068965517</x:v>
      </x:c>
      <x:c r="K1873" t="n">
        <x:f>G1873</x:f>
        <x:v>100.53096491487338</x:v>
      </x:c>
    </x:row>
    <x:row r="1874">
      <x:c r="A1874" t="n">
        <x:v>1857</x:v>
      </x:c>
      <x:c r="B1874" s="40" t="n">
        <x:v>-1.104217337624167</x:v>
      </x:c>
      <x:c r="C1874" s="40" t="n">
        <x:v>1.825751195260124</x:v>
      </x:c>
      <x:c r="D1874" s="40" t="n">
        <x:v>0.6512558103385304</x:v>
      </x:c>
      <x:c r="E1874" t="n">
        <x:f>--((B1874^2/$B$4^2+C1874^2/$B$5^2+D1874^2/$B$6^2)&lt;=1)</x:f>
        <x:v>1</x:v>
      </x:c>
      <x:c r="F1874" s="42" t="n">
        <x:f>$B$8*SUM($E$18:E1874)/A1874</x:f>
        <x:v>100.80775444264944</x:v>
      </x:c>
      <x:c r="G1874" s="42" t="n">
        <x:f>$B$11</x:f>
        <x:v>100.53096491487338</x:v>
      </x:c>
      <x:c r="I1874" t="n">
        <x:f>A1874</x:f>
        <x:v>1857</x:v>
      </x:c>
      <x:c r="J1874" t="n">
        <x:f>F1874</x:f>
        <x:v>100.80775444264944</x:v>
      </x:c>
      <x:c r="K1874" t="n">
        <x:f>G1874</x:f>
        <x:v>100.53096491487338</x:v>
      </x:c>
    </x:row>
    <x:row r="1875">
      <x:c r="A1875" t="n">
        <x:v>1858</x:v>
      </x:c>
      <x:c r="B1875" s="40" t="n">
        <x:v>-0.8524303457461806</x:v>
      </x:c>
      <x:c r="C1875" s="40" t="n">
        <x:v>-0.3747818593709722</x:v>
      </x:c>
      <x:c r="D1875" s="40" t="n">
        <x:v>0.10974832933643075</x:v>
      </x:c>
      <x:c r="E1875" t="n">
        <x:f>--((B1875^2/$B$4^2+C1875^2/$B$5^2+D1875^2/$B$6^2)&lt;=1)</x:f>
        <x:v>1</x:v>
      </x:c>
      <x:c r="F1875" s="42" t="n">
        <x:f>$B$8*SUM($E$18:E1875)/A1875</x:f>
        <x:v>100.85683530678149</x:v>
      </x:c>
      <x:c r="G1875" s="42" t="n">
        <x:f>$B$11</x:f>
        <x:v>100.53096491487338</x:v>
      </x:c>
      <x:c r="I1875" t="n">
        <x:f>A1875</x:f>
        <x:v>1858</x:v>
      </x:c>
      <x:c r="J1875" t="n">
        <x:f>F1875</x:f>
        <x:v>100.85683530678149</x:v>
      </x:c>
      <x:c r="K1875" t="n">
        <x:f>G1875</x:f>
        <x:v>100.53096491487338</x:v>
      </x:c>
    </x:row>
    <x:row r="1876">
      <x:c r="A1876" t="n">
        <x:v>1859</x:v>
      </x:c>
      <x:c r="B1876" s="40" t="n">
        <x:v>-0.998267653072447</x:v>
      </x:c>
      <x:c r="C1876" s="40" t="n">
        <x:v>1.237464670099481</x:v>
      </x:c>
      <x:c r="D1876" s="40" t="n">
        <x:v>0.4355990559722205</x:v>
      </x:c>
      <x:c r="E1876" t="n">
        <x:f>--((B1876^2/$B$4^2+C1876^2/$B$5^2+D1876^2/$B$6^2)&lt;=1)</x:f>
        <x:v>1</x:v>
      </x:c>
      <x:c r="F1876" s="42" t="n">
        <x:f>$B$8*SUM($E$18:E1876)/A1876</x:f>
        <x:v>100.90586336740184</x:v>
      </x:c>
      <x:c r="G1876" s="42" t="n">
        <x:f>$B$11</x:f>
        <x:v>100.53096491487338</x:v>
      </x:c>
      <x:c r="I1876" t="n">
        <x:f>A1876</x:f>
        <x:v>1859</x:v>
      </x:c>
      <x:c r="J1876" t="n">
        <x:f>F1876</x:f>
        <x:v>100.90586336740184</x:v>
      </x:c>
      <x:c r="K1876" t="n">
        <x:f>G1876</x:f>
        <x:v>100.53096491487338</x:v>
      </x:c>
    </x:row>
    <x:row r="1877">
      <x:c r="A1877" t="n">
        <x:v>1860</x:v>
      </x:c>
      <x:c r="B1877" s="40" t="n">
        <x:v>-0.9485146713608694</x:v>
      </x:c>
      <x:c r="C1877" s="40" t="n">
        <x:v>-2.5113451125550927</x:v>
      </x:c>
      <x:c r="D1877" s="40" t="n">
        <x:v>-1.980389930427271</x:v>
      </x:c>
      <x:c r="E1877" t="n">
        <x:f>--((B1877^2/$B$4^2+C1877^2/$B$5^2+D1877^2/$B$6^2)&lt;=1)</x:f>
        <x:v>0</x:v>
      </x:c>
      <x:c r="F1877" s="42" t="n">
        <x:f>$B$8*SUM($E$18:E1877)/A1877</x:f>
        <x:v>100.85161290322581</x:v>
      </x:c>
      <x:c r="G1877" s="42" t="n">
        <x:f>$B$11</x:f>
        <x:v>100.53096491487338</x:v>
      </x:c>
      <x:c r="I1877" t="n">
        <x:f>A1877</x:f>
        <x:v>1860</x:v>
      </x:c>
      <x:c r="J1877" t="n">
        <x:f>F1877</x:f>
        <x:v>100.85161290322581</x:v>
      </x:c>
      <x:c r="K1877" t="n">
        <x:f>G1877</x:f>
        <x:v>100.53096491487338</x:v>
      </x:c>
    </x:row>
    <x:row r="1878">
      <x:c r="A1878" t="n">
        <x:v>1861</x:v>
      </x:c>
      <x:c r="B1878" s="40" t="n">
        <x:v>0.3297789661575097</x:v>
      </x:c>
      <x:c r="C1878" s="40" t="n">
        <x:v>-0.18020763525379868</x:v>
      </x:c>
      <x:c r="D1878" s="40" t="n">
        <x:v>0.8131069531109025</x:v>
      </x:c>
      <x:c r="E1878" t="n">
        <x:f>--((B1878^2/$B$4^2+C1878^2/$B$5^2+D1878^2/$B$6^2)&lt;=1)</x:f>
        <x:v>1</x:v>
      </x:c>
      <x:c r="F1878" s="42" t="n">
        <x:f>$B$8*SUM($E$18:E1878)/A1878</x:f>
        <x:v>100.90059108006449</x:v>
      </x:c>
      <x:c r="G1878" s="42" t="n">
        <x:f>$B$11</x:f>
        <x:v>100.53096491487338</x:v>
      </x:c>
      <x:c r="I1878" t="n">
        <x:f>A1878</x:f>
        <x:v>1861</x:v>
      </x:c>
      <x:c r="J1878" t="n">
        <x:f>F1878</x:f>
        <x:v>100.90059108006449</x:v>
      </x:c>
      <x:c r="K1878" t="n">
        <x:f>G1878</x:f>
        <x:v>100.53096491487338</x:v>
      </x:c>
    </x:row>
    <x:row r="1879">
      <x:c r="A1879" t="n">
        <x:v>1862</x:v>
      </x:c>
      <x:c r="B1879" s="40" t="n">
        <x:v>1.974090092583372</x:v>
      </x:c>
      <x:c r="C1879" s="40" t="n">
        <x:v>-2.8306828069360304</x:v>
      </x:c>
      <x:c r="D1879" s="40" t="n">
        <x:v>-3.75466417228776</x:v>
      </x:c>
      <x:c r="E1879" t="n">
        <x:f>--((B1879^2/$B$4^2+C1879^2/$B$5^2+D1879^2/$B$6^2)&lt;=1)</x:f>
        <x:v>0</x:v>
      </x:c>
      <x:c r="F1879" s="42" t="n">
        <x:f>$B$8*SUM($E$18:E1879)/A1879</x:f>
        <x:v>100.84640171858217</x:v>
      </x:c>
      <x:c r="G1879" s="42" t="n">
        <x:f>$B$11</x:f>
        <x:v>100.53096491487338</x:v>
      </x:c>
      <x:c r="I1879" t="n">
        <x:f>A1879</x:f>
        <x:v>1862</x:v>
      </x:c>
      <x:c r="J1879" t="n">
        <x:f>F1879</x:f>
        <x:v>100.84640171858217</x:v>
      </x:c>
      <x:c r="K1879" t="n">
        <x:f>G1879</x:f>
        <x:v>100.53096491487338</x:v>
      </x:c>
    </x:row>
    <x:row r="1880">
      <x:c r="A1880" t="n">
        <x:v>1863</x:v>
      </x:c>
      <x:c r="B1880" s="40" t="n">
        <x:v>1.9611123483710178</x:v>
      </x:c>
      <x:c r="C1880" s="40" t="n">
        <x:v>1.0554599508933888</x:v>
      </x:c>
      <x:c r="D1880" s="40" t="n">
        <x:v>1.168093791766717</x:v>
      </x:c>
      <x:c r="E1880" t="n">
        <x:f>--((B1880^2/$B$4^2+C1880^2/$B$5^2+D1880^2/$B$6^2)&lt;=1)</x:f>
        <x:v>0</x:v>
      </x:c>
      <x:c r="F1880" s="42" t="n">
        <x:f>$B$8*SUM($E$18:E1880)/A1880</x:f>
        <x:v>100.79227053140097</x:v>
      </x:c>
      <x:c r="G1880" s="42" t="n">
        <x:f>$B$11</x:f>
        <x:v>100.53096491487338</x:v>
      </x:c>
      <x:c r="I1880" t="n">
        <x:f>A1880</x:f>
        <x:v>1863</x:v>
      </x:c>
      <x:c r="J1880" t="n">
        <x:f>F1880</x:f>
        <x:v>100.79227053140097</x:v>
      </x:c>
      <x:c r="K1880" t="n">
        <x:f>G1880</x:f>
        <x:v>100.53096491487338</x:v>
      </x:c>
    </x:row>
    <x:row r="1881">
      <x:c r="A1881" t="n">
        <x:v>1864</x:v>
      </x:c>
      <x:c r="B1881" s="40" t="n">
        <x:v>0.10709292544923077</x:v>
      </x:c>
      <x:c r="C1881" s="40" t="n">
        <x:v>-0.9377395380175826</x:v>
      </x:c>
      <x:c r="D1881" s="40" t="n">
        <x:v>1.8754706414306463</x:v>
      </x:c>
      <x:c r="E1881" t="n">
        <x:f>--((B1881^2/$B$4^2+C1881^2/$B$5^2+D1881^2/$B$6^2)&lt;=1)</x:f>
        <x:v>1</x:v>
      </x:c>
      <x:c r="F1881" s="42" t="n">
        <x:f>$B$8*SUM($E$18:E1881)/A1881</x:f>
        <x:v>100.8412017167382</x:v>
      </x:c>
      <x:c r="G1881" s="42" t="n">
        <x:f>$B$11</x:f>
        <x:v>100.53096491487338</x:v>
      </x:c>
      <x:c r="I1881" t="n">
        <x:f>A1881</x:f>
        <x:v>1864</x:v>
      </x:c>
      <x:c r="J1881" t="n">
        <x:f>F1881</x:f>
        <x:v>100.8412017167382</x:v>
      </x:c>
      <x:c r="K1881" t="n">
        <x:f>G1881</x:f>
        <x:v>100.53096491487338</x:v>
      </x:c>
    </x:row>
    <x:row r="1882">
      <x:c r="A1882" t="n">
        <x:v>1865</x:v>
      </x:c>
      <x:c r="B1882" s="40" t="n">
        <x:v>0.5561088410586952</x:v>
      </x:c>
      <x:c r="C1882" s="40" t="n">
        <x:v>2.695516884634972</x:v>
      </x:c>
      <x:c r="D1882" s="40" t="n">
        <x:v>1.3842101096946173</x:v>
      </x:c>
      <x:c r="E1882" t="n">
        <x:f>--((B1882^2/$B$4^2+C1882^2/$B$5^2+D1882^2/$B$6^2)&lt;=1)</x:f>
        <x:v>0</x:v>
      </x:c>
      <x:c r="F1882" s="42" t="n">
        <x:f>$B$8*SUM($E$18:E1882)/A1882</x:f>
        <x:v>100.78713136729222</x:v>
      </x:c>
      <x:c r="G1882" s="42" t="n">
        <x:f>$B$11</x:f>
        <x:v>100.53096491487338</x:v>
      </x:c>
      <x:c r="I1882" t="n">
        <x:f>A1882</x:f>
        <x:v>1865</x:v>
      </x:c>
      <x:c r="J1882" t="n">
        <x:f>F1882</x:f>
        <x:v>100.78713136729222</x:v>
      </x:c>
      <x:c r="K1882" t="n">
        <x:f>G1882</x:f>
        <x:v>100.53096491487338</x:v>
      </x:c>
    </x:row>
    <x:row r="1883">
      <x:c r="A1883" t="n">
        <x:v>1866</x:v>
      </x:c>
      <x:c r="B1883" s="40" t="n">
        <x:v>1.4398821748064239</x:v>
      </x:c>
      <x:c r="C1883" s="40" t="n">
        <x:v>-1.0552547123914837</x:v>
      </x:c>
      <x:c r="D1883" s="40" t="n">
        <x:v>-1.343059853502238</x:v>
      </x:c>
      <x:c r="E1883" t="n">
        <x:f>--((B1883^2/$B$4^2+C1883^2/$B$5^2+D1883^2/$B$6^2)&lt;=1)</x:f>
        <x:v>1</x:v>
      </x:c>
      <x:c r="F1883" s="42" t="n">
        <x:f>$B$8*SUM($E$18:E1883)/A1883</x:f>
        <x:v>100.83601286173634</x:v>
      </x:c>
      <x:c r="G1883" s="42" t="n">
        <x:f>$B$11</x:f>
        <x:v>100.53096491487338</x:v>
      </x:c>
      <x:c r="I1883" t="n">
        <x:f>A1883</x:f>
        <x:v>1866</x:v>
      </x:c>
      <x:c r="J1883" t="n">
        <x:f>F1883</x:f>
        <x:v>100.83601286173634</x:v>
      </x:c>
      <x:c r="K1883" t="n">
        <x:f>G1883</x:f>
        <x:v>100.53096491487338</x:v>
      </x:c>
    </x:row>
    <x:row r="1884">
      <x:c r="A1884" t="n">
        <x:v>1867</x:v>
      </x:c>
      <x:c r="B1884" s="40" t="n">
        <x:v>1.7317338338140207</x:v>
      </x:c>
      <x:c r="C1884" s="40" t="n">
        <x:v>0.3828353881063613</x:v>
      </x:c>
      <x:c r="D1884" s="40" t="n">
        <x:v>2.6101033210203415</x:v>
      </x:c>
      <x:c r="E1884" t="n">
        <x:f>--((B1884^2/$B$4^2+C1884^2/$B$5^2+D1884^2/$B$6^2)&lt;=1)</x:f>
        <x:v>0</x:v>
      </x:c>
      <x:c r="F1884" s="42" t="n">
        <x:f>$B$8*SUM($E$18:E1884)/A1884</x:f>
        <x:v>100.78200321371183</x:v>
      </x:c>
      <x:c r="G1884" s="42" t="n">
        <x:f>$B$11</x:f>
        <x:v>100.53096491487338</x:v>
      </x:c>
      <x:c r="I1884" t="n">
        <x:f>A1884</x:f>
        <x:v>1867</x:v>
      </x:c>
      <x:c r="J1884" t="n">
        <x:f>F1884</x:f>
        <x:v>100.78200321371183</x:v>
      </x:c>
      <x:c r="K1884" t="n">
        <x:f>G1884</x:f>
        <x:v>100.53096491487338</x:v>
      </x:c>
    </x:row>
    <x:row r="1885">
      <x:c r="A1885" t="n">
        <x:v>1868</x:v>
      </x:c>
      <x:c r="B1885" s="40" t="n">
        <x:v>-1.1845574906818244</x:v>
      </x:c>
      <x:c r="C1885" s="40" t="n">
        <x:v>-1.455674545832312</x:v>
      </x:c>
      <x:c r="D1885" s="40" t="n">
        <x:v>1.7243519769398565</x:v>
      </x:c>
      <x:c r="E1885" t="n">
        <x:f>--((B1885^2/$B$4^2+C1885^2/$B$5^2+D1885^2/$B$6^2)&lt;=1)</x:f>
        <x:v>1</x:v>
      </x:c>
      <x:c r="F1885" s="42" t="n">
        <x:f>$B$8*SUM($E$18:E1885)/A1885</x:f>
        <x:v>100.83083511777302</x:v>
      </x:c>
      <x:c r="G1885" s="42" t="n">
        <x:f>$B$11</x:f>
        <x:v>100.53096491487338</x:v>
      </x:c>
      <x:c r="I1885" t="n">
        <x:f>A1885</x:f>
        <x:v>1868</x:v>
      </x:c>
      <x:c r="J1885" t="n">
        <x:f>F1885</x:f>
        <x:v>100.83083511777302</x:v>
      </x:c>
      <x:c r="K1885" t="n">
        <x:f>G1885</x:f>
        <x:v>100.53096491487338</x:v>
      </x:c>
    </x:row>
    <x:row r="1886">
      <x:c r="A1886" t="n">
        <x:v>1869</x:v>
      </x:c>
      <x:c r="B1886" s="40" t="n">
        <x:v>0.11416691576981153</x:v>
      </x:c>
      <x:c r="C1886" s="40" t="n">
        <x:v>0.7206757736840421</x:v>
      </x:c>
      <x:c r="D1886" s="40" t="n">
        <x:v>-2.973621416605777</x:v>
      </x:c>
      <x:c r="E1886" t="n">
        <x:f>--((B1886^2/$B$4^2+C1886^2/$B$5^2+D1886^2/$B$6^2)&lt;=1)</x:f>
        <x:v>1</x:v>
      </x:c>
      <x:c r="F1886" s="42" t="n">
        <x:f>$B$8*SUM($E$18:E1886)/A1886</x:f>
        <x:v>100.87961476725522</x:v>
      </x:c>
      <x:c r="G1886" s="42" t="n">
        <x:f>$B$11</x:f>
        <x:v>100.53096491487338</x:v>
      </x:c>
      <x:c r="I1886" t="n">
        <x:f>A1886</x:f>
        <x:v>1869</x:v>
      </x:c>
      <x:c r="J1886" t="n">
        <x:f>F1886</x:f>
        <x:v>100.87961476725522</x:v>
      </x:c>
      <x:c r="K1886" t="n">
        <x:f>G1886</x:f>
        <x:v>100.53096491487338</x:v>
      </x:c>
    </x:row>
    <x:row r="1887">
      <x:c r="A1887" t="n">
        <x:v>1870</x:v>
      </x:c>
      <x:c r="B1887" s="40" t="n">
        <x:v>1.331348218646049</x:v>
      </x:c>
      <x:c r="C1887" s="40" t="n">
        <x:v>-0.1977458992005925</x:v>
      </x:c>
      <x:c r="D1887" s="40" t="n">
        <x:v>-2.4388462356934797</x:v>
      </x:c>
      <x:c r="E1887" t="n">
        <x:f>--((B1887^2/$B$4^2+C1887^2/$B$5^2+D1887^2/$B$6^2)&lt;=1)</x:f>
        <x:v>1</x:v>
      </x:c>
      <x:c r="F1887" s="42" t="n">
        <x:f>$B$8*SUM($E$18:E1887)/A1887</x:f>
        <x:v>100.9283422459893</x:v>
      </x:c>
      <x:c r="G1887" s="42" t="n">
        <x:f>$B$11</x:f>
        <x:v>100.53096491487338</x:v>
      </x:c>
      <x:c r="I1887" t="n">
        <x:f>A1887</x:f>
        <x:v>1870</x:v>
      </x:c>
      <x:c r="J1887" t="n">
        <x:f>F1887</x:f>
        <x:v>100.9283422459893</x:v>
      </x:c>
      <x:c r="K1887" t="n">
        <x:f>G1887</x:f>
        <x:v>100.53096491487338</x:v>
      </x:c>
    </x:row>
    <x:row r="1888">
      <x:c r="A1888" t="n">
        <x:v>1871</x:v>
      </x:c>
      <x:c r="B1888" s="40" t="n">
        <x:v>-0.7871916934616334</x:v>
      </x:c>
      <x:c r="C1888" s="40" t="n">
        <x:v>-0.7762304309662027</x:v>
      </x:c>
      <x:c r="D1888" s="40" t="n">
        <x:v>1.096867305425909</x:v>
      </x:c>
      <x:c r="E1888" t="n">
        <x:f>--((B1888^2/$B$4^2+C1888^2/$B$5^2+D1888^2/$B$6^2)&lt;=1)</x:f>
        <x:v>1</x:v>
      </x:c>
      <x:c r="F1888" s="42" t="n">
        <x:f>$B$8*SUM($E$18:E1888)/A1888</x:f>
        <x:v>100.97701763762694</x:v>
      </x:c>
      <x:c r="G1888" s="42" t="n">
        <x:f>$B$11</x:f>
        <x:v>100.53096491487338</x:v>
      </x:c>
      <x:c r="I1888" t="n">
        <x:f>A1888</x:f>
        <x:v>1871</x:v>
      </x:c>
      <x:c r="J1888" t="n">
        <x:f>F1888</x:f>
        <x:v>100.97701763762694</x:v>
      </x:c>
      <x:c r="K1888" t="n">
        <x:f>G1888</x:f>
        <x:v>100.53096491487338</x:v>
      </x:c>
    </x:row>
    <x:row r="1889">
      <x:c r="A1889" t="n">
        <x:v>1872</x:v>
      </x:c>
      <x:c r="B1889" s="40" t="n">
        <x:v>-0.24076383007813318</x:v>
      </x:c>
      <x:c r="C1889" s="40" t="n">
        <x:v>-1.7778639055189207</x:v>
      </x:c>
      <x:c r="D1889" s="40" t="n">
        <x:v>-1.684670931551791</x:v>
      </x:c>
      <x:c r="E1889" t="n">
        <x:f>--((B1889^2/$B$4^2+C1889^2/$B$5^2+D1889^2/$B$6^2)&lt;=1)</x:f>
        <x:v>1</x:v>
      </x:c>
      <x:c r="F1889" s="42" t="n">
        <x:f>$B$8*SUM($E$18:E1889)/A1889</x:f>
        <x:v>101.02564102564102</x:v>
      </x:c>
      <x:c r="G1889" s="42" t="n">
        <x:f>$B$11</x:f>
        <x:v>100.53096491487338</x:v>
      </x:c>
      <x:c r="I1889" t="n">
        <x:f>A1889</x:f>
        <x:v>1872</x:v>
      </x:c>
      <x:c r="J1889" t="n">
        <x:f>F1889</x:f>
        <x:v>101.02564102564102</x:v>
      </x:c>
      <x:c r="K1889" t="n">
        <x:f>G1889</x:f>
        <x:v>100.53096491487338</x:v>
      </x:c>
    </x:row>
    <x:row r="1890">
      <x:c r="A1890" t="n">
        <x:v>1873</x:v>
      </x:c>
      <x:c r="B1890" s="40" t="n">
        <x:v>1.942484406048032</x:v>
      </x:c>
      <x:c r="C1890" s="40" t="n">
        <x:v>-2.330871936171268</x:v>
      </x:c>
      <x:c r="D1890" s="40" t="n">
        <x:v>-3.0445364684301044</x:v>
      </x:c>
      <x:c r="E1890" t="n">
        <x:f>--((B1890^2/$B$4^2+C1890^2/$B$5^2+D1890^2/$B$6^2)&lt;=1)</x:f>
        <x:v>0</x:v>
      </x:c>
      <x:c r="F1890" s="42" t="n">
        <x:f>$B$8*SUM($E$18:E1890)/A1890</x:f>
        <x:v>100.9717031500267</x:v>
      </x:c>
      <x:c r="G1890" s="42" t="n">
        <x:f>$B$11</x:f>
        <x:v>100.53096491487338</x:v>
      </x:c>
      <x:c r="I1890" t="n">
        <x:f>A1890</x:f>
        <x:v>1873</x:v>
      </x:c>
      <x:c r="J1890" t="n">
        <x:f>F1890</x:f>
        <x:v>100.9717031500267</x:v>
      </x:c>
      <x:c r="K1890" t="n">
        <x:f>G1890</x:f>
        <x:v>100.53096491487338</x:v>
      </x:c>
    </x:row>
    <x:row r="1891">
      <x:c r="A1891" t="n">
        <x:v>1874</x:v>
      </x:c>
      <x:c r="B1891" s="40" t="n">
        <x:v>1.940186786883484</x:v>
      </x:c>
      <x:c r="C1891" s="40" t="n">
        <x:v>-2.2807251962599606</x:v>
      </x:c>
      <x:c r="D1891" s="40" t="n">
        <x:v>-2.7602480548008623</x:v>
      </x:c>
      <x:c r="E1891" t="n">
        <x:f>--((B1891^2/$B$4^2+C1891^2/$B$5^2+D1891^2/$B$6^2)&lt;=1)</x:f>
        <x:v>0</x:v>
      </x:c>
      <x:c r="F1891" s="42" t="n">
        <x:f>$B$8*SUM($E$18:E1891)/A1891</x:f>
        <x:v>100.91782283884739</x:v>
      </x:c>
      <x:c r="G1891" s="42" t="n">
        <x:f>$B$11</x:f>
        <x:v>100.53096491487338</x:v>
      </x:c>
      <x:c r="I1891" t="n">
        <x:f>A1891</x:f>
        <x:v>1874</x:v>
      </x:c>
      <x:c r="J1891" t="n">
        <x:f>F1891</x:f>
        <x:v>100.91782283884739</x:v>
      </x:c>
      <x:c r="K1891" t="n">
        <x:f>G1891</x:f>
        <x:v>100.53096491487338</x:v>
      </x:c>
    </x:row>
    <x:row r="1892">
      <x:c r="A1892" t="n">
        <x:v>1875</x:v>
      </x:c>
      <x:c r="B1892" s="40" t="n">
        <x:v>1.6244272430607265</x:v>
      </x:c>
      <x:c r="C1892" s="40" t="n">
        <x:v>2.9942401050333185</x:v>
      </x:c>
      <x:c r="D1892" s="40" t="n">
        <x:v>-2.675062555676795</x:v>
      </x:c>
      <x:c r="E1892" t="n">
        <x:f>--((B1892^2/$B$4^2+C1892^2/$B$5^2+D1892^2/$B$6^2)&lt;=1)</x:f>
        <x:v>0</x:v>
      </x:c>
      <x:c r="F1892" s="42" t="n">
        <x:f>$B$8*SUM($E$18:E1892)/A1892</x:f>
        <x:v>100.864</x:v>
      </x:c>
      <x:c r="G1892" s="42" t="n">
        <x:f>$B$11</x:f>
        <x:v>100.53096491487338</x:v>
      </x:c>
      <x:c r="I1892" t="n">
        <x:f>A1892</x:f>
        <x:v>1875</x:v>
      </x:c>
      <x:c r="J1892" t="n">
        <x:f>F1892</x:f>
        <x:v>100.864</x:v>
      </x:c>
      <x:c r="K1892" t="n">
        <x:f>G1892</x:f>
        <x:v>100.53096491487338</x:v>
      </x:c>
    </x:row>
    <x:row r="1893">
      <x:c r="A1893" t="n">
        <x:v>1876</x:v>
      </x:c>
      <x:c r="B1893" s="40" t="n">
        <x:v>1.1937933793122304</x:v>
      </x:c>
      <x:c r="C1893" s="40" t="n">
        <x:v>-0.5261356388565916</x:v>
      </x:c>
      <x:c r="D1893" s="40" t="n">
        <x:v>-0.17767274545294232</x:v>
      </x:c>
      <x:c r="E1893" t="n">
        <x:f>--((B1893^2/$B$4^2+C1893^2/$B$5^2+D1893^2/$B$6^2)&lt;=1)</x:f>
        <x:v>1</x:v>
      </x:c>
      <x:c r="F1893" s="42" t="n">
        <x:f>$B$8*SUM($E$18:E1893)/A1893</x:f>
        <x:v>100.91257995735607</x:v>
      </x:c>
      <x:c r="G1893" s="42" t="n">
        <x:f>$B$11</x:f>
        <x:v>100.53096491487338</x:v>
      </x:c>
      <x:c r="I1893" t="n">
        <x:f>A1893</x:f>
        <x:v>1876</x:v>
      </x:c>
      <x:c r="J1893" t="n">
        <x:f>F1893</x:f>
        <x:v>100.91257995735607</x:v>
      </x:c>
      <x:c r="K1893" t="n">
        <x:f>G1893</x:f>
        <x:v>100.53096491487338</x:v>
      </x:c>
    </x:row>
    <x:row r="1894">
      <x:c r="A1894" t="n">
        <x:v>1877</x:v>
      </x:c>
      <x:c r="B1894" s="40" t="n">
        <x:v>-0.923477997108777</x:v>
      </x:c>
      <x:c r="C1894" s="40" t="n">
        <x:v>-2.9884217527599635</x:v>
      </x:c>
      <x:c r="D1894" s="40" t="n">
        <x:v>0.8590836274359788</x:v>
      </x:c>
      <x:c r="E1894" t="n">
        <x:f>--((B1894^2/$B$4^2+C1894^2/$B$5^2+D1894^2/$B$6^2)&lt;=1)</x:f>
        <x:v>0</x:v>
      </x:c>
      <x:c r="F1894" s="42" t="n">
        <x:f>$B$8*SUM($E$18:E1894)/A1894</x:f>
        <x:v>100.85881726158765</x:v>
      </x:c>
      <x:c r="G1894" s="42" t="n">
        <x:f>$B$11</x:f>
        <x:v>100.53096491487338</x:v>
      </x:c>
      <x:c r="I1894" t="n">
        <x:f>A1894</x:f>
        <x:v>1877</x:v>
      </x:c>
      <x:c r="J1894" t="n">
        <x:f>F1894</x:f>
        <x:v>100.85881726158765</x:v>
      </x:c>
      <x:c r="K1894" t="n">
        <x:f>G1894</x:f>
        <x:v>100.53096491487338</x:v>
      </x:c>
    </x:row>
    <x:row r="1895">
      <x:c r="A1895" t="n">
        <x:v>1878</x:v>
      </x:c>
      <x:c r="B1895" s="40" t="n">
        <x:v>-0.7165997037312501</x:v>
      </x:c>
      <x:c r="C1895" s="40" t="n">
        <x:v>2.7175727437560857</x:v>
      </x:c>
      <x:c r="D1895" s="40" t="n">
        <x:v>-2.5887818011646804</x:v>
      </x:c>
      <x:c r="E1895" t="n">
        <x:f>--((B1895^2/$B$4^2+C1895^2/$B$5^2+D1895^2/$B$6^2)&lt;=1)</x:f>
        <x:v>0</x:v>
      </x:c>
      <x:c r="F1895" s="42" t="n">
        <x:f>$B$8*SUM($E$18:E1895)/A1895</x:f>
        <x:v>100.80511182108626</x:v>
      </x:c>
      <x:c r="G1895" s="42" t="n">
        <x:f>$B$11</x:f>
        <x:v>100.53096491487338</x:v>
      </x:c>
      <x:c r="I1895" t="n">
        <x:f>A1895</x:f>
        <x:v>1878</x:v>
      </x:c>
      <x:c r="J1895" t="n">
        <x:f>F1895</x:f>
        <x:v>100.80511182108626</x:v>
      </x:c>
      <x:c r="K1895" t="n">
        <x:f>G1895</x:f>
        <x:v>100.53096491487338</x:v>
      </x:c>
    </x:row>
    <x:row r="1896">
      <x:c r="A1896" t="n">
        <x:v>1879</x:v>
      </x:c>
      <x:c r="B1896" s="40" t="n">
        <x:v>0.18913136481949877</x:v>
      </x:c>
      <x:c r="C1896" s="40" t="n">
        <x:v>-2.880120454621124</x:v>
      </x:c>
      <x:c r="D1896" s="40" t="n">
        <x:v>1.6999728829057688</x:v>
      </x:c>
      <x:c r="E1896" t="n">
        <x:f>--((B1896^2/$B$4^2+C1896^2/$B$5^2+D1896^2/$B$6^2)&lt;=1)</x:f>
        <x:v>0</x:v>
      </x:c>
      <x:c r="F1896" s="42" t="n">
        <x:f>$B$8*SUM($E$18:E1896)/A1896</x:f>
        <x:v>100.75146354443854</x:v>
      </x:c>
      <x:c r="G1896" s="42" t="n">
        <x:f>$B$11</x:f>
        <x:v>100.53096491487338</x:v>
      </x:c>
      <x:c r="I1896" t="n">
        <x:f>A1896</x:f>
        <x:v>1879</x:v>
      </x:c>
      <x:c r="J1896" t="n">
        <x:f>F1896</x:f>
        <x:v>100.75146354443854</x:v>
      </x:c>
      <x:c r="K1896" t="n">
        <x:f>G1896</x:f>
        <x:v>100.53096491487338</x:v>
      </x:c>
    </x:row>
    <x:row r="1897">
      <x:c r="A1897" t="n">
        <x:v>1880</x:v>
      </x:c>
      <x:c r="B1897" s="40" t="n">
        <x:v>0.24310949824804862</x:v>
      </x:c>
      <x:c r="C1897" s="40" t="n">
        <x:v>-0.4884832466727982</x:v>
      </x:c>
      <x:c r="D1897" s="40" t="n">
        <x:v>-1.7518991399877724</x:v>
      </x:c>
      <x:c r="E1897" t="n">
        <x:f>--((B1897^2/$B$4^2+C1897^2/$B$5^2+D1897^2/$B$6^2)&lt;=1)</x:f>
        <x:v>1</x:v>
      </x:c>
      <x:c r="F1897" s="42" t="n">
        <x:f>$B$8*SUM($E$18:E1897)/A1897</x:f>
        <x:v>100.8</x:v>
      </x:c>
      <x:c r="G1897" s="42" t="n">
        <x:f>$B$11</x:f>
        <x:v>100.53096491487338</x:v>
      </x:c>
      <x:c r="I1897" t="n">
        <x:f>A1897</x:f>
        <x:v>1880</x:v>
      </x:c>
      <x:c r="J1897" t="n">
        <x:f>F1897</x:f>
        <x:v>100.8</x:v>
      </x:c>
      <x:c r="K1897" t="n">
        <x:f>G1897</x:f>
        <x:v>100.53096491487338</x:v>
      </x:c>
    </x:row>
    <x:row r="1898">
      <x:c r="A1898" t="n">
        <x:v>1881</x:v>
      </x:c>
      <x:c r="B1898" s="40" t="n">
        <x:v>0.022011277428267917</x:v>
      </x:c>
      <x:c r="C1898" s="40" t="n">
        <x:v>1.304865515823936</x:v>
      </x:c>
      <x:c r="D1898" s="40" t="n">
        <x:v>-1.5075348928483132</x:v>
      </x:c>
      <x:c r="E1898" t="n">
        <x:f>--((B1898^2/$B$4^2+C1898^2/$B$5^2+D1898^2/$B$6^2)&lt;=1)</x:f>
        <x:v>1</x:v>
      </x:c>
      <x:c r="F1898" s="42" t="n">
        <x:f>$B$8*SUM($E$18:E1898)/A1898</x:f>
        <x:v>100.84848484848484</x:v>
      </x:c>
      <x:c r="G1898" s="42" t="n">
        <x:f>$B$11</x:f>
        <x:v>100.53096491487338</x:v>
      </x:c>
      <x:c r="I1898" t="n">
        <x:f>A1898</x:f>
        <x:v>1881</x:v>
      </x:c>
      <x:c r="J1898" t="n">
        <x:f>F1898</x:f>
        <x:v>100.84848484848484</x:v>
      </x:c>
      <x:c r="K1898" t="n">
        <x:f>G1898</x:f>
        <x:v>100.53096491487338</x:v>
      </x:c>
    </x:row>
    <x:row r="1899">
      <x:c r="A1899" t="n">
        <x:v>1882</x:v>
      </x:c>
      <x:c r="B1899" s="40" t="n">
        <x:v>0.5466811196652244</x:v>
      </x:c>
      <x:c r="C1899" s="40" t="n">
        <x:v>2.4875954662305695</x:v>
      </x:c>
      <x:c r="D1899" s="40" t="n">
        <x:v>-2.2120110314071395</x:v>
      </x:c>
      <x:c r="E1899" t="n">
        <x:f>--((B1899^2/$B$4^2+C1899^2/$B$5^2+D1899^2/$B$6^2)&lt;=1)</x:f>
        <x:v>0</x:v>
      </x:c>
      <x:c r="F1899" s="42" t="n">
        <x:f>$B$8*SUM($E$18:E1899)/A1899</x:f>
        <x:v>100.79489904357067</x:v>
      </x:c>
      <x:c r="G1899" s="42" t="n">
        <x:f>$B$11</x:f>
        <x:v>100.53096491487338</x:v>
      </x:c>
      <x:c r="I1899" t="n">
        <x:f>A1899</x:f>
        <x:v>1882</x:v>
      </x:c>
      <x:c r="J1899" t="n">
        <x:f>F1899</x:f>
        <x:v>100.79489904357067</x:v>
      </x:c>
      <x:c r="K1899" t="n">
        <x:f>G1899</x:f>
        <x:v>100.53096491487338</x:v>
      </x:c>
    </x:row>
    <x:row r="1900">
      <x:c r="A1900" t="n">
        <x:v>1883</x:v>
      </x:c>
      <x:c r="B1900" s="40" t="n">
        <x:v>-0.36670790946804477</x:v>
      </x:c>
      <x:c r="C1900" s="40" t="n">
        <x:v>1.2773177485926066</x:v>
      </x:c>
      <x:c r="D1900" s="40" t="n">
        <x:v>2.281649087545528</x:v>
      </x:c>
      <x:c r="E1900" t="n">
        <x:f>--((B1900^2/$B$4^2+C1900^2/$B$5^2+D1900^2/$B$6^2)&lt;=1)</x:f>
        <x:v>1</x:v>
      </x:c>
      <x:c r="F1900" s="42" t="n">
        <x:f>$B$8*SUM($E$18:E1900)/A1900</x:f>
        <x:v>100.84333510355815</x:v>
      </x:c>
      <x:c r="G1900" s="42" t="n">
        <x:f>$B$11</x:f>
        <x:v>100.53096491487338</x:v>
      </x:c>
      <x:c r="I1900" t="n">
        <x:f>A1900</x:f>
        <x:v>1883</x:v>
      </x:c>
      <x:c r="J1900" t="n">
        <x:f>F1900</x:f>
        <x:v>100.84333510355815</x:v>
      </x:c>
      <x:c r="K1900" t="n">
        <x:f>G1900</x:f>
        <x:v>100.53096491487338</x:v>
      </x:c>
    </x:row>
    <x:row r="1901">
      <x:c r="A1901" t="n">
        <x:v>1884</x:v>
      </x:c>
      <x:c r="B1901" s="40" t="n">
        <x:v>0.9966966292621318</x:v>
      </x:c>
      <x:c r="C1901" s="40" t="n">
        <x:v>-0.21824547059992927</x:v>
      </x:c>
      <x:c r="D1901" s="40" t="n">
        <x:v>3.6785106634950164</x:v>
      </x:c>
      <x:c r="E1901" t="n">
        <x:f>--((B1901^2/$B$4^2+C1901^2/$B$5^2+D1901^2/$B$6^2)&lt;=1)</x:f>
        <x:v>0</x:v>
      </x:c>
      <x:c r="F1901" s="42" t="n">
        <x:f>$B$8*SUM($E$18:E1901)/A1901</x:f>
        <x:v>100.78980891719745</x:v>
      </x:c>
      <x:c r="G1901" s="42" t="n">
        <x:f>$B$11</x:f>
        <x:v>100.53096491487338</x:v>
      </x:c>
      <x:c r="I1901" t="n">
        <x:f>A1901</x:f>
        <x:v>1884</x:v>
      </x:c>
      <x:c r="J1901" t="n">
        <x:f>F1901</x:f>
        <x:v>100.78980891719745</x:v>
      </x:c>
      <x:c r="K1901" t="n">
        <x:f>G1901</x:f>
        <x:v>100.53096491487338</x:v>
      </x:c>
    </x:row>
    <x:row r="1902">
      <x:c r="A1902" t="n">
        <x:v>1885</x:v>
      </x:c>
      <x:c r="B1902" s="40" t="n">
        <x:v>-0.6658002940865786</x:v>
      </x:c>
      <x:c r="C1902" s="40" t="n">
        <x:v>2.8466522339046207</x:v>
      </x:c>
      <x:c r="D1902" s="40" t="n">
        <x:v>-0.06000121057525831</x:v>
      </x:c>
      <x:c r="E1902" t="n">
        <x:f>--((B1902^2/$B$4^2+C1902^2/$B$5^2+D1902^2/$B$6^2)&lt;=1)</x:f>
        <x:v>0</x:v>
      </x:c>
      <x:c r="F1902" s="42" t="n">
        <x:f>$B$8*SUM($E$18:E1902)/A1902</x:f>
        <x:v>100.73633952254642</x:v>
      </x:c>
      <x:c r="G1902" s="42" t="n">
        <x:f>$B$11</x:f>
        <x:v>100.53096491487338</x:v>
      </x:c>
      <x:c r="I1902" t="n">
        <x:f>A1902</x:f>
        <x:v>1885</x:v>
      </x:c>
      <x:c r="J1902" t="n">
        <x:f>F1902</x:f>
        <x:v>100.73633952254642</x:v>
      </x:c>
      <x:c r="K1902" t="n">
        <x:f>G1902</x:f>
        <x:v>100.53096491487338</x:v>
      </x:c>
    </x:row>
    <x:row r="1903">
      <x:c r="A1903" t="n">
        <x:v>1886</x:v>
      </x:c>
      <x:c r="B1903" s="40" t="n">
        <x:v>-0.6772920122145898</x:v>
      </x:c>
      <x:c r="C1903" s="40" t="n">
        <x:v>-2.764083701800377</x:v>
      </x:c>
      <x:c r="D1903" s="40" t="n">
        <x:v>-3.6637548685440624</x:v>
      </x:c>
      <x:c r="E1903" t="n">
        <x:f>--((B1903^2/$B$4^2+C1903^2/$B$5^2+D1903^2/$B$6^2)&lt;=1)</x:f>
        <x:v>0</x:v>
      </x:c>
      <x:c r="F1903" s="42" t="n">
        <x:f>$B$8*SUM($E$18:E1903)/A1903</x:f>
        <x:v>100.6829268292683</x:v>
      </x:c>
      <x:c r="G1903" s="42" t="n">
        <x:f>$B$11</x:f>
        <x:v>100.53096491487338</x:v>
      </x:c>
      <x:c r="I1903" t="n">
        <x:f>A1903</x:f>
        <x:v>1886</x:v>
      </x:c>
      <x:c r="J1903" t="n">
        <x:f>F1903</x:f>
        <x:v>100.6829268292683</x:v>
      </x:c>
      <x:c r="K1903" t="n">
        <x:f>G1903</x:f>
        <x:v>100.53096491487338</x:v>
      </x:c>
    </x:row>
    <x:row r="1904">
      <x:c r="A1904" t="n">
        <x:v>1887</x:v>
      </x:c>
      <x:c r="B1904" s="40" t="n">
        <x:v>-1.491096152432688</x:v>
      </x:c>
      <x:c r="C1904" s="40" t="n">
        <x:v>2.9213532152280486</x:v>
      </x:c>
      <x:c r="D1904" s="40" t="n">
        <x:v>-1.915445468596193</x:v>
      </x:c>
      <x:c r="E1904" t="n">
        <x:f>--((B1904^2/$B$4^2+C1904^2/$B$5^2+D1904^2/$B$6^2)&lt;=1)</x:f>
        <x:v>0</x:v>
      </x:c>
      <x:c r="F1904" s="42" t="n">
        <x:f>$B$8*SUM($E$18:E1904)/A1904</x:f>
        <x:v>100.62957074721781</x:v>
      </x:c>
      <x:c r="G1904" s="42" t="n">
        <x:f>$B$11</x:f>
        <x:v>100.53096491487338</x:v>
      </x:c>
      <x:c r="I1904" t="n">
        <x:f>A1904</x:f>
        <x:v>1887</x:v>
      </x:c>
      <x:c r="J1904" t="n">
        <x:f>F1904</x:f>
        <x:v>100.62957074721781</x:v>
      </x:c>
      <x:c r="K1904" t="n">
        <x:f>G1904</x:f>
        <x:v>100.53096491487338</x:v>
      </x:c>
    </x:row>
    <x:row r="1905">
      <x:c r="A1905" t="n">
        <x:v>1888</x:v>
      </x:c>
      <x:c r="B1905" s="40" t="n">
        <x:v>-1.245151159884323</x:v>
      </x:c>
      <x:c r="C1905" s="40" t="n">
        <x:v>2.096349310250634</x:v>
      </x:c>
      <x:c r="D1905" s="40" t="n">
        <x:v>-2.7355976710492316</x:v>
      </x:c>
      <x:c r="E1905" t="n">
        <x:f>--((B1905^2/$B$4^2+C1905^2/$B$5^2+D1905^2/$B$6^2)&lt;=1)</x:f>
        <x:v>0</x:v>
      </x:c>
      <x:c r="F1905" s="42" t="n">
        <x:f>$B$8*SUM($E$18:E1905)/A1905</x:f>
        <x:v>100.57627118644068</x:v>
      </x:c>
      <x:c r="G1905" s="42" t="n">
        <x:f>$B$11</x:f>
        <x:v>100.53096491487338</x:v>
      </x:c>
      <x:c r="I1905" t="n">
        <x:f>A1905</x:f>
        <x:v>1888</x:v>
      </x:c>
      <x:c r="J1905" t="n">
        <x:f>F1905</x:f>
        <x:v>100.57627118644068</x:v>
      </x:c>
      <x:c r="K1905" t="n">
        <x:f>G1905</x:f>
        <x:v>100.53096491487338</x:v>
      </x:c>
    </x:row>
    <x:row r="1906">
      <x:c r="A1906" t="n">
        <x:v>1889</x:v>
      </x:c>
      <x:c r="B1906" s="40" t="n">
        <x:v>1.4020835156854305</x:v>
      </x:c>
      <x:c r="C1906" s="40" t="n">
        <x:v>2.5735801027581546</x:v>
      </x:c>
      <x:c r="D1906" s="40" t="n">
        <x:v>2.742098278816143</x:v>
      </x:c>
      <x:c r="E1906" t="n">
        <x:f>--((B1906^2/$B$4^2+C1906^2/$B$5^2+D1906^2/$B$6^2)&lt;=1)</x:f>
        <x:v>0</x:v>
      </x:c>
      <x:c r="F1906" s="42" t="n">
        <x:f>$B$8*SUM($E$18:E1906)/A1906</x:f>
        <x:v>100.52302805717311</x:v>
      </x:c>
      <x:c r="G1906" s="42" t="n">
        <x:f>$B$11</x:f>
        <x:v>100.53096491487338</x:v>
      </x:c>
      <x:c r="I1906" t="n">
        <x:f>A1906</x:f>
        <x:v>1889</x:v>
      </x:c>
      <x:c r="J1906" t="n">
        <x:f>F1906</x:f>
        <x:v>100.52302805717311</x:v>
      </x:c>
      <x:c r="K1906" t="n">
        <x:f>G1906</x:f>
        <x:v>100.53096491487338</x:v>
      </x:c>
    </x:row>
    <x:row r="1907">
      <x:c r="A1907" t="n">
        <x:v>1890</x:v>
      </x:c>
      <x:c r="B1907" s="40" t="n">
        <x:v>-0.21487064567823388</x:v>
      </x:c>
      <x:c r="C1907" s="40" t="n">
        <x:v>-1.4713654554147801</x:v>
      </x:c>
      <x:c r="D1907" s="40" t="n">
        <x:v>-3.3211681005343587</x:v>
      </x:c>
      <x:c r="E1907" t="n">
        <x:f>--((B1907^2/$B$4^2+C1907^2/$B$5^2+D1907^2/$B$6^2)&lt;=1)</x:f>
        <x:v>1</x:v>
      </x:c>
      <x:c r="F1907" s="42" t="n">
        <x:f>$B$8*SUM($E$18:E1907)/A1907</x:f>
        <x:v>100.57142857142857</x:v>
      </x:c>
      <x:c r="G1907" s="42" t="n">
        <x:f>$B$11</x:f>
        <x:v>100.53096491487338</x:v>
      </x:c>
      <x:c r="I1907" t="n">
        <x:f>A1907</x:f>
        <x:v>1890</x:v>
      </x:c>
      <x:c r="J1907" t="n">
        <x:f>F1907</x:f>
        <x:v>100.57142857142857</x:v>
      </x:c>
      <x:c r="K1907" t="n">
        <x:f>G1907</x:f>
        <x:v>100.53096491487338</x:v>
      </x:c>
    </x:row>
    <x:row r="1908">
      <x:c r="A1908" t="n">
        <x:v>1891</x:v>
      </x:c>
      <x:c r="B1908" s="40" t="n">
        <x:v>-1.0885288537886648</x:v>
      </x:c>
      <x:c r="C1908" s="40" t="n">
        <x:v>-2.145251566294381</x:v>
      </x:c>
      <x:c r="D1908" s="40" t="n">
        <x:v>3.7318099255070702</x:v>
      </x:c>
      <x:c r="E1908" t="n">
        <x:f>--((B1908^2/$B$4^2+C1908^2/$B$5^2+D1908^2/$B$6^2)&lt;=1)</x:f>
        <x:v>0</x:v>
      </x:c>
      <x:c r="F1908" s="42" t="n">
        <x:f>$B$8*SUM($E$18:E1908)/A1908</x:f>
        <x:v>100.51824431517716</x:v>
      </x:c>
      <x:c r="G1908" s="42" t="n">
        <x:f>$B$11</x:f>
        <x:v>100.53096491487338</x:v>
      </x:c>
      <x:c r="I1908" t="n">
        <x:f>A1908</x:f>
        <x:v>1891</x:v>
      </x:c>
      <x:c r="J1908" t="n">
        <x:f>F1908</x:f>
        <x:v>100.51824431517716</x:v>
      </x:c>
      <x:c r="K1908" t="n">
        <x:f>G1908</x:f>
        <x:v>100.53096491487338</x:v>
      </x:c>
    </x:row>
    <x:row r="1909">
      <x:c r="A1909" t="n">
        <x:v>1892</x:v>
      </x:c>
      <x:c r="B1909" s="40" t="n">
        <x:v>1.0373644000895497</x:v>
      </x:c>
      <x:c r="C1909" s="40" t="n">
        <x:v>0.9798916762362007</x:v>
      </x:c>
      <x:c r="D1909" s="40" t="n">
        <x:v>0.708110212997008</x:v>
      </x:c>
      <x:c r="E1909" t="n">
        <x:f>--((B1909^2/$B$4^2+C1909^2/$B$5^2+D1909^2/$B$6^2)&lt;=1)</x:f>
        <x:v>1</x:v>
      </x:c>
      <x:c r="F1909" s="42" t="n">
        <x:f>$B$8*SUM($E$18:E1909)/A1909</x:f>
        <x:v>100.56659619450318</x:v>
      </x:c>
      <x:c r="G1909" s="42" t="n">
        <x:f>$B$11</x:f>
        <x:v>100.53096491487338</x:v>
      </x:c>
      <x:c r="I1909" t="n">
        <x:f>A1909</x:f>
        <x:v>1892</x:v>
      </x:c>
      <x:c r="J1909" t="n">
        <x:f>F1909</x:f>
        <x:v>100.56659619450318</x:v>
      </x:c>
      <x:c r="K1909" t="n">
        <x:f>G1909</x:f>
        <x:v>100.53096491487338</x:v>
      </x:c>
    </x:row>
    <x:row r="1910">
      <x:c r="A1910" t="n">
        <x:v>1893</x:v>
      </x:c>
      <x:c r="B1910" s="40" t="n">
        <x:v>0.21592450326743773</x:v>
      </x:c>
      <x:c r="C1910" s="40" t="n">
        <x:v>0.09515662791671975</x:v>
      </x:c>
      <x:c r="D1910" s="40" t="n">
        <x:v>0.1419182965933059</x:v>
      </x:c>
      <x:c r="E1910" t="n">
        <x:f>--((B1910^2/$B$4^2+C1910^2/$B$5^2+D1910^2/$B$6^2)&lt;=1)</x:f>
        <x:v>1</x:v>
      </x:c>
      <x:c r="F1910" s="42" t="n">
        <x:f>$B$8*SUM($E$18:E1910)/A1910</x:f>
        <x:v>100.6148969889065</x:v>
      </x:c>
      <x:c r="G1910" s="42" t="n">
        <x:f>$B$11</x:f>
        <x:v>100.53096491487338</x:v>
      </x:c>
      <x:c r="I1910" t="n">
        <x:f>A1910</x:f>
        <x:v>1893</x:v>
      </x:c>
      <x:c r="J1910" t="n">
        <x:f>F1910</x:f>
        <x:v>100.6148969889065</x:v>
      </x:c>
      <x:c r="K1910" t="n">
        <x:f>G1910</x:f>
        <x:v>100.53096491487338</x:v>
      </x:c>
    </x:row>
    <x:row r="1911">
      <x:c r="A1911" t="n">
        <x:v>1894</x:v>
      </x:c>
      <x:c r="B1911" s="40" t="n">
        <x:v>-1.915375954306826</x:v>
      </x:c>
      <x:c r="C1911" s="40" t="n">
        <x:v>0.13900776446627638</x:v>
      </x:c>
      <x:c r="D1911" s="40" t="n">
        <x:v>2.7788049793534944</x:v>
      </x:c>
      <x:c r="E1911" t="n">
        <x:f>--((B1911^2/$B$4^2+C1911^2/$B$5^2+D1911^2/$B$6^2)&lt;=1)</x:f>
        <x:v>0</x:v>
      </x:c>
      <x:c r="F1911" s="42" t="n">
        <x:f>$B$8*SUM($E$18:E1911)/A1911</x:f>
        <x:v>100.56177402323125</x:v>
      </x:c>
      <x:c r="G1911" s="42" t="n">
        <x:f>$B$11</x:f>
        <x:v>100.53096491487338</x:v>
      </x:c>
      <x:c r="I1911" t="n">
        <x:f>A1911</x:f>
        <x:v>1894</x:v>
      </x:c>
      <x:c r="J1911" t="n">
        <x:f>F1911</x:f>
        <x:v>100.56177402323125</x:v>
      </x:c>
      <x:c r="K1911" t="n">
        <x:f>G1911</x:f>
        <x:v>100.53096491487338</x:v>
      </x:c>
    </x:row>
    <x:row r="1912">
      <x:c r="A1912" t="n">
        <x:v>1895</x:v>
      </x:c>
      <x:c r="B1912" s="40" t="n">
        <x:v>-0.7345541706531393</x:v>
      </x:c>
      <x:c r="C1912" s="40" t="n">
        <x:v>2.547715070899306</x:v>
      </x:c>
      <x:c r="D1912" s="40" t="n">
        <x:v>-3.7796190296683507</x:v>
      </x:c>
      <x:c r="E1912" t="n">
        <x:f>--((B1912^2/$B$4^2+C1912^2/$B$5^2+D1912^2/$B$6^2)&lt;=1)</x:f>
        <x:v>0</x:v>
      </x:c>
      <x:c r="F1912" s="42" t="n">
        <x:f>$B$8*SUM($E$18:E1912)/A1912</x:f>
        <x:v>100.50870712401056</x:v>
      </x:c>
      <x:c r="G1912" s="42" t="n">
        <x:f>$B$11</x:f>
        <x:v>100.53096491487338</x:v>
      </x:c>
      <x:c r="I1912" t="n">
        <x:f>A1912</x:f>
        <x:v>1895</x:v>
      </x:c>
      <x:c r="J1912" t="n">
        <x:f>F1912</x:f>
        <x:v>100.50870712401056</x:v>
      </x:c>
      <x:c r="K1912" t="n">
        <x:f>G1912</x:f>
        <x:v>100.53096491487338</x:v>
      </x:c>
    </x:row>
    <x:row r="1913">
      <x:c r="A1913" t="n">
        <x:v>1896</x:v>
      </x:c>
      <x:c r="B1913" s="40" t="n">
        <x:v>-1.2919943555146358</x:v>
      </x:c>
      <x:c r="C1913" s="40" t="n">
        <x:v>0.7204854399195733</x:v>
      </x:c>
      <x:c r="D1913" s="40" t="n">
        <x:v>2.217221995256077</x:v>
      </x:c>
      <x:c r="E1913" t="n">
        <x:f>--((B1913^2/$B$4^2+C1913^2/$B$5^2+D1913^2/$B$6^2)&lt;=1)</x:f>
        <x:v>1</x:v>
      </x:c>
      <x:c r="F1913" s="42" t="n">
        <x:f>$B$8*SUM($E$18:E1913)/A1913</x:f>
        <x:v>100.55696202531645</x:v>
      </x:c>
      <x:c r="G1913" s="42" t="n">
        <x:f>$B$11</x:f>
        <x:v>100.53096491487338</x:v>
      </x:c>
      <x:c r="I1913" t="n">
        <x:f>A1913</x:f>
        <x:v>1896</x:v>
      </x:c>
      <x:c r="J1913" t="n">
        <x:f>F1913</x:f>
        <x:v>100.55696202531645</x:v>
      </x:c>
      <x:c r="K1913" t="n">
        <x:f>G1913</x:f>
        <x:v>100.53096491487338</x:v>
      </x:c>
    </x:row>
    <x:row r="1914">
      <x:c r="A1914" t="n">
        <x:v>1897</x:v>
      </x:c>
      <x:c r="B1914" s="40" t="n">
        <x:v>0.6234914439313624</x:v>
      </x:c>
      <x:c r="C1914" s="40" t="n">
        <x:v>-1.1336169893724606</x:v>
      </x:c>
      <x:c r="D1914" s="40" t="n">
        <x:v>-3.0671676354518675</x:v>
      </x:c>
      <x:c r="E1914" t="n">
        <x:f>--((B1914^2/$B$4^2+C1914^2/$B$5^2+D1914^2/$B$6^2)&lt;=1)</x:f>
        <x:v>1</x:v>
      </x:c>
      <x:c r="F1914" s="42" t="n">
        <x:f>$B$8*SUM($E$18:E1914)/A1914</x:f>
        <x:v>100.60516605166052</x:v>
      </x:c>
      <x:c r="G1914" s="42" t="n">
        <x:f>$B$11</x:f>
        <x:v>100.53096491487338</x:v>
      </x:c>
      <x:c r="I1914" t="n">
        <x:f>A1914</x:f>
        <x:v>1897</x:v>
      </x:c>
      <x:c r="J1914" t="n">
        <x:f>F1914</x:f>
        <x:v>100.60516605166052</x:v>
      </x:c>
      <x:c r="K1914" t="n">
        <x:f>G1914</x:f>
        <x:v>100.53096491487338</x:v>
      </x:c>
    </x:row>
    <x:row r="1915">
      <x:c r="A1915" t="n">
        <x:v>1898</x:v>
      </x:c>
      <x:c r="B1915" s="40" t="n">
        <x:v>-0.8998758374789886</x:v>
      </x:c>
      <x:c r="C1915" s="40" t="n">
        <x:v>-0.5996006614927438</x:v>
      </x:c>
      <x:c r="D1915" s="40" t="n">
        <x:v>2.7262247915234568</x:v>
      </x:c>
      <x:c r="E1915" t="n">
        <x:f>--((B1915^2/$B$4^2+C1915^2/$B$5^2+D1915^2/$B$6^2)&lt;=1)</x:f>
        <x:v>1</x:v>
      </x:c>
      <x:c r="F1915" s="42" t="n">
        <x:f>$B$8*SUM($E$18:E1915)/A1915</x:f>
        <x:v>100.65331928345627</x:v>
      </x:c>
      <x:c r="G1915" s="42" t="n">
        <x:f>$B$11</x:f>
        <x:v>100.53096491487338</x:v>
      </x:c>
      <x:c r="I1915" t="n">
        <x:f>A1915</x:f>
        <x:v>1898</x:v>
      </x:c>
      <x:c r="J1915" t="n">
        <x:f>F1915</x:f>
        <x:v>100.65331928345627</x:v>
      </x:c>
      <x:c r="K1915" t="n">
        <x:f>G1915</x:f>
        <x:v>100.53096491487338</x:v>
      </x:c>
    </x:row>
    <x:row r="1916">
      <x:c r="A1916" t="n">
        <x:v>1899</x:v>
      </x:c>
      <x:c r="B1916" s="40" t="n">
        <x:v>-1.7402128831602255</x:v>
      </x:c>
      <x:c r="C1916" s="40" t="n">
        <x:v>-2.1990249894488922</x:v>
      </x:c>
      <x:c r="D1916" s="40" t="n">
        <x:v>0.23340975390289476</x:v>
      </x:c>
      <x:c r="E1916" t="n">
        <x:f>--((B1916^2/$B$4^2+C1916^2/$B$5^2+D1916^2/$B$6^2)&lt;=1)</x:f>
        <x:v>0</x:v>
      </x:c>
      <x:c r="F1916" s="42" t="n">
        <x:f>$B$8*SUM($E$18:E1916)/A1916</x:f>
        <x:v>100.60031595576619</x:v>
      </x:c>
      <x:c r="G1916" s="42" t="n">
        <x:f>$B$11</x:f>
        <x:v>100.53096491487338</x:v>
      </x:c>
      <x:c r="I1916" t="n">
        <x:f>A1916</x:f>
        <x:v>1899</x:v>
      </x:c>
      <x:c r="J1916" t="n">
        <x:f>F1916</x:f>
        <x:v>100.60031595576619</x:v>
      </x:c>
      <x:c r="K1916" t="n">
        <x:f>G1916</x:f>
        <x:v>100.53096491487338</x:v>
      </x:c>
    </x:row>
    <x:row r="1917">
      <x:c r="A1917" t="n">
        <x:v>1900</x:v>
      </x:c>
      <x:c r="B1917" s="40" t="n">
        <x:v>-1.780260043209323</x:v>
      </x:c>
      <x:c r="C1917" s="40" t="n">
        <x:v>-1.846115758345864</x:v>
      </x:c>
      <x:c r="D1917" s="40" t="n">
        <x:v>-3.5109647811192657</x:v>
      </x:c>
      <x:c r="E1917" t="n">
        <x:f>--((B1917^2/$B$4^2+C1917^2/$B$5^2+D1917^2/$B$6^2)&lt;=1)</x:f>
        <x:v>0</x:v>
      </x:c>
      <x:c r="F1917" s="42" t="n">
        <x:f>$B$8*SUM($E$18:E1917)/A1917</x:f>
        <x:v>100.54736842105264</x:v>
      </x:c>
      <x:c r="G1917" s="42" t="n">
        <x:f>$B$11</x:f>
        <x:v>100.53096491487338</x:v>
      </x:c>
      <x:c r="I1917" t="n">
        <x:f>A1917</x:f>
        <x:v>1900</x:v>
      </x:c>
      <x:c r="J1917" t="n">
        <x:f>F1917</x:f>
        <x:v>100.54736842105264</x:v>
      </x:c>
      <x:c r="K1917" t="n">
        <x:f>G1917</x:f>
        <x:v>100.53096491487338</x:v>
      </x:c>
    </x:row>
    <x:row r="1918">
      <x:c r="A1918" t="n">
        <x:v>1901</x:v>
      </x:c>
      <x:c r="B1918" s="40" t="n">
        <x:v>0.32690919183485967</x:v>
      </x:c>
      <x:c r="C1918" s="40" t="n">
        <x:v>-2.139899578742769</x:v>
      </x:c>
      <x:c r="D1918" s="40" t="n">
        <x:v>2.665960310410595</x:v>
      </x:c>
      <x:c r="E1918" t="n">
        <x:f>--((B1918^2/$B$4^2+C1918^2/$B$5^2+D1918^2/$B$6^2)&lt;=1)</x:f>
        <x:v>1</x:v>
      </x:c>
      <x:c r="F1918" s="42" t="n">
        <x:f>$B$8*SUM($E$18:E1918)/A1918</x:f>
        <x:v>100.59547606522882</x:v>
      </x:c>
      <x:c r="G1918" s="42" t="n">
        <x:f>$B$11</x:f>
        <x:v>100.53096491487338</x:v>
      </x:c>
      <x:c r="I1918" t="n">
        <x:f>A1918</x:f>
        <x:v>1901</x:v>
      </x:c>
      <x:c r="J1918" t="n">
        <x:f>F1918</x:f>
        <x:v>100.59547606522882</x:v>
      </x:c>
      <x:c r="K1918" t="n">
        <x:f>G1918</x:f>
        <x:v>100.53096491487338</x:v>
      </x:c>
    </x:row>
    <x:row r="1919">
      <x:c r="A1919" t="n">
        <x:v>1902</x:v>
      </x:c>
      <x:c r="B1919" s="40" t="n">
        <x:v>-1.9131061771836415</x:v>
      </x:c>
      <x:c r="C1919" s="40" t="n">
        <x:v>1.8617480472681267</x:v>
      </x:c>
      <x:c r="D1919" s="40" t="n">
        <x:v>-3.781487063429987</x:v>
      </x:c>
      <x:c r="E1919" t="n">
        <x:f>--((B1919^2/$B$4^2+C1919^2/$B$5^2+D1919^2/$B$6^2)&lt;=1)</x:f>
        <x:v>0</x:v>
      </x:c>
      <x:c r="F1919" s="42" t="n">
        <x:f>$B$8*SUM($E$18:E1919)/A1919</x:f>
        <x:v>100.54258675078864</x:v>
      </x:c>
      <x:c r="G1919" s="42" t="n">
        <x:f>$B$11</x:f>
        <x:v>100.53096491487338</x:v>
      </x:c>
      <x:c r="I1919" t="n">
        <x:f>A1919</x:f>
        <x:v>1902</x:v>
      </x:c>
      <x:c r="J1919" t="n">
        <x:f>F1919</x:f>
        <x:v>100.54258675078864</x:v>
      </x:c>
      <x:c r="K1919" t="n">
        <x:f>G1919</x:f>
        <x:v>100.53096491487338</x:v>
      </x:c>
    </x:row>
    <x:row r="1920">
      <x:c r="A1920" t="n">
        <x:v>1903</x:v>
      </x:c>
      <x:c r="B1920" s="40" t="n">
        <x:v>1.3951684525443548</x:v>
      </x:c>
      <x:c r="C1920" s="40" t="n">
        <x:v>1.2292408078327126</x:v>
      </x:c>
      <x:c r="D1920" s="40" t="n">
        <x:v>-2.893034456851172</x:v>
      </x:c>
      <x:c r="E1920" t="n">
        <x:f>--((B1920^2/$B$4^2+C1920^2/$B$5^2+D1920^2/$B$6^2)&lt;=1)</x:f>
        <x:v>0</x:v>
      </x:c>
      <x:c r="F1920" s="42" t="n">
        <x:f>$B$8*SUM($E$18:E1920)/A1920</x:f>
        <x:v>100.48975302154493</x:v>
      </x:c>
      <x:c r="G1920" s="42" t="n">
        <x:f>$B$11</x:f>
        <x:v>100.53096491487338</x:v>
      </x:c>
      <x:c r="I1920" t="n">
        <x:f>A1920</x:f>
        <x:v>1903</x:v>
      </x:c>
      <x:c r="J1920" t="n">
        <x:f>F1920</x:f>
        <x:v>100.48975302154493</x:v>
      </x:c>
      <x:c r="K1920" t="n">
        <x:f>G1920</x:f>
        <x:v>100.53096491487338</x:v>
      </x:c>
    </x:row>
    <x:row r="1921">
      <x:c r="A1921" t="n">
        <x:v>1904</x:v>
      </x:c>
      <x:c r="B1921" s="40" t="n">
        <x:v>-1.3784115229708975</x:v>
      </x:c>
      <x:c r="C1921" s="40" t="n">
        <x:v>0.18207010566511084</x:v>
      </x:c>
      <x:c r="D1921" s="40" t="n">
        <x:v>2.3825961906130315</x:v>
      </x:c>
      <x:c r="E1921" t="n">
        <x:f>--((B1921^2/$B$4^2+C1921^2/$B$5^2+D1921^2/$B$6^2)&lt;=1)</x:f>
        <x:v>1</x:v>
      </x:c>
      <x:c r="F1921" s="42" t="n">
        <x:f>$B$8*SUM($E$18:E1921)/A1921</x:f>
        <x:v>100.53781512605042</x:v>
      </x:c>
      <x:c r="G1921" s="42" t="n">
        <x:f>$B$11</x:f>
        <x:v>100.53096491487338</x:v>
      </x:c>
      <x:c r="I1921" t="n">
        <x:f>A1921</x:f>
        <x:v>1904</x:v>
      </x:c>
      <x:c r="J1921" t="n">
        <x:f>F1921</x:f>
        <x:v>100.53781512605042</x:v>
      </x:c>
      <x:c r="K1921" t="n">
        <x:f>G1921</x:f>
        <x:v>100.53096491487338</x:v>
      </x:c>
    </x:row>
    <x:row r="1922">
      <x:c r="A1922" t="n">
        <x:v>1905</x:v>
      </x:c>
      <x:c r="B1922" s="40" t="n">
        <x:v>0.4262653407817192</x:v>
      </x:c>
      <x:c r="C1922" s="40" t="n">
        <x:v>-0.7537929982345757</x:v>
      </x:c>
      <x:c r="D1922" s="40" t="n">
        <x:v>-0.2810310091368722</x:v>
      </x:c>
      <x:c r="E1922" t="n">
        <x:f>--((B1922^2/$B$4^2+C1922^2/$B$5^2+D1922^2/$B$6^2)&lt;=1)</x:f>
        <x:v>1</x:v>
      </x:c>
      <x:c r="F1922" s="42" t="n">
        <x:f>$B$8*SUM($E$18:E1922)/A1922</x:f>
        <x:v>100.58582677165354</x:v>
      </x:c>
      <x:c r="G1922" s="42" t="n">
        <x:f>$B$11</x:f>
        <x:v>100.53096491487338</x:v>
      </x:c>
      <x:c r="I1922" t="n">
        <x:f>A1922</x:f>
        <x:v>1905</x:v>
      </x:c>
      <x:c r="J1922" t="n">
        <x:f>F1922</x:f>
        <x:v>100.58582677165354</x:v>
      </x:c>
      <x:c r="K1922" t="n">
        <x:f>G1922</x:f>
        <x:v>100.53096491487338</x:v>
      </x:c>
    </x:row>
    <x:row r="1923">
      <x:c r="A1923" t="n">
        <x:v>1906</x:v>
      </x:c>
      <x:c r="B1923" s="40" t="n">
        <x:v>-0.22124788795701722</x:v>
      </x:c>
      <x:c r="C1923" s="40" t="n">
        <x:v>1.0109657419461033</x:v>
      </x:c>
      <x:c r="D1923" s="40" t="n">
        <x:v>3.05110963483867</x:v>
      </x:c>
      <x:c r="E1923" t="n">
        <x:f>--((B1923^2/$B$4^2+C1923^2/$B$5^2+D1923^2/$B$6^2)&lt;=1)</x:f>
        <x:v>1</x:v>
      </x:c>
      <x:c r="F1923" s="42" t="n">
        <x:f>$B$8*SUM($E$18:E1923)/A1923</x:f>
        <x:v>100.63378803777545</x:v>
      </x:c>
      <x:c r="G1923" s="42" t="n">
        <x:f>$B$11</x:f>
        <x:v>100.53096491487338</x:v>
      </x:c>
      <x:c r="I1923" t="n">
        <x:f>A1923</x:f>
        <x:v>1906</x:v>
      </x:c>
      <x:c r="J1923" t="n">
        <x:f>F1923</x:f>
        <x:v>100.63378803777545</x:v>
      </x:c>
      <x:c r="K1923" t="n">
        <x:f>G1923</x:f>
        <x:v>100.53096491487338</x:v>
      </x:c>
    </x:row>
    <x:row r="1924">
      <x:c r="A1924" t="n">
        <x:v>1907</x:v>
      </x:c>
      <x:c r="B1924" s="40" t="n">
        <x:v>-0.2285939150723899</x:v>
      </x:c>
      <x:c r="C1924" s="40" t="n">
        <x:v>1.877432086174566</x:v>
      </x:c>
      <x:c r="D1924" s="40" t="n">
        <x:v>1.0834341823286682</x:v>
      </x:c>
      <x:c r="E1924" t="n">
        <x:f>--((B1924^2/$B$4^2+C1924^2/$B$5^2+D1924^2/$B$6^2)&lt;=1)</x:f>
        <x:v>1</x:v>
      </x:c>
      <x:c r="F1924" s="42" t="n">
        <x:f>$B$8*SUM($E$18:E1924)/A1924</x:f>
        <x:v>100.68169900367069</x:v>
      </x:c>
      <x:c r="G1924" s="42" t="n">
        <x:f>$B$11</x:f>
        <x:v>100.53096491487338</x:v>
      </x:c>
      <x:c r="I1924" t="n">
        <x:f>A1924</x:f>
        <x:v>1907</x:v>
      </x:c>
      <x:c r="J1924" t="n">
        <x:f>F1924</x:f>
        <x:v>100.68169900367069</x:v>
      </x:c>
      <x:c r="K1924" t="n">
        <x:f>G1924</x:f>
        <x:v>100.53096491487338</x:v>
      </x:c>
    </x:row>
    <x:row r="1925">
      <x:c r="A1925" t="n">
        <x:v>1908</x:v>
      </x:c>
      <x:c r="B1925" s="40" t="n">
        <x:v>-1.7128114305598166</x:v>
      </x:c>
      <x:c r="C1925" s="40" t="n">
        <x:v>2.287399294030254</x:v>
      </x:c>
      <x:c r="D1925" s="40" t="n">
        <x:v>0.988230034963264</x:v>
      </x:c>
      <x:c r="E1925" t="n">
        <x:f>--((B1925^2/$B$4^2+C1925^2/$B$5^2+D1925^2/$B$6^2)&lt;=1)</x:f>
        <x:v>0</x:v>
      </x:c>
      <x:c r="F1925" s="42" t="n">
        <x:f>$B$8*SUM($E$18:E1925)/A1925</x:f>
        <x:v>100.62893081761007</x:v>
      </x:c>
      <x:c r="G1925" s="42" t="n">
        <x:f>$B$11</x:f>
        <x:v>100.53096491487338</x:v>
      </x:c>
      <x:c r="I1925" t="n">
        <x:f>A1925</x:f>
        <x:v>1908</x:v>
      </x:c>
      <x:c r="J1925" t="n">
        <x:f>F1925</x:f>
        <x:v>100.62893081761007</x:v>
      </x:c>
      <x:c r="K1925" t="n">
        <x:f>G1925</x:f>
        <x:v>100.53096491487338</x:v>
      </x:c>
    </x:row>
    <x:row r="1926">
      <x:c r="A1926" t="n">
        <x:v>1909</x:v>
      </x:c>
      <x:c r="B1926" s="40" t="n">
        <x:v>1.2110090008488625</x:v>
      </x:c>
      <x:c r="C1926" s="40" t="n">
        <x:v>0.2820973692380013</x:v>
      </x:c>
      <x:c r="D1926" s="40" t="n">
        <x:v>-1.662119150943881</x:v>
      </x:c>
      <x:c r="E1926" t="n">
        <x:f>--((B1926^2/$B$4^2+C1926^2/$B$5^2+D1926^2/$B$6^2)&lt;=1)</x:f>
        <x:v>1</x:v>
      </x:c>
      <x:c r="F1926" s="42" t="n">
        <x:f>$B$8*SUM($E$18:E1926)/A1926</x:f>
        <x:v>100.67679413305396</x:v>
      </x:c>
      <x:c r="G1926" s="42" t="n">
        <x:f>$B$11</x:f>
        <x:v>100.53096491487338</x:v>
      </x:c>
      <x:c r="I1926" t="n">
        <x:f>A1926</x:f>
        <x:v>1909</x:v>
      </x:c>
      <x:c r="J1926" t="n">
        <x:f>F1926</x:f>
        <x:v>100.67679413305396</x:v>
      </x:c>
      <x:c r="K1926" t="n">
        <x:f>G1926</x:f>
        <x:v>100.53096491487338</x:v>
      </x:c>
    </x:row>
    <x:row r="1927">
      <x:c r="A1927" t="n">
        <x:v>1910</x:v>
      </x:c>
      <x:c r="B1927" s="40" t="n">
        <x:v>1.5722099390130104</x:v>
      </x:c>
      <x:c r="C1927" s="40" t="n">
        <x:v>1.9193107309182054</x:v>
      </x:c>
      <x:c r="D1927" s="40" t="n">
        <x:v>-2.9305558115861317</x:v>
      </x:c>
      <x:c r="E1927" t="n">
        <x:f>--((B1927^2/$B$4^2+C1927^2/$B$5^2+D1927^2/$B$6^2)&lt;=1)</x:f>
        <x:v>0</x:v>
      </x:c>
      <x:c r="F1927" s="42" t="n">
        <x:f>$B$8*SUM($E$18:E1927)/A1927</x:f>
        <x:v>100.62408376963351</x:v>
      </x:c>
      <x:c r="G1927" s="42" t="n">
        <x:f>$B$11</x:f>
        <x:v>100.53096491487338</x:v>
      </x:c>
      <x:c r="I1927" t="n">
        <x:f>A1927</x:f>
        <x:v>1910</x:v>
      </x:c>
      <x:c r="J1927" t="n">
        <x:f>F1927</x:f>
        <x:v>100.62408376963351</x:v>
      </x:c>
      <x:c r="K1927" t="n">
        <x:f>G1927</x:f>
        <x:v>100.53096491487338</x:v>
      </x:c>
    </x:row>
    <x:row r="1928">
      <x:c r="A1928" t="n">
        <x:v>1911</x:v>
      </x:c>
      <x:c r="B1928" s="40" t="n">
        <x:v>-1.9559333304630862</x:v>
      </x:c>
      <x:c r="C1928" s="40" t="n">
        <x:v>0.06783572047616993</x:v>
      </x:c>
      <x:c r="D1928" s="40" t="n">
        <x:v>3.689379127173461</x:v>
      </x:c>
      <x:c r="E1928" t="n">
        <x:f>--((B1928^2/$B$4^2+C1928^2/$B$5^2+D1928^2/$B$6^2)&lt;=1)</x:f>
        <x:v>0</x:v>
      </x:c>
      <x:c r="F1928" s="42" t="n">
        <x:f>$B$8*SUM($E$18:E1928)/A1928</x:f>
        <x:v>100.57142857142857</x:v>
      </x:c>
      <x:c r="G1928" s="42" t="n">
        <x:f>$B$11</x:f>
        <x:v>100.53096491487338</x:v>
      </x:c>
      <x:c r="I1928" t="n">
        <x:f>A1928</x:f>
        <x:v>1911</x:v>
      </x:c>
      <x:c r="J1928" t="n">
        <x:f>F1928</x:f>
        <x:v>100.57142857142857</x:v>
      </x:c>
      <x:c r="K1928" t="n">
        <x:f>G1928</x:f>
        <x:v>100.53096491487338</x:v>
      </x:c>
    </x:row>
    <x:row r="1929">
      <x:c r="A1929" t="n">
        <x:v>1912</x:v>
      </x:c>
      <x:c r="B1929" s="40" t="n">
        <x:v>-1.285583297211529</x:v>
      </x:c>
      <x:c r="C1929" s="40" t="n">
        <x:v>-0.15281946487265508</x:v>
      </x:c>
      <x:c r="D1929" s="40" t="n">
        <x:v>-3.1616184868528387</x:v>
      </x:c>
      <x:c r="E1929" t="n">
        <x:f>--((B1929^2/$B$4^2+C1929^2/$B$5^2+D1929^2/$B$6^2)&lt;=1)</x:f>
        <x:v>0</x:v>
      </x:c>
      <x:c r="F1929" s="42" t="n">
        <x:f>$B$8*SUM($E$18:E1929)/A1929</x:f>
        <x:v>100.51882845188284</x:v>
      </x:c>
      <x:c r="G1929" s="42" t="n">
        <x:f>$B$11</x:f>
        <x:v>100.53096491487338</x:v>
      </x:c>
      <x:c r="I1929" t="n">
        <x:f>A1929</x:f>
        <x:v>1912</x:v>
      </x:c>
      <x:c r="J1929" t="n">
        <x:f>F1929</x:f>
        <x:v>100.51882845188284</x:v>
      </x:c>
      <x:c r="K1929" t="n">
        <x:f>G1929</x:f>
        <x:v>100.53096491487338</x:v>
      </x:c>
    </x:row>
    <x:row r="1930">
      <x:c r="A1930" t="n">
        <x:v>1913</x:v>
      </x:c>
      <x:c r="B1930" s="40" t="n">
        <x:v>1.6156167551819154</x:v>
      </x:c>
      <x:c r="C1930" s="40" t="n">
        <x:v>2.192591133732601</x:v>
      </x:c>
      <x:c r="D1930" s="40" t="n">
        <x:v>0.23208480058854075</x:v>
      </x:c>
      <x:c r="E1930" t="n">
        <x:f>--((B1930^2/$B$4^2+C1930^2/$B$5^2+D1930^2/$B$6^2)&lt;=1)</x:f>
        <x:v>0</x:v>
      </x:c>
      <x:c r="F1930" s="42" t="n">
        <x:f>$B$8*SUM($E$18:E1930)/A1930</x:f>
        <x:v>100.46628332462102</x:v>
      </x:c>
      <x:c r="G1930" s="42" t="n">
        <x:f>$B$11</x:f>
        <x:v>100.53096491487338</x:v>
      </x:c>
      <x:c r="I1930" t="n">
        <x:f>A1930</x:f>
        <x:v>1913</x:v>
      </x:c>
      <x:c r="J1930" t="n">
        <x:f>F1930</x:f>
        <x:v>100.46628332462102</x:v>
      </x:c>
      <x:c r="K1930" t="n">
        <x:f>G1930</x:f>
        <x:v>100.53096491487338</x:v>
      </x:c>
    </x:row>
    <x:row r="1931">
      <x:c r="A1931" t="n">
        <x:v>1914</x:v>
      </x:c>
      <x:c r="B1931" s="40" t="n">
        <x:v>0.1979744512002326</x:v>
      </x:c>
      <x:c r="C1931" s="40" t="n">
        <x:v>-0.6817563824120159</x:v>
      </x:c>
      <x:c r="D1931" s="40" t="n">
        <x:v>-1.819451273321758</x:v>
      </x:c>
      <x:c r="E1931" t="n">
        <x:f>--((B1931^2/$B$4^2+C1931^2/$B$5^2+D1931^2/$B$6^2)&lt;=1)</x:f>
        <x:v>1</x:v>
      </x:c>
      <x:c r="F1931" s="42" t="n">
        <x:f>$B$8*SUM($E$18:E1931)/A1931</x:f>
        <x:v>100.5141065830721</x:v>
      </x:c>
      <x:c r="G1931" s="42" t="n">
        <x:f>$B$11</x:f>
        <x:v>100.53096491487338</x:v>
      </x:c>
      <x:c r="I1931" t="n">
        <x:f>A1931</x:f>
        <x:v>1914</x:v>
      </x:c>
      <x:c r="J1931" t="n">
        <x:f>F1931</x:f>
        <x:v>100.5141065830721</x:v>
      </x:c>
      <x:c r="K1931" t="n">
        <x:f>G1931</x:f>
        <x:v>100.53096491487338</x:v>
      </x:c>
    </x:row>
    <x:row r="1932">
      <x:c r="A1932" t="n">
        <x:v>1915</x:v>
      </x:c>
      <x:c r="B1932" s="40" t="n">
        <x:v>-1.3998416870071595</x:v>
      </x:c>
      <x:c r="C1932" s="40" t="n">
        <x:v>-0.6245239257557866</x:v>
      </x:c>
      <x:c r="D1932" s="40" t="n">
        <x:v>-1.8868746913483623</x:v>
      </x:c>
      <x:c r="E1932" t="n">
        <x:f>--((B1932^2/$B$4^2+C1932^2/$B$5^2+D1932^2/$B$6^2)&lt;=1)</x:f>
        <x:v>1</x:v>
      </x:c>
      <x:c r="F1932" s="42" t="n">
        <x:f>$B$8*SUM($E$18:E1932)/A1932</x:f>
        <x:v>100.56187989556136</x:v>
      </x:c>
      <x:c r="G1932" s="42" t="n">
        <x:f>$B$11</x:f>
        <x:v>100.53096491487338</x:v>
      </x:c>
      <x:c r="I1932" t="n">
        <x:f>A1932</x:f>
        <x:v>1915</x:v>
      </x:c>
      <x:c r="J1932" t="n">
        <x:f>F1932</x:f>
        <x:v>100.56187989556136</x:v>
      </x:c>
      <x:c r="K1932" t="n">
        <x:f>G1932</x:f>
        <x:v>100.53096491487338</x:v>
      </x:c>
    </x:row>
    <x:row r="1933">
      <x:c r="A1933" t="n">
        <x:v>1916</x:v>
      </x:c>
      <x:c r="B1933" s="40" t="n">
        <x:v>-1.1888381895633646</x:v>
      </x:c>
      <x:c r="C1933" s="40" t="n">
        <x:v>-1.1705319282905031</x:v>
      </x:c>
      <x:c r="D1933" s="40" t="n">
        <x:v>0.7566897544225046</x:v>
      </x:c>
      <x:c r="E1933" t="n">
        <x:f>--((B1933^2/$B$4^2+C1933^2/$B$5^2+D1933^2/$B$6^2)&lt;=1)</x:f>
        <x:v>1</x:v>
      </x:c>
      <x:c r="F1933" s="42" t="n">
        <x:f>$B$8*SUM($E$18:E1933)/A1933</x:f>
        <x:v>100.60960334029228</x:v>
      </x:c>
      <x:c r="G1933" s="42" t="n">
        <x:f>$B$11</x:f>
        <x:v>100.53096491487338</x:v>
      </x:c>
      <x:c r="I1933" t="n">
        <x:f>A1933</x:f>
        <x:v>1916</x:v>
      </x:c>
      <x:c r="J1933" t="n">
        <x:f>F1933</x:f>
        <x:v>100.60960334029228</x:v>
      </x:c>
      <x:c r="K1933" t="n">
        <x:f>G1933</x:f>
        <x:v>100.53096491487338</x:v>
      </x:c>
    </x:row>
    <x:row r="1934">
      <x:c r="A1934" t="n">
        <x:v>1917</x:v>
      </x:c>
      <x:c r="B1934" s="40" t="n">
        <x:v>0.6399449769484566</x:v>
      </x:c>
      <x:c r="C1934" s="40" t="n">
        <x:v>0.11221036976770016</x:v>
      </x:c>
      <x:c r="D1934" s="40" t="n">
        <x:v>2.383472937430951</x:v>
      </x:c>
      <x:c r="E1934" t="n">
        <x:f>--((B1934^2/$B$4^2+C1934^2/$B$5^2+D1934^2/$B$6^2)&lt;=1)</x:f>
        <x:v>1</x:v>
      </x:c>
      <x:c r="F1934" s="42" t="n">
        <x:f>$B$8*SUM($E$18:E1934)/A1934</x:f>
        <x:v>100.65727699530517</x:v>
      </x:c>
      <x:c r="G1934" s="42" t="n">
        <x:f>$B$11</x:f>
        <x:v>100.53096491487338</x:v>
      </x:c>
      <x:c r="I1934" t="n">
        <x:f>A1934</x:f>
        <x:v>1917</x:v>
      </x:c>
      <x:c r="J1934" t="n">
        <x:f>F1934</x:f>
        <x:v>100.65727699530517</x:v>
      </x:c>
      <x:c r="K1934" t="n">
        <x:f>G1934</x:f>
        <x:v>100.53096491487338</x:v>
      </x:c>
    </x:row>
    <x:row r="1935">
      <x:c r="A1935" t="n">
        <x:v>1918</x:v>
      </x:c>
      <x:c r="B1935" s="40" t="n">
        <x:v>0.8992672889874922</x:v>
      </x:c>
      <x:c r="C1935" s="40" t="n">
        <x:v>0.2691002021367641</x:v>
      </x:c>
      <x:c r="D1935" s="40" t="n">
        <x:v>2.2174358626502295</x:v>
      </x:c>
      <x:c r="E1935" t="n">
        <x:f>--((B1935^2/$B$4^2+C1935^2/$B$5^2+D1935^2/$B$6^2)&lt;=1)</x:f>
        <x:v>1</x:v>
      </x:c>
      <x:c r="F1935" s="42" t="n">
        <x:f>$B$8*SUM($E$18:E1935)/A1935</x:f>
        <x:v>100.70490093847758</x:v>
      </x:c>
      <x:c r="G1935" s="42" t="n">
        <x:f>$B$11</x:f>
        <x:v>100.53096491487338</x:v>
      </x:c>
      <x:c r="I1935" t="n">
        <x:f>A1935</x:f>
        <x:v>1918</x:v>
      </x:c>
      <x:c r="J1935" t="n">
        <x:f>F1935</x:f>
        <x:v>100.70490093847758</x:v>
      </x:c>
      <x:c r="K1935" t="n">
        <x:f>G1935</x:f>
        <x:v>100.53096491487338</x:v>
      </x:c>
    </x:row>
    <x:row r="1936">
      <x:c r="A1936" t="n">
        <x:v>1919</x:v>
      </x:c>
      <x:c r="B1936" s="40" t="n">
        <x:v>0.397707234319741</x:v>
      </x:c>
      <x:c r="C1936" s="40" t="n">
        <x:v>0.9627668718627418</x:v>
      </x:c>
      <x:c r="D1936" s="40" t="n">
        <x:v>2.950413513548428</x:v>
      </x:c>
      <x:c r="E1936" t="n">
        <x:f>--((B1936^2/$B$4^2+C1936^2/$B$5^2+D1936^2/$B$6^2)&lt;=1)</x:f>
        <x:v>1</x:v>
      </x:c>
      <x:c r="F1936" s="42" t="n">
        <x:f>$B$8*SUM($E$18:E1936)/A1936</x:f>
        <x:v>100.75247524752476</x:v>
      </x:c>
      <x:c r="G1936" s="42" t="n">
        <x:f>$B$11</x:f>
        <x:v>100.53096491487338</x:v>
      </x:c>
      <x:c r="I1936" t="n">
        <x:f>A1936</x:f>
        <x:v>1919</x:v>
      </x:c>
      <x:c r="J1936" t="n">
        <x:f>F1936</x:f>
        <x:v>100.75247524752476</x:v>
      </x:c>
      <x:c r="K1936" t="n">
        <x:f>G1936</x:f>
        <x:v>100.53096491487338</x:v>
      </x:c>
    </x:row>
    <x:row r="1937">
      <x:c r="A1937" t="n">
        <x:v>1920</x:v>
      </x:c>
      <x:c r="B1937" s="40" t="n">
        <x:v>1.812593519650103</x:v>
      </x:c>
      <x:c r="C1937" s="40" t="n">
        <x:v>-0.4169861393425771</x:v>
      </x:c>
      <x:c r="D1937" s="40" t="n">
        <x:v>-1.6567780967010632</x:v>
      </x:c>
      <x:c r="E1937" t="n">
        <x:f>--((B1937^2/$B$4^2+C1937^2/$B$5^2+D1937^2/$B$6^2)&lt;=1)</x:f>
        <x:v>0</x:v>
      </x:c>
      <x:c r="F1937" s="42" t="n">
        <x:f>$B$8*SUM($E$18:E1937)/A1937</x:f>
        <x:v>100.7</x:v>
      </x:c>
      <x:c r="G1937" s="42" t="n">
        <x:f>$B$11</x:f>
        <x:v>100.53096491487338</x:v>
      </x:c>
      <x:c r="I1937" t="n">
        <x:f>A1937</x:f>
        <x:v>1920</x:v>
      </x:c>
      <x:c r="J1937" t="n">
        <x:f>F1937</x:f>
        <x:v>100.7</x:v>
      </x:c>
      <x:c r="K1937" t="n">
        <x:f>G1937</x:f>
        <x:v>100.53096491487338</x:v>
      </x:c>
    </x:row>
    <x:row r="1938">
      <x:c r="A1938" t="n">
        <x:v>1921</x:v>
      </x:c>
      <x:c r="B1938" s="40" t="n">
        <x:v>-0.02374558535289184</x:v>
      </x:c>
      <x:c r="C1938" s="40" t="n">
        <x:v>-1.692976248698404</x:v>
      </x:c>
      <x:c r="D1938" s="40" t="n">
        <x:v>-0.2739889462794096</x:v>
      </x:c>
      <x:c r="E1938" t="n">
        <x:f>--((B1938^2/$B$4^2+C1938^2/$B$5^2+D1938^2/$B$6^2)&lt;=1)</x:f>
        <x:v>1</x:v>
      </x:c>
      <x:c r="F1938" s="42" t="n">
        <x:f>$B$8*SUM($E$18:E1938)/A1938</x:f>
        <x:v>100.74752732951588</x:v>
      </x:c>
      <x:c r="G1938" s="42" t="n">
        <x:f>$B$11</x:f>
        <x:v>100.53096491487338</x:v>
      </x:c>
      <x:c r="I1938" t="n">
        <x:f>A1938</x:f>
        <x:v>1921</x:v>
      </x:c>
      <x:c r="J1938" t="n">
        <x:f>F1938</x:f>
        <x:v>100.74752732951588</x:v>
      </x:c>
      <x:c r="K1938" t="n">
        <x:f>G1938</x:f>
        <x:v>100.53096491487338</x:v>
      </x:c>
    </x:row>
    <x:row r="1939">
      <x:c r="A1939" t="n">
        <x:v>1922</x:v>
      </x:c>
      <x:c r="B1939" s="40" t="n">
        <x:v>-0.7989123514298933</x:v>
      </x:c>
      <x:c r="C1939" s="40" t="n">
        <x:v>2.201052374483255</x:v>
      </x:c>
      <x:c r="D1939" s="40" t="n">
        <x:v>-3.9253234142398004</x:v>
      </x:c>
      <x:c r="E1939" t="n">
        <x:f>--((B1939^2/$B$4^2+C1939^2/$B$5^2+D1939^2/$B$6^2)&lt;=1)</x:f>
        <x:v>0</x:v>
      </x:c>
      <x:c r="F1939" s="42" t="n">
        <x:f>$B$8*SUM($E$18:E1939)/A1939</x:f>
        <x:v>100.69510926118626</x:v>
      </x:c>
      <x:c r="G1939" s="42" t="n">
        <x:f>$B$11</x:f>
        <x:v>100.53096491487338</x:v>
      </x:c>
      <x:c r="I1939" t="n">
        <x:f>A1939</x:f>
        <x:v>1922</x:v>
      </x:c>
      <x:c r="J1939" t="n">
        <x:f>F1939</x:f>
        <x:v>100.69510926118626</x:v>
      </x:c>
      <x:c r="K1939" t="n">
        <x:f>G1939</x:f>
        <x:v>100.53096491487338</x:v>
      </x:c>
    </x:row>
    <x:row r="1940">
      <x:c r="A1940" t="n">
        <x:v>1923</x:v>
      </x:c>
      <x:c r="B1940" s="40" t="n">
        <x:v>-0.09106836009681407</x:v>
      </x:c>
      <x:c r="C1940" s="40" t="n">
        <x:v>-0.9239947965719137</x:v>
      </x:c>
      <x:c r="D1940" s="40" t="n">
        <x:v>1.974860985090924</x:v>
      </x:c>
      <x:c r="E1940" t="n">
        <x:f>--((B1940^2/$B$4^2+C1940^2/$B$5^2+D1940^2/$B$6^2)&lt;=1)</x:f>
        <x:v>1</x:v>
      </x:c>
      <x:c r="F1940" s="42" t="n">
        <x:f>$B$8*SUM($E$18:E1940)/A1940</x:f>
        <x:v>100.74258970358814</x:v>
      </x:c>
      <x:c r="G1940" s="42" t="n">
        <x:f>$B$11</x:f>
        <x:v>100.53096491487338</x:v>
      </x:c>
      <x:c r="I1940" t="n">
        <x:f>A1940</x:f>
        <x:v>1923</x:v>
      </x:c>
      <x:c r="J1940" t="n">
        <x:f>F1940</x:f>
        <x:v>100.74258970358814</x:v>
      </x:c>
      <x:c r="K1940" t="n">
        <x:f>G1940</x:f>
        <x:v>100.53096491487338</x:v>
      </x:c>
    </x:row>
    <x:row r="1941">
      <x:c r="A1941" t="n">
        <x:v>1924</x:v>
      </x:c>
      <x:c r="B1941" s="40" t="n">
        <x:v>-0.5613348253335562</x:v>
      </x:c>
      <x:c r="C1941" s="40" t="n">
        <x:v>2.537660519041048</x:v>
      </x:c>
      <x:c r="D1941" s="40" t="n">
        <x:v>-1.5812551028617357</x:v>
      </x:c>
      <x:c r="E1941" t="n">
        <x:f>--((B1941^2/$B$4^2+C1941^2/$B$5^2+D1941^2/$B$6^2)&lt;=1)</x:f>
        <x:v>1</x:v>
      </x:c>
      <x:c r="F1941" s="42" t="n">
        <x:f>$B$8*SUM($E$18:E1941)/A1941</x:f>
        <x:v>100.79002079002079</x:v>
      </x:c>
      <x:c r="G1941" s="42" t="n">
        <x:f>$B$11</x:f>
        <x:v>100.53096491487338</x:v>
      </x:c>
      <x:c r="I1941" t="n">
        <x:f>A1941</x:f>
        <x:v>1924</x:v>
      </x:c>
      <x:c r="J1941" t="n">
        <x:f>F1941</x:f>
        <x:v>100.79002079002079</x:v>
      </x:c>
      <x:c r="K1941" t="n">
        <x:f>G1941</x:f>
        <x:v>100.53096491487338</x:v>
      </x:c>
    </x:row>
    <x:row r="1942">
      <x:c r="A1942" t="n">
        <x:v>1925</x:v>
      </x:c>
      <x:c r="B1942" s="40" t="n">
        <x:v>-1.1023364293012547</x:v>
      </x:c>
      <x:c r="C1942" s="40" t="n">
        <x:v>-1.7558800018412655</x:v>
      </x:c>
      <x:c r="D1942" s="40" t="n">
        <x:v>0.4919482661614918</x:v>
      </x:c>
      <x:c r="E1942" t="n">
        <x:f>--((B1942^2/$B$4^2+C1942^2/$B$5^2+D1942^2/$B$6^2)&lt;=1)</x:f>
        <x:v>1</x:v>
      </x:c>
      <x:c r="F1942" s="42" t="n">
        <x:f>$B$8*SUM($E$18:E1942)/A1942</x:f>
        <x:v>100.8374025974026</x:v>
      </x:c>
      <x:c r="G1942" s="42" t="n">
        <x:f>$B$11</x:f>
        <x:v>100.53096491487338</x:v>
      </x:c>
      <x:c r="I1942" t="n">
        <x:f>A1942</x:f>
        <x:v>1925</x:v>
      </x:c>
      <x:c r="J1942" t="n">
        <x:f>F1942</x:f>
        <x:v>100.8374025974026</x:v>
      </x:c>
      <x:c r="K1942" t="n">
        <x:f>G1942</x:f>
        <x:v>100.53096491487338</x:v>
      </x:c>
    </x:row>
    <x:row r="1943">
      <x:c r="A1943" t="n">
        <x:v>1926</x:v>
      </x:c>
      <x:c r="B1943" s="40" t="n">
        <x:v>-1.8161470026394397</x:v>
      </x:c>
      <x:c r="C1943" s="40" t="n">
        <x:v>0.36034485741738287</x:v>
      </x:c>
      <x:c r="D1943" s="40" t="n">
        <x:v>-2.6455977438443945</x:v>
      </x:c>
      <x:c r="E1943" t="n">
        <x:f>--((B1943^2/$B$4^2+C1943^2/$B$5^2+D1943^2/$B$6^2)&lt;=1)</x:f>
        <x:v>0</x:v>
      </x:c>
      <x:c r="F1943" s="42" t="n">
        <x:f>$B$8*SUM($E$18:E1943)/A1943</x:f>
        <x:v>100.78504672897196</x:v>
      </x:c>
      <x:c r="G1943" s="42" t="n">
        <x:f>$B$11</x:f>
        <x:v>100.53096491487338</x:v>
      </x:c>
      <x:c r="I1943" t="n">
        <x:f>A1943</x:f>
        <x:v>1926</x:v>
      </x:c>
      <x:c r="J1943" t="n">
        <x:f>F1943</x:f>
        <x:v>100.78504672897196</x:v>
      </x:c>
      <x:c r="K1943" t="n">
        <x:f>G1943</x:f>
        <x:v>100.53096491487338</x:v>
      </x:c>
    </x:row>
    <x:row r="1944">
      <x:c r="A1944" t="n">
        <x:v>1927</x:v>
      </x:c>
      <x:c r="B1944" s="40" t="n">
        <x:v>-0.5911500257395033</x:v>
      </x:c>
      <x:c r="C1944" s="40" t="n">
        <x:v>0.21969056117671348</x:v>
      </x:c>
      <x:c r="D1944" s="40" t="n">
        <x:v>2.555196057074628</x:v>
      </x:c>
      <x:c r="E1944" t="n">
        <x:f>--((B1944^2/$B$4^2+C1944^2/$B$5^2+D1944^2/$B$6^2)&lt;=1)</x:f>
        <x:v>1</x:v>
      </x:c>
      <x:c r="F1944" s="42" t="n">
        <x:f>$B$8*SUM($E$18:E1944)/A1944</x:f>
        <x:v>100.83238194084069</x:v>
      </x:c>
      <x:c r="G1944" s="42" t="n">
        <x:f>$B$11</x:f>
        <x:v>100.53096491487338</x:v>
      </x:c>
      <x:c r="I1944" t="n">
        <x:f>A1944</x:f>
        <x:v>1927</x:v>
      </x:c>
      <x:c r="J1944" t="n">
        <x:f>F1944</x:f>
        <x:v>100.83238194084069</x:v>
      </x:c>
      <x:c r="K1944" t="n">
        <x:f>G1944</x:f>
        <x:v>100.53096491487338</x:v>
      </x:c>
    </x:row>
    <x:row r="1945">
      <x:c r="A1945" t="n">
        <x:v>1928</x:v>
      </x:c>
      <x:c r="B1945" s="40" t="n">
        <x:v>0.8456373908389692</x:v>
      </x:c>
      <x:c r="C1945" s="40" t="n">
        <x:v>1.9718870875619716</x:v>
      </x:c>
      <x:c r="D1945" s="40" t="n">
        <x:v>2.538177754226222</x:v>
      </x:c>
      <x:c r="E1945" t="n">
        <x:f>--((B1945^2/$B$4^2+C1945^2/$B$5^2+D1945^2/$B$6^2)&lt;=1)</x:f>
        <x:v>0</x:v>
      </x:c>
      <x:c r="F1945" s="42" t="n">
        <x:f>$B$8*SUM($E$18:E1945)/A1945</x:f>
        <x:v>100.78008298755186</x:v>
      </x:c>
      <x:c r="G1945" s="42" t="n">
        <x:f>$B$11</x:f>
        <x:v>100.53096491487338</x:v>
      </x:c>
      <x:c r="I1945" t="n">
        <x:f>A1945</x:f>
        <x:v>1928</x:v>
      </x:c>
      <x:c r="J1945" t="n">
        <x:f>F1945</x:f>
        <x:v>100.78008298755186</x:v>
      </x:c>
      <x:c r="K1945" t="n">
        <x:f>G1945</x:f>
        <x:v>100.53096491487338</x:v>
      </x:c>
    </x:row>
    <x:row r="1946">
      <x:c r="A1946" t="n">
        <x:v>1929</x:v>
      </x:c>
      <x:c r="B1946" s="40" t="n">
        <x:v>-1.9262487884992248</x:v>
      </x:c>
      <x:c r="C1946" s="40" t="n">
        <x:v>-2.1668916794950217</x:v>
      </x:c>
      <x:c r="D1946" s="40" t="n">
        <x:v>3.019623318023644</x:v>
      </x:c>
      <x:c r="E1946" t="n">
        <x:f>--((B1946^2/$B$4^2+C1946^2/$B$5^2+D1946^2/$B$6^2)&lt;=1)</x:f>
        <x:v>0</x:v>
      </x:c>
      <x:c r="F1946" s="42" t="n">
        <x:f>$B$8*SUM($E$18:E1946)/A1946</x:f>
        <x:v>100.72783825816485</x:v>
      </x:c>
      <x:c r="G1946" s="42" t="n">
        <x:f>$B$11</x:f>
        <x:v>100.53096491487338</x:v>
      </x:c>
      <x:c r="I1946" t="n">
        <x:f>A1946</x:f>
        <x:v>1929</x:v>
      </x:c>
      <x:c r="J1946" t="n">
        <x:f>F1946</x:f>
        <x:v>100.72783825816485</x:v>
      </x:c>
      <x:c r="K1946" t="n">
        <x:f>G1946</x:f>
        <x:v>100.53096491487338</x:v>
      </x:c>
    </x:row>
    <x:row r="1947">
      <x:c r="A1947" t="n">
        <x:v>1930</x:v>
      </x:c>
      <x:c r="B1947" s="40" t="n">
        <x:v>-0.24328594717626117</x:v>
      </x:c>
      <x:c r="C1947" s="40" t="n">
        <x:v>2.459623037504768</x:v>
      </x:c>
      <x:c r="D1947" s="40" t="n">
        <x:v>-3.6325040231462173</x:v>
      </x:c>
      <x:c r="E1947" t="n">
        <x:f>--((B1947^2/$B$4^2+C1947^2/$B$5^2+D1947^2/$B$6^2)&lt;=1)</x:f>
        <x:v>0</x:v>
      </x:c>
      <x:c r="F1947" s="42" t="n">
        <x:f>$B$8*SUM($E$18:E1947)/A1947</x:f>
        <x:v>100.67564766839378</x:v>
      </x:c>
      <x:c r="G1947" s="42" t="n">
        <x:f>$B$11</x:f>
        <x:v>100.53096491487338</x:v>
      </x:c>
      <x:c r="I1947" t="n">
        <x:f>A1947</x:f>
        <x:v>1930</x:v>
      </x:c>
      <x:c r="J1947" t="n">
        <x:f>F1947</x:f>
        <x:v>100.67564766839378</x:v>
      </x:c>
      <x:c r="K1947" t="n">
        <x:f>G1947</x:f>
        <x:v>100.53096491487338</x:v>
      </x:c>
    </x:row>
    <x:row r="1948">
      <x:c r="A1948" t="n">
        <x:v>1931</x:v>
      </x:c>
      <x:c r="B1948" s="40" t="n">
        <x:v>0.5760376057994736</x:v>
      </x:c>
      <x:c r="C1948" s="40" t="n">
        <x:v>0.188569033032421</x:v>
      </x:c>
      <x:c r="D1948" s="40" t="n">
        <x:v>3.9396696782001097</x:v>
      </x:c>
      <x:c r="E1948" t="n">
        <x:f>--((B1948^2/$B$4^2+C1948^2/$B$5^2+D1948^2/$B$6^2)&lt;=1)</x:f>
        <x:v>0</x:v>
      </x:c>
      <x:c r="F1948" s="42" t="n">
        <x:f>$B$8*SUM($E$18:E1948)/A1948</x:f>
        <x:v>100.6235111341274</x:v>
      </x:c>
      <x:c r="G1948" s="42" t="n">
        <x:f>$B$11</x:f>
        <x:v>100.53096491487338</x:v>
      </x:c>
      <x:c r="I1948" t="n">
        <x:f>A1948</x:f>
        <x:v>1931</x:v>
      </x:c>
      <x:c r="J1948" t="n">
        <x:f>F1948</x:f>
        <x:v>100.6235111341274</x:v>
      </x:c>
      <x:c r="K1948" t="n">
        <x:f>G1948</x:f>
        <x:v>100.53096491487338</x:v>
      </x:c>
    </x:row>
    <x:row r="1949">
      <x:c r="A1949" t="n">
        <x:v>1932</x:v>
      </x:c>
      <x:c r="B1949" s="40" t="n">
        <x:v>0.44161643669722883</x:v>
      </x:c>
      <x:c r="C1949" s="40" t="n">
        <x:v>0.5166563034861982</x:v>
      </x:c>
      <x:c r="D1949" s="40" t="n">
        <x:v>-2.0177646844824437</x:v>
      </x:c>
      <x:c r="E1949" t="n">
        <x:f>--((B1949^2/$B$4^2+C1949^2/$B$5^2+D1949^2/$B$6^2)&lt;=1)</x:f>
        <x:v>1</x:v>
      </x:c>
      <x:c r="F1949" s="42" t="n">
        <x:f>$B$8*SUM($E$18:E1949)/A1949</x:f>
        <x:v>100.67080745341615</x:v>
      </x:c>
      <x:c r="G1949" s="42" t="n">
        <x:f>$B$11</x:f>
        <x:v>100.53096491487338</x:v>
      </x:c>
      <x:c r="I1949" t="n">
        <x:f>A1949</x:f>
        <x:v>1932</x:v>
      </x:c>
      <x:c r="J1949" t="n">
        <x:f>F1949</x:f>
        <x:v>100.67080745341615</x:v>
      </x:c>
      <x:c r="K1949" t="n">
        <x:f>G1949</x:f>
        <x:v>100.53096491487338</x:v>
      </x:c>
    </x:row>
    <x:row r="1950">
      <x:c r="A1950" t="n">
        <x:v>1933</x:v>
      </x:c>
      <x:c r="B1950" s="40" t="n">
        <x:v>1.1065937435548636</x:v>
      </x:c>
      <x:c r="C1950" s="40" t="n">
        <x:v>0.06099775978660249</x:v>
      </x:c>
      <x:c r="D1950" s="40" t="n">
        <x:v>-1.5245305116212045</x:v>
      </x:c>
      <x:c r="E1950" t="n">
        <x:f>--((B1950^2/$B$4^2+C1950^2/$B$5^2+D1950^2/$B$6^2)&lt;=1)</x:f>
        <x:v>1</x:v>
      </x:c>
      <x:c r="F1950" s="42" t="n">
        <x:f>$B$8*SUM($E$18:E1950)/A1950</x:f>
        <x:v>100.71805483704087</x:v>
      </x:c>
      <x:c r="G1950" s="42" t="n">
        <x:f>$B$11</x:f>
        <x:v>100.53096491487338</x:v>
      </x:c>
      <x:c r="I1950" t="n">
        <x:f>A1950</x:f>
        <x:v>1933</x:v>
      </x:c>
      <x:c r="J1950" t="n">
        <x:f>F1950</x:f>
        <x:v>100.71805483704087</x:v>
      </x:c>
      <x:c r="K1950" t="n">
        <x:f>G1950</x:f>
        <x:v>100.53096491487338</x:v>
      </x:c>
    </x:row>
    <x:row r="1951">
      <x:c r="A1951" t="n">
        <x:v>1934</x:v>
      </x:c>
      <x:c r="B1951" s="40" t="n">
        <x:v>1.24207886263919</x:v>
      </x:c>
      <x:c r="C1951" s="40" t="n">
        <x:v>-2.783850558982401</x:v>
      </x:c>
      <x:c r="D1951" s="40" t="n">
        <x:v>-2.005314166476431</x:v>
      </x:c>
      <x:c r="E1951" t="n">
        <x:f>--((B1951^2/$B$4^2+C1951^2/$B$5^2+D1951^2/$B$6^2)&lt;=1)</x:f>
        <x:v>0</x:v>
      </x:c>
      <x:c r="F1951" s="42" t="n">
        <x:f>$B$8*SUM($E$18:E1951)/A1951</x:f>
        <x:v>100.66597724922441</x:v>
      </x:c>
      <x:c r="G1951" s="42" t="n">
        <x:f>$B$11</x:f>
        <x:v>100.53096491487338</x:v>
      </x:c>
      <x:c r="I1951" t="n">
        <x:f>A1951</x:f>
        <x:v>1934</x:v>
      </x:c>
      <x:c r="J1951" t="n">
        <x:f>F1951</x:f>
        <x:v>100.66597724922441</x:v>
      </x:c>
      <x:c r="K1951" t="n">
        <x:f>G1951</x:f>
        <x:v>100.53096491487338</x:v>
      </x:c>
    </x:row>
    <x:row r="1952">
      <x:c r="A1952" t="n">
        <x:v>1935</x:v>
      </x:c>
      <x:c r="B1952" s="40" t="n">
        <x:v>0.8468232836775513</x:v>
      </x:c>
      <x:c r="C1952" s="40" t="n">
        <x:v>-0.017456029160411113</x:v>
      </x:c>
      <x:c r="D1952" s="40" t="n">
        <x:v>-1.859738413067741</x:v>
      </x:c>
      <x:c r="E1952" t="n">
        <x:f>--((B1952^2/$B$4^2+C1952^2/$B$5^2+D1952^2/$B$6^2)&lt;=1)</x:f>
        <x:v>1</x:v>
      </x:c>
      <x:c r="F1952" s="42" t="n">
        <x:f>$B$8*SUM($E$18:E1952)/A1952</x:f>
        <x:v>100.71317829457364</x:v>
      </x:c>
      <x:c r="G1952" s="42" t="n">
        <x:f>$B$11</x:f>
        <x:v>100.53096491487338</x:v>
      </x:c>
      <x:c r="I1952" t="n">
        <x:f>A1952</x:f>
        <x:v>1935</x:v>
      </x:c>
      <x:c r="J1952" t="n">
        <x:f>F1952</x:f>
        <x:v>100.71317829457364</x:v>
      </x:c>
      <x:c r="K1952" t="n">
        <x:f>G1952</x:f>
        <x:v>100.53096491487338</x:v>
      </x:c>
    </x:row>
    <x:row r="1953">
      <x:c r="A1953" t="n">
        <x:v>1936</x:v>
      </x:c>
      <x:c r="B1953" s="40" t="n">
        <x:v>-1.5888092154210023</x:v>
      </x:c>
      <x:c r="C1953" s="40" t="n">
        <x:v>-1.4187020239380568</x:v>
      </x:c>
      <x:c r="D1953" s="40" t="n">
        <x:v>0.4212908488291731</x:v>
      </x:c>
      <x:c r="E1953" t="n">
        <x:f>--((B1953^2/$B$4^2+C1953^2/$B$5^2+D1953^2/$B$6^2)&lt;=1)</x:f>
        <x:v>1</x:v>
      </x:c>
      <x:c r="F1953" s="42" t="n">
        <x:f>$B$8*SUM($E$18:E1953)/A1953</x:f>
        <x:v>100.7603305785124</x:v>
      </x:c>
      <x:c r="G1953" s="42" t="n">
        <x:f>$B$11</x:f>
        <x:v>100.53096491487338</x:v>
      </x:c>
      <x:c r="I1953" t="n">
        <x:f>A1953</x:f>
        <x:v>1936</x:v>
      </x:c>
      <x:c r="J1953" t="n">
        <x:f>F1953</x:f>
        <x:v>100.7603305785124</x:v>
      </x:c>
      <x:c r="K1953" t="n">
        <x:f>G1953</x:f>
        <x:v>100.53096491487338</x:v>
      </x:c>
    </x:row>
    <x:row r="1954">
      <x:c r="A1954" t="n">
        <x:v>1937</x:v>
      </x:c>
      <x:c r="B1954" s="40" t="n">
        <x:v>-0.09991022398255733</x:v>
      </x:c>
      <x:c r="C1954" s="40" t="n">
        <x:v>-0.9438709177330113</x:v>
      </x:c>
      <x:c r="D1954" s="40" t="n">
        <x:v>-2.0815156455697634</x:v>
      </x:c>
      <x:c r="E1954" t="n">
        <x:f>--((B1954^2/$B$4^2+C1954^2/$B$5^2+D1954^2/$B$6^2)&lt;=1)</x:f>
        <x:v>1</x:v>
      </x:c>
      <x:c r="F1954" s="42" t="n">
        <x:f>$B$8*SUM($E$18:E1954)/A1954</x:f>
        <x:v>100.8074341765617</x:v>
      </x:c>
      <x:c r="G1954" s="42" t="n">
        <x:f>$B$11</x:f>
        <x:v>100.53096491487338</x:v>
      </x:c>
      <x:c r="I1954" t="n">
        <x:f>A1954</x:f>
        <x:v>1937</x:v>
      </x:c>
      <x:c r="J1954" t="n">
        <x:f>F1954</x:f>
        <x:v>100.8074341765617</x:v>
      </x:c>
      <x:c r="K1954" t="n">
        <x:f>G1954</x:f>
        <x:v>100.53096491487338</x:v>
      </x:c>
    </x:row>
    <x:row r="1955">
      <x:c r="A1955" t="n">
        <x:v>1938</x:v>
      </x:c>
      <x:c r="B1955" s="40" t="n">
        <x:v>0.41362382995043445</x:v>
      </x:c>
      <x:c r="C1955" s="40" t="n">
        <x:v>0.8946095951228399</x:v>
      </x:c>
      <x:c r="D1955" s="40" t="n">
        <x:v>-0.8498295087967618</x:v>
      </x:c>
      <x:c r="E1955" t="n">
        <x:f>--((B1955^2/$B$4^2+C1955^2/$B$5^2+D1955^2/$B$6^2)&lt;=1)</x:f>
        <x:v>1</x:v>
      </x:c>
      <x:c r="F1955" s="42" t="n">
        <x:f>$B$8*SUM($E$18:E1955)/A1955</x:f>
        <x:v>100.85448916408669</x:v>
      </x:c>
      <x:c r="G1955" s="42" t="n">
        <x:f>$B$11</x:f>
        <x:v>100.53096491487338</x:v>
      </x:c>
      <x:c r="I1955" t="n">
        <x:f>A1955</x:f>
        <x:v>1938</x:v>
      </x:c>
      <x:c r="J1955" t="n">
        <x:f>F1955</x:f>
        <x:v>100.85448916408669</x:v>
      </x:c>
      <x:c r="K1955" t="n">
        <x:f>G1955</x:f>
        <x:v>100.53096491487338</x:v>
      </x:c>
    </x:row>
    <x:row r="1956">
      <x:c r="A1956" t="n">
        <x:v>1939</x:v>
      </x:c>
      <x:c r="B1956" s="40" t="n">
        <x:v>-1.0177358447621936</x:v>
      </x:c>
      <x:c r="C1956" s="40" t="n">
        <x:v>-0.013817223155364378</x:v>
      </x:c>
      <x:c r="D1956" s="40" t="n">
        <x:v>1.2448526595457228</x:v>
      </x:c>
      <x:c r="E1956" t="n">
        <x:f>--((B1956^2/$B$4^2+C1956^2/$B$5^2+D1956^2/$B$6^2)&lt;=1)</x:f>
        <x:v>1</x:v>
      </x:c>
      <x:c r="F1956" s="42" t="n">
        <x:f>$B$8*SUM($E$18:E1956)/A1956</x:f>
        <x:v>100.90149561629705</x:v>
      </x:c>
      <x:c r="G1956" s="42" t="n">
        <x:f>$B$11</x:f>
        <x:v>100.53096491487338</x:v>
      </x:c>
      <x:c r="I1956" t="n">
        <x:f>A1956</x:f>
        <x:v>1939</x:v>
      </x:c>
      <x:c r="J1956" t="n">
        <x:f>F1956</x:f>
        <x:v>100.90149561629705</x:v>
      </x:c>
      <x:c r="K1956" t="n">
        <x:f>G1956</x:f>
        <x:v>100.53096491487338</x:v>
      </x:c>
    </x:row>
    <x:row r="1957">
      <x:c r="A1957" t="n">
        <x:v>1940</x:v>
      </x:c>
      <x:c r="B1957" s="40" t="n">
        <x:v>-1.829792729412894</x:v>
      </x:c>
      <x:c r="C1957" s="40" t="n">
        <x:v>-2.440690723995237</x:v>
      </x:c>
      <x:c r="D1957" s="40" t="n">
        <x:v>2.6882096286218147</x:v>
      </x:c>
      <x:c r="E1957" t="n">
        <x:f>--((B1957^2/$B$4^2+C1957^2/$B$5^2+D1957^2/$B$6^2)&lt;=1)</x:f>
        <x:v>0</x:v>
      </x:c>
      <x:c r="F1957" s="42" t="n">
        <x:f>$B$8*SUM($E$18:E1957)/A1957</x:f>
        <x:v>100.84948453608247</x:v>
      </x:c>
      <x:c r="G1957" s="42" t="n">
        <x:f>$B$11</x:f>
        <x:v>100.53096491487338</x:v>
      </x:c>
      <x:c r="I1957" t="n">
        <x:f>A1957</x:f>
        <x:v>1940</x:v>
      </x:c>
      <x:c r="J1957" t="n">
        <x:f>F1957</x:f>
        <x:v>100.84948453608247</x:v>
      </x:c>
      <x:c r="K1957" t="n">
        <x:f>G1957</x:f>
        <x:v>100.53096491487338</x:v>
      </x:c>
    </x:row>
    <x:row r="1958">
      <x:c r="A1958" t="n">
        <x:v>1941</x:v>
      </x:c>
      <x:c r="B1958" s="40" t="n">
        <x:v>-1.1056387164958124</x:v>
      </x:c>
      <x:c r="C1958" s="40" t="n">
        <x:v>-2.5617523514294467</x:v>
      </x:c>
      <x:c r="D1958" s="40" t="n">
        <x:v>1.5419320021350362</x:v>
      </x:c>
      <x:c r="E1958" t="n">
        <x:f>--((B1958^2/$B$4^2+C1958^2/$B$5^2+D1958^2/$B$6^2)&lt;=1)</x:f>
        <x:v>0</x:v>
      </x:c>
      <x:c r="F1958" s="42" t="n">
        <x:f>$B$8*SUM($E$18:E1958)/A1958</x:f>
        <x:v>100.79752704791345</x:v>
      </x:c>
      <x:c r="G1958" s="42" t="n">
        <x:f>$B$11</x:f>
        <x:v>100.53096491487338</x:v>
      </x:c>
      <x:c r="I1958" t="n">
        <x:f>A1958</x:f>
        <x:v>1941</x:v>
      </x:c>
      <x:c r="J1958" t="n">
        <x:f>F1958</x:f>
        <x:v>100.79752704791345</x:v>
      </x:c>
      <x:c r="K1958" t="n">
        <x:f>G1958</x:f>
        <x:v>100.53096491487338</x:v>
      </x:c>
    </x:row>
    <x:row r="1959">
      <x:c r="A1959" t="n">
        <x:v>1942</x:v>
      </x:c>
      <x:c r="B1959" s="40" t="n">
        <x:v>-0.18042239306944463</x:v>
      </x:c>
      <x:c r="C1959" s="40" t="n">
        <x:v>-1.886053826295778</x:v>
      </x:c>
      <x:c r="D1959" s="40" t="n">
        <x:v>0.7545827582985858</x:v>
      </x:c>
      <x:c r="E1959" t="n">
        <x:f>--((B1959^2/$B$4^2+C1959^2/$B$5^2+D1959^2/$B$6^2)&lt;=1)</x:f>
        <x:v>1</x:v>
      </x:c>
      <x:c r="F1959" s="42" t="n">
        <x:f>$B$8*SUM($E$18:E1959)/A1959</x:f>
        <x:v>100.84449021627188</x:v>
      </x:c>
      <x:c r="G1959" s="42" t="n">
        <x:f>$B$11</x:f>
        <x:v>100.53096491487338</x:v>
      </x:c>
      <x:c r="I1959" t="n">
        <x:f>A1959</x:f>
        <x:v>1942</x:v>
      </x:c>
      <x:c r="J1959" t="n">
        <x:f>F1959</x:f>
        <x:v>100.84449021627188</x:v>
      </x:c>
      <x:c r="K1959" t="n">
        <x:f>G1959</x:f>
        <x:v>100.53096491487338</x:v>
      </x:c>
    </x:row>
    <x:row r="1960">
      <x:c r="A1960" t="n">
        <x:v>1943</x:v>
      </x:c>
      <x:c r="B1960" s="40" t="n">
        <x:v>-0.3442787237815965</x:v>
      </x:c>
      <x:c r="C1960" s="40" t="n">
        <x:v>-1.854689120566658</x:v>
      </x:c>
      <x:c r="D1960" s="40" t="n">
        <x:v>-2.8181714996714504</x:v>
      </x:c>
      <x:c r="E1960" t="n">
        <x:f>--((B1960^2/$B$4^2+C1960^2/$B$5^2+D1960^2/$B$6^2)&lt;=1)</x:f>
        <x:v>1</x:v>
      </x:c>
      <x:c r="F1960" s="42" t="n">
        <x:f>$B$8*SUM($E$18:E1960)/A1960</x:f>
        <x:v>100.89140504374679</x:v>
      </x:c>
      <x:c r="G1960" s="42" t="n">
        <x:f>$B$11</x:f>
        <x:v>100.53096491487338</x:v>
      </x:c>
      <x:c r="I1960" t="n">
        <x:f>A1960</x:f>
        <x:v>1943</x:v>
      </x:c>
      <x:c r="J1960" t="n">
        <x:f>F1960</x:f>
        <x:v>100.89140504374679</x:v>
      </x:c>
      <x:c r="K1960" t="n">
        <x:f>G1960</x:f>
        <x:v>100.53096491487338</x:v>
      </x:c>
    </x:row>
    <x:row r="1961">
      <x:c r="A1961" t="n">
        <x:v>1944</x:v>
      </x:c>
      <x:c r="B1961" s="40" t="n">
        <x:v>-1.2933320746913535</x:v>
      </x:c>
      <x:c r="C1961" s="40" t="n">
        <x:v>0.649804541828189</x:v>
      </x:c>
      <x:c r="D1961" s="40" t="n">
        <x:v>2.528924812330261</x:v>
      </x:c>
      <x:c r="E1961" t="n">
        <x:f>--((B1961^2/$B$4^2+C1961^2/$B$5^2+D1961^2/$B$6^2)&lt;=1)</x:f>
        <x:v>1</x:v>
      </x:c>
      <x:c r="F1961" s="42" t="n">
        <x:f>$B$8*SUM($E$18:E1961)/A1961</x:f>
        <x:v>100.93827160493827</x:v>
      </x:c>
      <x:c r="G1961" s="42" t="n">
        <x:f>$B$11</x:f>
        <x:v>100.53096491487338</x:v>
      </x:c>
      <x:c r="I1961" t="n">
        <x:f>A1961</x:f>
        <x:v>1944</x:v>
      </x:c>
      <x:c r="J1961" t="n">
        <x:f>F1961</x:f>
        <x:v>100.93827160493827</x:v>
      </x:c>
      <x:c r="K1961" t="n">
        <x:f>G1961</x:f>
        <x:v>100.53096491487338</x:v>
      </x:c>
    </x:row>
    <x:row r="1962">
      <x:c r="A1962" t="n">
        <x:v>1945</x:v>
      </x:c>
      <x:c r="B1962" s="40" t="n">
        <x:v>1.2976621707339713</x:v>
      </x:c>
      <x:c r="C1962" s="40" t="n">
        <x:v>-1.9331132157267432</x:v>
      </x:c>
      <x:c r="D1962" s="40" t="n">
        <x:v>-3.7018008960556905</x:v>
      </x:c>
      <x:c r="E1962" t="n">
        <x:f>--((B1962^2/$B$4^2+C1962^2/$B$5^2+D1962^2/$B$6^2)&lt;=1)</x:f>
        <x:v>0</x:v>
      </x:c>
      <x:c r="F1962" s="42" t="n">
        <x:f>$B$8*SUM($E$18:E1962)/A1962</x:f>
        <x:v>100.88637532133676</x:v>
      </x:c>
      <x:c r="G1962" s="42" t="n">
        <x:f>$B$11</x:f>
        <x:v>100.53096491487338</x:v>
      </x:c>
      <x:c r="I1962" t="n">
        <x:f>A1962</x:f>
        <x:v>1945</x:v>
      </x:c>
      <x:c r="J1962" t="n">
        <x:f>F1962</x:f>
        <x:v>100.88637532133676</x:v>
      </x:c>
      <x:c r="K1962" t="n">
        <x:f>G1962</x:f>
        <x:v>100.53096491487338</x:v>
      </x:c>
    </x:row>
    <x:row r="1963">
      <x:c r="A1963" t="n">
        <x:v>1946</x:v>
      </x:c>
      <x:c r="B1963" s="40" t="n">
        <x:v>1.7027466749468982</x:v>
      </x:c>
      <x:c r="C1963" s="40" t="n">
        <x:v>2.2903165396486234</x:v>
      </x:c>
      <x:c r="D1963" s="40" t="n">
        <x:v>-1.8864666941175834</x:v>
      </x:c>
      <x:c r="E1963" t="n">
        <x:f>--((B1963^2/$B$4^2+C1963^2/$B$5^2+D1963^2/$B$6^2)&lt;=1)</x:f>
        <x:v>0</x:v>
      </x:c>
      <x:c r="F1963" s="42" t="n">
        <x:f>$B$8*SUM($E$18:E1963)/A1963</x:f>
        <x:v>100.83453237410072</x:v>
      </x:c>
      <x:c r="G1963" s="42" t="n">
        <x:f>$B$11</x:f>
        <x:v>100.53096491487338</x:v>
      </x:c>
      <x:c r="I1963" t="n">
        <x:f>A1963</x:f>
        <x:v>1946</x:v>
      </x:c>
      <x:c r="J1963" t="n">
        <x:f>F1963</x:f>
        <x:v>100.83453237410072</x:v>
      </x:c>
      <x:c r="K1963" t="n">
        <x:f>G1963</x:f>
        <x:v>100.53096491487338</x:v>
      </x:c>
    </x:row>
    <x:row r="1964">
      <x:c r="A1964" t="n">
        <x:v>1947</x:v>
      </x:c>
      <x:c r="B1964" s="40" t="n">
        <x:v>-1.1946067237891391</x:v>
      </x:c>
      <x:c r="C1964" s="40" t="n">
        <x:v>-1.7414360363195212</x:v>
      </x:c>
      <x:c r="D1964" s="40" t="n">
        <x:v>-3.5435286645443105</x:v>
      </x:c>
      <x:c r="E1964" t="n">
        <x:f>--((B1964^2/$B$4^2+C1964^2/$B$5^2+D1964^2/$B$6^2)&lt;=1)</x:f>
        <x:v>0</x:v>
      </x:c>
      <x:c r="F1964" s="42" t="n">
        <x:f>$B$8*SUM($E$18:E1964)/A1964</x:f>
        <x:v>100.78274268104776</x:v>
      </x:c>
      <x:c r="G1964" s="42" t="n">
        <x:f>$B$11</x:f>
        <x:v>100.53096491487338</x:v>
      </x:c>
      <x:c r="I1964" t="n">
        <x:f>A1964</x:f>
        <x:v>1947</x:v>
      </x:c>
      <x:c r="J1964" t="n">
        <x:f>F1964</x:f>
        <x:v>100.78274268104776</x:v>
      </x:c>
      <x:c r="K1964" t="n">
        <x:f>G1964</x:f>
        <x:v>100.53096491487338</x:v>
      </x:c>
    </x:row>
    <x:row r="1965">
      <x:c r="A1965" t="n">
        <x:v>1948</x:v>
      </x:c>
      <x:c r="B1965" s="40" t="n">
        <x:v>1.7182916622688866</x:v>
      </x:c>
      <x:c r="C1965" s="40" t="n">
        <x:v>-2.4532113274417044</x:v>
      </x:c>
      <x:c r="D1965" s="40" t="n">
        <x:v>1.3394318046757006</x:v>
      </x:c>
      <x:c r="E1965" t="n">
        <x:f>--((B1965^2/$B$4^2+C1965^2/$B$5^2+D1965^2/$B$6^2)&lt;=1)</x:f>
        <x:v>0</x:v>
      </x:c>
      <x:c r="F1965" s="42" t="n">
        <x:f>$B$8*SUM($E$18:E1965)/A1965</x:f>
        <x:v>100.73100616016427</x:v>
      </x:c>
      <x:c r="G1965" s="42" t="n">
        <x:f>$B$11</x:f>
        <x:v>100.53096491487338</x:v>
      </x:c>
      <x:c r="I1965" t="n">
        <x:f>A1965</x:f>
        <x:v>1948</x:v>
      </x:c>
      <x:c r="J1965" t="n">
        <x:f>F1965</x:f>
        <x:v>100.73100616016427</x:v>
      </x:c>
      <x:c r="K1965" t="n">
        <x:f>G1965</x:f>
        <x:v>100.53096491487338</x:v>
      </x:c>
    </x:row>
    <x:row r="1966">
      <x:c r="A1966" t="n">
        <x:v>1949</x:v>
      </x:c>
      <x:c r="B1966" s="40" t="n">
        <x:v>-1.9285561632992767</x:v>
      </x:c>
      <x:c r="C1966" s="40" t="n">
        <x:v>2.2544760981578813</x:v>
      </x:c>
      <x:c r="D1966" s="40" t="n">
        <x:v>-1.0530313392518842</x:v>
      </x:c>
      <x:c r="E1966" t="n">
        <x:f>--((B1966^2/$B$4^2+C1966^2/$B$5^2+D1966^2/$B$6^2)&lt;=1)</x:f>
        <x:v>0</x:v>
      </x:c>
      <x:c r="F1966" s="42" t="n">
        <x:f>$B$8*SUM($E$18:E1966)/A1966</x:f>
        <x:v>100.67932272960492</x:v>
      </x:c>
      <x:c r="G1966" s="42" t="n">
        <x:f>$B$11</x:f>
        <x:v>100.53096491487338</x:v>
      </x:c>
      <x:c r="I1966" t="n">
        <x:f>A1966</x:f>
        <x:v>1949</x:v>
      </x:c>
      <x:c r="J1966" t="n">
        <x:f>F1966</x:f>
        <x:v>100.67932272960492</x:v>
      </x:c>
      <x:c r="K1966" t="n">
        <x:f>G1966</x:f>
        <x:v>100.53096491487338</x:v>
      </x:c>
    </x:row>
    <x:row r="1967">
      <x:c r="A1967" t="n">
        <x:v>1950</x:v>
      </x:c>
      <x:c r="B1967" s="40" t="n">
        <x:v>1.6998498908277817</x:v>
      </x:c>
      <x:c r="C1967" s="40" t="n">
        <x:v>-1.228034543539602</x:v>
      </x:c>
      <x:c r="D1967" s="40" t="n">
        <x:v>1.216387865638934</x:v>
      </x:c>
      <x:c r="E1967" t="n">
        <x:f>--((B1967^2/$B$4^2+C1967^2/$B$5^2+D1967^2/$B$6^2)&lt;=1)</x:f>
        <x:v>1</x:v>
      </x:c>
      <x:c r="F1967" s="42" t="n">
        <x:f>$B$8*SUM($E$18:E1967)/A1967</x:f>
        <x:v>100.72615384615385</x:v>
      </x:c>
      <x:c r="G1967" s="42" t="n">
        <x:f>$B$11</x:f>
        <x:v>100.53096491487338</x:v>
      </x:c>
      <x:c r="I1967" t="n">
        <x:f>A1967</x:f>
        <x:v>1950</x:v>
      </x:c>
      <x:c r="J1967" t="n">
        <x:f>F1967</x:f>
        <x:v>100.72615384615385</x:v>
      </x:c>
      <x:c r="K1967" t="n">
        <x:f>G1967</x:f>
        <x:v>100.53096491487338</x:v>
      </x:c>
    </x:row>
    <x:row r="1968">
      <x:c r="A1968" t="n">
        <x:v>1951</x:v>
      </x:c>
      <x:c r="B1968" s="40" t="n">
        <x:v>1.8077151603236317</x:v>
      </x:c>
      <x:c r="C1968" s="40" t="n">
        <x:v>-0.4474642209975852</x:v>
      </x:c>
      <x:c r="D1968" s="40" t="n">
        <x:v>-1.2237523255712777</x:v>
      </x:c>
      <x:c r="E1968" t="n">
        <x:f>--((B1968^2/$B$4^2+C1968^2/$B$5^2+D1968^2/$B$6^2)&lt;=1)</x:f>
        <x:v>1</x:v>
      </x:c>
      <x:c r="F1968" s="42" t="n">
        <x:f>$B$8*SUM($E$18:E1968)/A1968</x:f>
        <x:v>100.77293695540749</x:v>
      </x:c>
      <x:c r="G1968" s="42" t="n">
        <x:f>$B$11</x:f>
        <x:v>100.53096491487338</x:v>
      </x:c>
      <x:c r="I1968" t="n">
        <x:f>A1968</x:f>
        <x:v>1951</x:v>
      </x:c>
      <x:c r="J1968" t="n">
        <x:f>F1968</x:f>
        <x:v>100.77293695540749</x:v>
      </x:c>
      <x:c r="K1968" t="n">
        <x:f>G1968</x:f>
        <x:v>100.53096491487338</x:v>
      </x:c>
    </x:row>
    <x:row r="1969">
      <x:c r="A1969" t="n">
        <x:v>1952</x:v>
      </x:c>
      <x:c r="B1969" s="40" t="n">
        <x:v>-1.9517925479362992</x:v>
      </x:c>
      <x:c r="C1969" s="40" t="n">
        <x:v>2.754158304074654</x:v>
      </x:c>
      <x:c r="D1969" s="40" t="n">
        <x:v>-0.3540741536040466</x:v>
      </x:c>
      <x:c r="E1969" t="n">
        <x:f>--((B1969^2/$B$4^2+C1969^2/$B$5^2+D1969^2/$B$6^2)&lt;=1)</x:f>
        <x:v>0</x:v>
      </x:c>
      <x:c r="F1969" s="42" t="n">
        <x:f>$B$8*SUM($E$18:E1969)/A1969</x:f>
        <x:v>100.72131147540983</x:v>
      </x:c>
      <x:c r="G1969" s="42" t="n">
        <x:f>$B$11</x:f>
        <x:v>100.53096491487338</x:v>
      </x:c>
      <x:c r="I1969" t="n">
        <x:f>A1969</x:f>
        <x:v>1952</x:v>
      </x:c>
      <x:c r="J1969" t="n">
        <x:f>F1969</x:f>
        <x:v>100.72131147540983</x:v>
      </x:c>
      <x:c r="K1969" t="n">
        <x:f>G1969</x:f>
        <x:v>100.53096491487338</x:v>
      </x:c>
    </x:row>
    <x:row r="1970">
      <x:c r="A1970" t="n">
        <x:v>1953</x:v>
      </x:c>
      <x:c r="B1970" s="40" t="n">
        <x:v>1.0520771871069923</x:v>
      </x:c>
      <x:c r="C1970" s="40" t="n">
        <x:v>2.666215314946643</x:v>
      </x:c>
      <x:c r="D1970" s="40" t="n">
        <x:v>-0.3363119186705532</x:v>
      </x:c>
      <x:c r="E1970" t="n">
        <x:f>--((B1970^2/$B$4^2+C1970^2/$B$5^2+D1970^2/$B$6^2)&lt;=1)</x:f>
        <x:v>0</x:v>
      </x:c>
      <x:c r="F1970" s="42" t="n">
        <x:f>$B$8*SUM($E$18:E1970)/A1970</x:f>
        <x:v>100.66973886328725</x:v>
      </x:c>
      <x:c r="G1970" s="42" t="n">
        <x:f>$B$11</x:f>
        <x:v>100.53096491487338</x:v>
      </x:c>
      <x:c r="I1970" t="n">
        <x:f>A1970</x:f>
        <x:v>1953</x:v>
      </x:c>
      <x:c r="J1970" t="n">
        <x:f>F1970</x:f>
        <x:v>100.66973886328725</x:v>
      </x:c>
      <x:c r="K1970" t="n">
        <x:f>G1970</x:f>
        <x:v>100.53096491487338</x:v>
      </x:c>
    </x:row>
    <x:row r="1971">
      <x:c r="A1971" t="n">
        <x:v>1954</x:v>
      </x:c>
      <x:c r="B1971" s="40" t="n">
        <x:v>1.8808062902793736</x:v>
      </x:c>
      <x:c r="C1971" s="40" t="n">
        <x:v>1.2895013355895069</x:v>
      </x:c>
      <x:c r="D1971" s="40" t="n">
        <x:v>-3.635354770659643</x:v>
      </x:c>
      <x:c r="E1971" t="n">
        <x:f>--((B1971^2/$B$4^2+C1971^2/$B$5^2+D1971^2/$B$6^2)&lt;=1)</x:f>
        <x:v>0</x:v>
      </x:c>
      <x:c r="F1971" s="42" t="n">
        <x:f>$B$8*SUM($E$18:E1971)/A1971</x:f>
        <x:v>100.61821903787103</x:v>
      </x:c>
      <x:c r="G1971" s="42" t="n">
        <x:f>$B$11</x:f>
        <x:v>100.53096491487338</x:v>
      </x:c>
      <x:c r="I1971" t="n">
        <x:f>A1971</x:f>
        <x:v>1954</x:v>
      </x:c>
      <x:c r="J1971" t="n">
        <x:f>F1971</x:f>
        <x:v>100.61821903787103</x:v>
      </x:c>
      <x:c r="K1971" t="n">
        <x:f>G1971</x:f>
        <x:v>100.53096491487338</x:v>
      </x:c>
    </x:row>
    <x:row r="1972">
      <x:c r="A1972" t="n">
        <x:v>1955</x:v>
      </x:c>
      <x:c r="B1972" s="40" t="n">
        <x:v>1.6236088752711133</x:v>
      </x:c>
      <x:c r="C1972" s="40" t="n">
        <x:v>-2.5863662896046717</x:v>
      </x:c>
      <x:c r="D1972" s="40" t="n">
        <x:v>-0.5581877892319715</x:v>
      </x:c>
      <x:c r="E1972" t="n">
        <x:f>--((B1972^2/$B$4^2+C1972^2/$B$5^2+D1972^2/$B$6^2)&lt;=1)</x:f>
        <x:v>0</x:v>
      </x:c>
      <x:c r="F1972" s="42" t="n">
        <x:f>$B$8*SUM($E$18:E1972)/A1972</x:f>
        <x:v>100.56675191815857</x:v>
      </x:c>
      <x:c r="G1972" s="42" t="n">
        <x:f>$B$11</x:f>
        <x:v>100.53096491487338</x:v>
      </x:c>
      <x:c r="I1972" t="n">
        <x:f>A1972</x:f>
        <x:v>1955</x:v>
      </x:c>
      <x:c r="J1972" t="n">
        <x:f>F1972</x:f>
        <x:v>100.56675191815857</x:v>
      </x:c>
      <x:c r="K1972" t="n">
        <x:f>G1972</x:f>
        <x:v>100.53096491487338</x:v>
      </x:c>
    </x:row>
    <x:row r="1973">
      <x:c r="A1973" t="n">
        <x:v>1956</x:v>
      </x:c>
      <x:c r="B1973" s="40" t="n">
        <x:v>1.882840644784852</x:v>
      </x:c>
      <x:c r="C1973" s="40" t="n">
        <x:v>0.5600407524683848</x:v>
      </x:c>
      <x:c r="D1973" s="40" t="n">
        <x:v>1.1285149049216212</x:v>
      </x:c>
      <x:c r="E1973" t="n">
        <x:f>--((B1973^2/$B$4^2+C1973^2/$B$5^2+D1973^2/$B$6^2)&lt;=1)</x:f>
        <x:v>0</x:v>
      </x:c>
      <x:c r="F1973" s="42" t="n">
        <x:f>$B$8*SUM($E$18:E1973)/A1973</x:f>
        <x:v>100.51533742331289</x:v>
      </x:c>
      <x:c r="G1973" s="42" t="n">
        <x:f>$B$11</x:f>
        <x:v>100.53096491487338</x:v>
      </x:c>
      <x:c r="I1973" t="n">
        <x:f>A1973</x:f>
        <x:v>1956</x:v>
      </x:c>
      <x:c r="J1973" t="n">
        <x:f>F1973</x:f>
        <x:v>100.51533742331289</x:v>
      </x:c>
      <x:c r="K1973" t="n">
        <x:f>G1973</x:f>
        <x:v>100.53096491487338</x:v>
      </x:c>
    </x:row>
    <x:row r="1974">
      <x:c r="A1974" t="n">
        <x:v>1957</x:v>
      </x:c>
      <x:c r="B1974" s="40" t="n">
        <x:v>0.2012940227905573</x:v>
      </x:c>
      <x:c r="C1974" s="40" t="n">
        <x:v>2.934467610253547</x:v>
      </x:c>
      <x:c r="D1974" s="40" t="n">
        <x:v>0.3684179686034703</x:v>
      </x:c>
      <x:c r="E1974" t="n">
        <x:f>--((B1974^2/$B$4^2+C1974^2/$B$5^2+D1974^2/$B$6^2)&lt;=1)</x:f>
        <x:v>1</x:v>
      </x:c>
      <x:c r="F1974" s="42" t="n">
        <x:f>$B$8*SUM($E$18:E1974)/A1974</x:f>
        <x:v>100.56208482370975</x:v>
      </x:c>
      <x:c r="G1974" s="42" t="n">
        <x:f>$B$11</x:f>
        <x:v>100.53096491487338</x:v>
      </x:c>
      <x:c r="I1974" t="n">
        <x:f>A1974</x:f>
        <x:v>1957</x:v>
      </x:c>
      <x:c r="J1974" t="n">
        <x:f>F1974</x:f>
        <x:v>100.56208482370975</x:v>
      </x:c>
      <x:c r="K1974" t="n">
        <x:f>G1974</x:f>
        <x:v>100.53096491487338</x:v>
      </x:c>
    </x:row>
    <x:row r="1975">
      <x:c r="A1975" t="n">
        <x:v>1958</x:v>
      </x:c>
      <x:c r="B1975" s="40" t="n">
        <x:v>-1.687375440458447</x:v>
      </x:c>
      <x:c r="C1975" s="40" t="n">
        <x:v>2.681497370543883</x:v>
      </x:c>
      <x:c r="D1975" s="40" t="n">
        <x:v>-3.397729869773702</x:v>
      </x:c>
      <x:c r="E1975" t="n">
        <x:f>--((B1975^2/$B$4^2+C1975^2/$B$5^2+D1975^2/$B$6^2)&lt;=1)</x:f>
        <x:v>0</x:v>
      </x:c>
      <x:c r="F1975" s="42" t="n">
        <x:f>$B$8*SUM($E$18:E1975)/A1975</x:f>
        <x:v>100.51072522982635</x:v>
      </x:c>
      <x:c r="G1975" s="42" t="n">
        <x:f>$B$11</x:f>
        <x:v>100.53096491487338</x:v>
      </x:c>
      <x:c r="I1975" t="n">
        <x:f>A1975</x:f>
        <x:v>1958</x:v>
      </x:c>
      <x:c r="J1975" t="n">
        <x:f>F1975</x:f>
        <x:v>100.51072522982635</x:v>
      </x:c>
      <x:c r="K1975" t="n">
        <x:f>G1975</x:f>
        <x:v>100.53096491487338</x:v>
      </x:c>
    </x:row>
    <x:row r="1976">
      <x:c r="A1976" t="n">
        <x:v>1959</x:v>
      </x:c>
      <x:c r="B1976" s="40" t="n">
        <x:v>1.3991567912201446</x:v>
      </x:c>
      <x:c r="C1976" s="40" t="n">
        <x:v>-2.3639850448803426</x:v>
      </x:c>
      <x:c r="D1976" s="40" t="n">
        <x:v>1.3444478854939907</x:v>
      </x:c>
      <x:c r="E1976" t="n">
        <x:f>--((B1976^2/$B$4^2+C1976^2/$B$5^2+D1976^2/$B$6^2)&lt;=1)</x:f>
        <x:v>0</x:v>
      </x:c>
      <x:c r="F1976" s="42" t="n">
        <x:f>$B$8*SUM($E$18:E1976)/A1976</x:f>
        <x:v>100.4594180704441</x:v>
      </x:c>
      <x:c r="G1976" s="42" t="n">
        <x:f>$B$11</x:f>
        <x:v>100.53096491487338</x:v>
      </x:c>
      <x:c r="I1976" t="n">
        <x:f>A1976</x:f>
        <x:v>1959</x:v>
      </x:c>
      <x:c r="J1976" t="n">
        <x:f>F1976</x:f>
        <x:v>100.4594180704441</x:v>
      </x:c>
      <x:c r="K1976" t="n">
        <x:f>G1976</x:f>
        <x:v>100.53096491487338</x:v>
      </x:c>
    </x:row>
    <x:row r="1977">
      <x:c r="A1977" t="n">
        <x:v>1960</x:v>
      </x:c>
      <x:c r="B1977" s="40" t="n">
        <x:v>0.4553130232360463</x:v>
      </x:c>
      <x:c r="C1977" s="40" t="n">
        <x:v>-0.6241961814577879</x:v>
      </x:c>
      <x:c r="D1977" s="40" t="n">
        <x:v>-1.5290979606779125</x:v>
      </x:c>
      <x:c r="E1977" t="n">
        <x:f>--((B1977^2/$B$4^2+C1977^2/$B$5^2+D1977^2/$B$6^2)&lt;=1)</x:f>
        <x:v>1</x:v>
      </x:c>
      <x:c r="F1977" s="42" t="n">
        <x:f>$B$8*SUM($E$18:E1977)/A1977</x:f>
        <x:v>100.5061224489796</x:v>
      </x:c>
      <x:c r="G1977" s="42" t="n">
        <x:f>$B$11</x:f>
        <x:v>100.53096491487338</x:v>
      </x:c>
      <x:c r="I1977" t="n">
        <x:f>A1977</x:f>
        <x:v>1960</x:v>
      </x:c>
      <x:c r="J1977" t="n">
        <x:f>F1977</x:f>
        <x:v>100.5061224489796</x:v>
      </x:c>
      <x:c r="K1977" t="n">
        <x:f>G1977</x:f>
        <x:v>100.53096491487338</x:v>
      </x:c>
    </x:row>
    <x:row r="1978">
      <x:c r="A1978" t="n">
        <x:v>1961</x:v>
      </x:c>
      <x:c r="B1978" s="40" t="n">
        <x:v>0.4589469767531562</x:v>
      </x:c>
      <x:c r="C1978" s="40" t="n">
        <x:v>-1.1067795245829641</x:v>
      </x:c>
      <x:c r="D1978" s="40" t="n">
        <x:v>-3.8845215777678233</x:v>
      </x:c>
      <x:c r="E1978" t="n">
        <x:f>--((B1978^2/$B$4^2+C1978^2/$B$5^2+D1978^2/$B$6^2)&lt;=1)</x:f>
        <x:v>0</x:v>
      </x:c>
      <x:c r="F1978" s="42" t="n">
        <x:f>$B$8*SUM($E$18:E1978)/A1978</x:f>
        <x:v>100.45486996430392</x:v>
      </x:c>
      <x:c r="G1978" s="42" t="n">
        <x:f>$B$11</x:f>
        <x:v>100.53096491487338</x:v>
      </x:c>
      <x:c r="I1978" t="n">
        <x:f>A1978</x:f>
        <x:v>1961</x:v>
      </x:c>
      <x:c r="J1978" t="n">
        <x:f>F1978</x:f>
        <x:v>100.45486996430392</x:v>
      </x:c>
      <x:c r="K1978" t="n">
        <x:f>G1978</x:f>
        <x:v>100.53096491487338</x:v>
      </x:c>
    </x:row>
    <x:row r="1979">
      <x:c r="A1979" t="n">
        <x:v>1962</x:v>
      </x:c>
      <x:c r="B1979" s="40" t="n">
        <x:v>-0.3309855605652552</x:v>
      </x:c>
      <x:c r="C1979" s="40" t="n">
        <x:v>-2.2216313585705665</x:v>
      </x:c>
      <x:c r="D1979" s="40" t="n">
        <x:v>-2.7552355433260383</x:v>
      </x:c>
      <x:c r="E1979" t="n">
        <x:f>--((B1979^2/$B$4^2+C1979^2/$B$5^2+D1979^2/$B$6^2)&lt;=1)</x:f>
        <x:v>0</x:v>
      </x:c>
      <x:c r="F1979" s="42" t="n">
        <x:f>$B$8*SUM($E$18:E1979)/A1979</x:f>
        <x:v>100.40366972477064</x:v>
      </x:c>
      <x:c r="G1979" s="42" t="n">
        <x:f>$B$11</x:f>
        <x:v>100.53096491487338</x:v>
      </x:c>
      <x:c r="I1979" t="n">
        <x:f>A1979</x:f>
        <x:v>1962</x:v>
      </x:c>
      <x:c r="J1979" t="n">
        <x:f>F1979</x:f>
        <x:v>100.40366972477064</x:v>
      </x:c>
      <x:c r="K1979" t="n">
        <x:f>G1979</x:f>
        <x:v>100.53096491487338</x:v>
      </x:c>
    </x:row>
    <x:row r="1980">
      <x:c r="A1980" t="n">
        <x:v>1963</x:v>
      </x:c>
      <x:c r="B1980" s="40" t="n">
        <x:v>0.2873679060844365</x:v>
      </x:c>
      <x:c r="C1980" s="40" t="n">
        <x:v>1.1687898674925652</x:v>
      </x:c>
      <x:c r="D1980" s="40" t="n">
        <x:v>-0.019522741467524085</x:v>
      </x:c>
      <x:c r="E1980" t="n">
        <x:f>--((B1980^2/$B$4^2+C1980^2/$B$5^2+D1980^2/$B$6^2)&lt;=1)</x:f>
        <x:v>1</x:v>
      </x:c>
      <x:c r="F1980" s="42" t="n">
        <x:f>$B$8*SUM($E$18:E1980)/A1980</x:f>
        <x:v>100.45033112582782</x:v>
      </x:c>
      <x:c r="G1980" s="42" t="n">
        <x:f>$B$11</x:f>
        <x:v>100.53096491487338</x:v>
      </x:c>
      <x:c r="I1980" t="n">
        <x:f>A1980</x:f>
        <x:v>1963</x:v>
      </x:c>
      <x:c r="J1980" t="n">
        <x:f>F1980</x:f>
        <x:v>100.45033112582782</x:v>
      </x:c>
      <x:c r="K1980" t="n">
        <x:f>G1980</x:f>
        <x:v>100.53096491487338</x:v>
      </x:c>
    </x:row>
    <x:row r="1981">
      <x:c r="A1981" t="n">
        <x:v>1964</x:v>
      </x:c>
      <x:c r="B1981" s="40" t="n">
        <x:v>-1.3856808836555419</x:v>
      </x:c>
      <x:c r="C1981" s="40" t="n">
        <x:v>-1.3569098138385796</x:v>
      </x:c>
      <x:c r="D1981" s="40" t="n">
        <x:v>-1.5167867277594507</x:v>
      </x:c>
      <x:c r="E1981" t="n">
        <x:f>--((B1981^2/$B$4^2+C1981^2/$B$5^2+D1981^2/$B$6^2)&lt;=1)</x:f>
        <x:v>1</x:v>
      </x:c>
      <x:c r="F1981" s="42" t="n">
        <x:f>$B$8*SUM($E$18:E1981)/A1981</x:f>
        <x:v>100.4969450101833</x:v>
      </x:c>
      <x:c r="G1981" s="42" t="n">
        <x:f>$B$11</x:f>
        <x:v>100.53096491487338</x:v>
      </x:c>
      <x:c r="I1981" t="n">
        <x:f>A1981</x:f>
        <x:v>1964</x:v>
      </x:c>
      <x:c r="J1981" t="n">
        <x:f>F1981</x:f>
        <x:v>100.4969450101833</x:v>
      </x:c>
      <x:c r="K1981" t="n">
        <x:f>G1981</x:f>
        <x:v>100.53096491487338</x:v>
      </x:c>
    </x:row>
    <x:row r="1982">
      <x:c r="A1982" t="n">
        <x:v>1965</x:v>
      </x:c>
      <x:c r="B1982" s="40" t="n">
        <x:v>0.9590801062646013</x:v>
      </x:c>
      <x:c r="C1982" s="40" t="n">
        <x:v>-0.9308051812482132</x:v>
      </x:c>
      <x:c r="D1982" s="40" t="n">
        <x:v>1.5550641100284066</x:v>
      </x:c>
      <x:c r="E1982" t="n">
        <x:f>--((B1982^2/$B$4^2+C1982^2/$B$5^2+D1982^2/$B$6^2)&lt;=1)</x:f>
        <x:v>1</x:v>
      </x:c>
      <x:c r="F1982" s="42" t="n">
        <x:f>$B$8*SUM($E$18:E1982)/A1982</x:f>
        <x:v>100.54351145038169</x:v>
      </x:c>
      <x:c r="G1982" s="42" t="n">
        <x:f>$B$11</x:f>
        <x:v>100.53096491487338</x:v>
      </x:c>
      <x:c r="I1982" t="n">
        <x:f>A1982</x:f>
        <x:v>1965</x:v>
      </x:c>
      <x:c r="J1982" t="n">
        <x:f>F1982</x:f>
        <x:v>100.54351145038169</x:v>
      </x:c>
      <x:c r="K1982" t="n">
        <x:f>G1982</x:f>
        <x:v>100.53096491487338</x:v>
      </x:c>
    </x:row>
    <x:row r="1983">
      <x:c r="A1983" t="n">
        <x:v>1966</x:v>
      </x:c>
      <x:c r="B1983" s="40" t="n">
        <x:v>-1.6999307705938307</x:v>
      </x:c>
      <x:c r="C1983" s="40" t="n">
        <x:v>-2.457846739791492</x:v>
      </x:c>
      <x:c r="D1983" s="40" t="n">
        <x:v>-2.0747721954738845</x:v>
      </x:c>
      <x:c r="E1983" t="n">
        <x:f>--((B1983^2/$B$4^2+C1983^2/$B$5^2+D1983^2/$B$6^2)&lt;=1)</x:f>
        <x:v>0</x:v>
      </x:c>
      <x:c r="F1983" s="42" t="n">
        <x:f>$B$8*SUM($E$18:E1983)/A1983</x:f>
        <x:v>100.49237029501526</x:v>
      </x:c>
      <x:c r="G1983" s="42" t="n">
        <x:f>$B$11</x:f>
        <x:v>100.53096491487338</x:v>
      </x:c>
      <x:c r="I1983" t="n">
        <x:f>A1983</x:f>
        <x:v>1966</x:v>
      </x:c>
      <x:c r="J1983" t="n">
        <x:f>F1983</x:f>
        <x:v>100.49237029501526</x:v>
      </x:c>
      <x:c r="K1983" t="n">
        <x:f>G1983</x:f>
        <x:v>100.53096491487338</x:v>
      </x:c>
    </x:row>
    <x:row r="1984">
      <x:c r="A1984" t="n">
        <x:v>1967</x:v>
      </x:c>
      <x:c r="B1984" s="40" t="n">
        <x:v>0.9191230681751681</x:v>
      </x:c>
      <x:c r="C1984" s="40" t="n">
        <x:v>-0.012194647328006347</x:v>
      </x:c>
      <x:c r="D1984" s="40" t="n">
        <x:v>2.182369347801349</x:v>
      </x:c>
      <x:c r="E1984" t="n">
        <x:f>--((B1984^2/$B$4^2+C1984^2/$B$5^2+D1984^2/$B$6^2)&lt;=1)</x:f>
        <x:v>1</x:v>
      </x:c>
      <x:c r="F1984" s="42" t="n">
        <x:f>$B$8*SUM($E$18:E1984)/A1984</x:f>
        <x:v>100.53889171326894</x:v>
      </x:c>
      <x:c r="G1984" s="42" t="n">
        <x:f>$B$11</x:f>
        <x:v>100.53096491487338</x:v>
      </x:c>
      <x:c r="I1984" t="n">
        <x:f>A1984</x:f>
        <x:v>1967</x:v>
      </x:c>
      <x:c r="J1984" t="n">
        <x:f>F1984</x:f>
        <x:v>100.53889171326894</x:v>
      </x:c>
      <x:c r="K1984" t="n">
        <x:f>G1984</x:f>
        <x:v>100.53096491487338</x:v>
      </x:c>
    </x:row>
    <x:row r="1985">
      <x:c r="A1985" t="n">
        <x:v>1968</x:v>
      </x:c>
      <x:c r="B1985" s="40" t="n">
        <x:v>1.395913690499416</x:v>
      </x:c>
      <x:c r="C1985" s="40" t="n">
        <x:v>-2.050992818087661</x:v>
      </x:c>
      <x:c r="D1985" s="40" t="n">
        <x:v>-1.7081825488481606</x:v>
      </x:c>
      <x:c r="E1985" t="n">
        <x:f>--((B1985^2/$B$4^2+C1985^2/$B$5^2+D1985^2/$B$6^2)&lt;=1)</x:f>
        <x:v>0</x:v>
      </x:c>
      <x:c r="F1985" s="42" t="n">
        <x:f>$B$8*SUM($E$18:E1985)/A1985</x:f>
        <x:v>100.48780487804878</x:v>
      </x:c>
      <x:c r="G1985" s="42" t="n">
        <x:f>$B$11</x:f>
        <x:v>100.53096491487338</x:v>
      </x:c>
      <x:c r="I1985" t="n">
        <x:f>A1985</x:f>
        <x:v>1968</x:v>
      </x:c>
      <x:c r="J1985" t="n">
        <x:f>F1985</x:f>
        <x:v>100.48780487804878</x:v>
      </x:c>
      <x:c r="K1985" t="n">
        <x:f>G1985</x:f>
        <x:v>100.53096491487338</x:v>
      </x:c>
    </x:row>
    <x:row r="1986">
      <x:c r="A1986" t="n">
        <x:v>1969</x:v>
      </x:c>
      <x:c r="B1986" s="40" t="n">
        <x:v>-0.11012528974204727</x:v>
      </x:c>
      <x:c r="C1986" s="40" t="n">
        <x:v>-0.40745745852306525</x:v>
      </x:c>
      <x:c r="D1986" s="40" t="n">
        <x:v>0.9669096606753254</x:v>
      </x:c>
      <x:c r="E1986" t="n">
        <x:f>--((B1986^2/$B$4^2+C1986^2/$B$5^2+D1986^2/$B$6^2)&lt;=1)</x:f>
        <x:v>1</x:v>
      </x:c>
      <x:c r="F1986" s="42" t="n">
        <x:f>$B$8*SUM($E$18:E1986)/A1986</x:f>
        <x:v>100.534281361097</x:v>
      </x:c>
      <x:c r="G1986" s="42" t="n">
        <x:f>$B$11</x:f>
        <x:v>100.53096491487338</x:v>
      </x:c>
      <x:c r="I1986" t="n">
        <x:f>A1986</x:f>
        <x:v>1969</x:v>
      </x:c>
      <x:c r="J1986" t="n">
        <x:f>F1986</x:f>
        <x:v>100.534281361097</x:v>
      </x:c>
      <x:c r="K1986" t="n">
        <x:f>G1986</x:f>
        <x:v>100.53096491487338</x:v>
      </x:c>
    </x:row>
    <x:row r="1987">
      <x:c r="A1987" t="n">
        <x:v>1970</x:v>
      </x:c>
      <x:c r="B1987" s="40" t="n">
        <x:v>0.03932146422819738</x:v>
      </x:c>
      <x:c r="C1987" s="40" t="n">
        <x:v>-2.1399466673801912</x:v>
      </x:c>
      <x:c r="D1987" s="40" t="n">
        <x:v>2.393731042009441</x:v>
      </x:c>
      <x:c r="E1987" t="n">
        <x:f>--((B1987^2/$B$4^2+C1987^2/$B$5^2+D1987^2/$B$6^2)&lt;=1)</x:f>
        <x:v>1</x:v>
      </x:c>
      <x:c r="F1987" s="42" t="n">
        <x:f>$B$8*SUM($E$18:E1987)/A1987</x:f>
        <x:v>100.58071065989847</x:v>
      </x:c>
      <x:c r="G1987" s="42" t="n">
        <x:f>$B$11</x:f>
        <x:v>100.53096491487338</x:v>
      </x:c>
      <x:c r="I1987" t="n">
        <x:f>A1987</x:f>
        <x:v>1970</x:v>
      </x:c>
      <x:c r="J1987" t="n">
        <x:f>F1987</x:f>
        <x:v>100.58071065989847</x:v>
      </x:c>
      <x:c r="K1987" t="n">
        <x:f>G1987</x:f>
        <x:v>100.53096491487338</x:v>
      </x:c>
    </x:row>
    <x:row r="1988">
      <x:c r="A1988" t="n">
        <x:v>1971</x:v>
      </x:c>
      <x:c r="B1988" s="40" t="n">
        <x:v>-0.751142908311687</x:v>
      </x:c>
      <x:c r="C1988" s="40" t="n">
        <x:v>2.723099339700875</x:v>
      </x:c>
      <x:c r="D1988" s="40" t="n">
        <x:v>-0.9155509708500089</x:v>
      </x:c>
      <x:c r="E1988" t="n">
        <x:f>--((B1988^2/$B$4^2+C1988^2/$B$5^2+D1988^2/$B$6^2)&lt;=1)</x:f>
        <x:v>0</x:v>
      </x:c>
      <x:c r="F1988" s="42" t="n">
        <x:f>$B$8*SUM($E$18:E1988)/A1988</x:f>
        <x:v>100.5296803652968</x:v>
      </x:c>
      <x:c r="G1988" s="42" t="n">
        <x:f>$B$11</x:f>
        <x:v>100.53096491487338</x:v>
      </x:c>
      <x:c r="I1988" t="n">
        <x:f>A1988</x:f>
        <x:v>1971</x:v>
      </x:c>
      <x:c r="J1988" t="n">
        <x:f>F1988</x:f>
        <x:v>100.5296803652968</x:v>
      </x:c>
      <x:c r="K1988" t="n">
        <x:f>G1988</x:f>
        <x:v>100.53096491487338</x:v>
      </x:c>
    </x:row>
    <x:row r="1989">
      <x:c r="A1989" t="n">
        <x:v>1972</x:v>
      </x:c>
      <x:c r="B1989" s="40" t="n">
        <x:v>1.8778343349023503</x:v>
      </x:c>
      <x:c r="C1989" s="40" t="n">
        <x:v>-2.1301048008171444</x:v>
      </x:c>
      <x:c r="D1989" s="40" t="n">
        <x:v>-3.6255604654762363</x:v>
      </x:c>
      <x:c r="E1989" t="n">
        <x:f>--((B1989^2/$B$4^2+C1989^2/$B$5^2+D1989^2/$B$6^2)&lt;=1)</x:f>
        <x:v>0</x:v>
      </x:c>
      <x:c r="F1989" s="42" t="n">
        <x:f>$B$8*SUM($E$18:E1989)/A1989</x:f>
        <x:v>100.4787018255578</x:v>
      </x:c>
      <x:c r="G1989" s="42" t="n">
        <x:f>$B$11</x:f>
        <x:v>100.53096491487338</x:v>
      </x:c>
      <x:c r="I1989" t="n">
        <x:f>A1989</x:f>
        <x:v>1972</x:v>
      </x:c>
      <x:c r="J1989" t="n">
        <x:f>F1989</x:f>
        <x:v>100.4787018255578</x:v>
      </x:c>
      <x:c r="K1989" t="n">
        <x:f>G1989</x:f>
        <x:v>100.53096491487338</x:v>
      </x:c>
    </x:row>
    <x:row r="1990">
      <x:c r="A1990" t="n">
        <x:v>1973</x:v>
      </x:c>
      <x:c r="B1990" s="40" t="n">
        <x:v>0.9324978982381813</x:v>
      </x:c>
      <x:c r="C1990" s="40" t="n">
        <x:v>0.13132292310379956</x:v>
      </x:c>
      <x:c r="D1990" s="40" t="n">
        <x:v>0.28356416847104704</x:v>
      </x:c>
      <x:c r="E1990" t="n">
        <x:f>--((B1990^2/$B$4^2+C1990^2/$B$5^2+D1990^2/$B$6^2)&lt;=1)</x:f>
        <x:v>1</x:v>
      </x:c>
      <x:c r="F1990" s="42" t="n">
        <x:f>$B$8*SUM($E$18:E1990)/A1990</x:f>
        <x:v>100.5250886974151</x:v>
      </x:c>
      <x:c r="G1990" s="42" t="n">
        <x:f>$B$11</x:f>
        <x:v>100.53096491487338</x:v>
      </x:c>
      <x:c r="I1990" t="n">
        <x:f>A1990</x:f>
        <x:v>1973</x:v>
      </x:c>
      <x:c r="J1990" t="n">
        <x:f>F1990</x:f>
        <x:v>100.5250886974151</x:v>
      </x:c>
      <x:c r="K1990" t="n">
        <x:f>G1990</x:f>
        <x:v>100.53096491487338</x:v>
      </x:c>
    </x:row>
    <x:row r="1991">
      <x:c r="A1991" t="n">
        <x:v>1974</x:v>
      </x:c>
      <x:c r="B1991" s="40" t="n">
        <x:v>-0.5240457867986201</x:v>
      </x:c>
      <x:c r="C1991" s="40" t="n">
        <x:v>-1.818121048086075</x:v>
      </x:c>
      <x:c r="D1991" s="40" t="n">
        <x:v>3.963272492356002</x:v>
      </x:c>
      <x:c r="E1991" t="n">
        <x:f>--((B1991^2/$B$4^2+C1991^2/$B$5^2+D1991^2/$B$6^2)&lt;=1)</x:f>
        <x:v>0</x:v>
      </x:c>
      <x:c r="F1991" s="42" t="n">
        <x:f>$B$8*SUM($E$18:E1991)/A1991</x:f>
        <x:v>100.4741641337386</x:v>
      </x:c>
      <x:c r="G1991" s="42" t="n">
        <x:f>$B$11</x:f>
        <x:v>100.53096491487338</x:v>
      </x:c>
      <x:c r="I1991" t="n">
        <x:f>A1991</x:f>
        <x:v>1974</x:v>
      </x:c>
      <x:c r="J1991" t="n">
        <x:f>F1991</x:f>
        <x:v>100.4741641337386</x:v>
      </x:c>
      <x:c r="K1991" t="n">
        <x:f>G1991</x:f>
        <x:v>100.53096491487338</x:v>
      </x:c>
    </x:row>
    <x:row r="1992">
      <x:c r="A1992" t="n">
        <x:v>1975</x:v>
      </x:c>
      <x:c r="B1992" s="40" t="n">
        <x:v>-1.3007704550679797</x:v>
      </x:c>
      <x:c r="C1992" s="40" t="n">
        <x:v>-2.5418291791643446</x:v>
      </x:c>
      <x:c r="D1992" s="40" t="n">
        <x:v>3.7519349310153087</x:v>
      </x:c>
      <x:c r="E1992" t="n">
        <x:f>--((B1992^2/$B$4^2+C1992^2/$B$5^2+D1992^2/$B$6^2)&lt;=1)</x:f>
        <x:v>0</x:v>
      </x:c>
      <x:c r="F1992" s="42" t="n">
        <x:f>$B$8*SUM($E$18:E1992)/A1992</x:f>
        <x:v>100.4232911392405</x:v>
      </x:c>
      <x:c r="G1992" s="42" t="n">
        <x:f>$B$11</x:f>
        <x:v>100.53096491487338</x:v>
      </x:c>
      <x:c r="I1992" t="n">
        <x:f>A1992</x:f>
        <x:v>1975</x:v>
      </x:c>
      <x:c r="J1992" t="n">
        <x:f>F1992</x:f>
        <x:v>100.4232911392405</x:v>
      </x:c>
      <x:c r="K1992" t="n">
        <x:f>G1992</x:f>
        <x:v>100.53096491487338</x:v>
      </x:c>
    </x:row>
    <x:row r="1993">
      <x:c r="A1993" t="n">
        <x:v>1976</x:v>
      </x:c>
      <x:c r="B1993" s="40" t="n">
        <x:v>-1.1216816311916347</x:v>
      </x:c>
      <x:c r="C1993" s="40" t="n">
        <x:v>-1.786148286947411</x:v>
      </x:c>
      <x:c r="D1993" s="40" t="n">
        <x:v>-2.2318224484466542</x:v>
      </x:c>
      <x:c r="E1993" t="n">
        <x:f>--((B1993^2/$B$4^2+C1993^2/$B$5^2+D1993^2/$B$6^2)&lt;=1)</x:f>
        <x:v>1</x:v>
      </x:c>
      <x:c r="F1993" s="42" t="n">
        <x:f>$B$8*SUM($E$18:E1993)/A1993</x:f>
        <x:v>100.46963562753037</x:v>
      </x:c>
      <x:c r="G1993" s="42" t="n">
        <x:f>$B$11</x:f>
        <x:v>100.53096491487338</x:v>
      </x:c>
      <x:c r="I1993" t="n">
        <x:f>A1993</x:f>
        <x:v>1976</x:v>
      </x:c>
      <x:c r="J1993" t="n">
        <x:f>F1993</x:f>
        <x:v>100.46963562753037</x:v>
      </x:c>
      <x:c r="K1993" t="n">
        <x:f>G1993</x:f>
        <x:v>100.53096491487338</x:v>
      </x:c>
    </x:row>
    <x:row r="1994">
      <x:c r="A1994" t="n">
        <x:v>1977</x:v>
      </x:c>
      <x:c r="B1994" s="40" t="n">
        <x:v>-0.14431085555979983</x:v>
      </x:c>
      <x:c r="C1994" s="40" t="n">
        <x:v>-2.6713553556573837</x:v>
      </x:c>
      <x:c r="D1994" s="40" t="n">
        <x:v>2.045572075394019</x:v>
      </x:c>
      <x:c r="E1994" t="n">
        <x:f>--((B1994^2/$B$4^2+C1994^2/$B$5^2+D1994^2/$B$6^2)&lt;=1)</x:f>
        <x:v>0</x:v>
      </x:c>
      <x:c r="F1994" s="42" t="n">
        <x:f>$B$8*SUM($E$18:E1994)/A1994</x:f>
        <x:v>100.41881638846738</x:v>
      </x:c>
      <x:c r="G1994" s="42" t="n">
        <x:f>$B$11</x:f>
        <x:v>100.53096491487338</x:v>
      </x:c>
      <x:c r="I1994" t="n">
        <x:f>A1994</x:f>
        <x:v>1977</x:v>
      </x:c>
      <x:c r="J1994" t="n">
        <x:f>F1994</x:f>
        <x:v>100.41881638846738</x:v>
      </x:c>
      <x:c r="K1994" t="n">
        <x:f>G1994</x:f>
        <x:v>100.53096491487338</x:v>
      </x:c>
    </x:row>
    <x:row r="1995">
      <x:c r="A1995" t="n">
        <x:v>1978</x:v>
      </x:c>
      <x:c r="B1995" s="40" t="n">
        <x:v>1.7702736012573514</x:v>
      </x:c>
      <x:c r="C1995" s="40" t="n">
        <x:v>-2.1636157012740673</x:v>
      </x:c>
      <x:c r="D1995" s="40" t="n">
        <x:v>-1.2403853454394724</x:v>
      </x:c>
      <x:c r="E1995" t="n">
        <x:f>--((B1995^2/$B$4^2+C1995^2/$B$5^2+D1995^2/$B$6^2)&lt;=1)</x:f>
        <x:v>0</x:v>
      </x:c>
      <x:c r="F1995" s="42" t="n">
        <x:f>$B$8*SUM($E$18:E1995)/A1995</x:f>
        <x:v>100.3680485338726</x:v>
      </x:c>
      <x:c r="G1995" s="42" t="n">
        <x:f>$B$11</x:f>
        <x:v>100.53096491487338</x:v>
      </x:c>
      <x:c r="I1995" t="n">
        <x:f>A1995</x:f>
        <x:v>1978</x:v>
      </x:c>
      <x:c r="J1995" t="n">
        <x:f>F1995</x:f>
        <x:v>100.3680485338726</x:v>
      </x:c>
      <x:c r="K1995" t="n">
        <x:f>G1995</x:f>
        <x:v>100.53096491487338</x:v>
      </x:c>
    </x:row>
    <x:row r="1996">
      <x:c r="A1996" t="n">
        <x:v>1979</x:v>
      </x:c>
      <x:c r="B1996" s="40" t="n">
        <x:v>0.9365853830436723</x:v>
      </x:c>
      <x:c r="C1996" s="40" t="n">
        <x:v>-0.03909505342069819</x:v>
      </x:c>
      <x:c r="D1996" s="40" t="n">
        <x:v>-2.717820158535268</x:v>
      </x:c>
      <x:c r="E1996" t="n">
        <x:f>--((B1996^2/$B$4^2+C1996^2/$B$5^2+D1996^2/$B$6^2)&lt;=1)</x:f>
        <x:v>1</x:v>
      </x:c>
      <x:c r="F1996" s="42" t="n">
        <x:f>$B$8*SUM($E$18:E1996)/A1996</x:f>
        <x:v>100.4143506821627</x:v>
      </x:c>
      <x:c r="G1996" s="42" t="n">
        <x:f>$B$11</x:f>
        <x:v>100.53096491487338</x:v>
      </x:c>
      <x:c r="I1996" t="n">
        <x:f>A1996</x:f>
        <x:v>1979</x:v>
      </x:c>
      <x:c r="J1996" t="n">
        <x:f>F1996</x:f>
        <x:v>100.4143506821627</x:v>
      </x:c>
      <x:c r="K1996" t="n">
        <x:f>G1996</x:f>
        <x:v>100.53096491487338</x:v>
      </x:c>
    </x:row>
    <x:row r="1997">
      <x:c r="A1997" t="n">
        <x:v>1980</x:v>
      </x:c>
      <x:c r="B1997" s="40" t="n">
        <x:v>-1.1390250072834007</x:v>
      </x:c>
      <x:c r="C1997" s="40" t="n">
        <x:v>0.9108931263454454</x:v>
      </x:c>
      <x:c r="D1997" s="40" t="n">
        <x:v>1.327317604819946</x:v>
      </x:c>
      <x:c r="E1997" t="n">
        <x:f>--((B1997^2/$B$4^2+C1997^2/$B$5^2+D1997^2/$B$6^2)&lt;=1)</x:f>
        <x:v>1</x:v>
      </x:c>
      <x:c r="F1997" s="42" t="n">
        <x:f>$B$8*SUM($E$18:E1997)/A1997</x:f>
        <x:v>100.46060606060605</x:v>
      </x:c>
      <x:c r="G1997" s="42" t="n">
        <x:f>$B$11</x:f>
        <x:v>100.53096491487338</x:v>
      </x:c>
      <x:c r="I1997" t="n">
        <x:f>A1997</x:f>
        <x:v>1980</x:v>
      </x:c>
      <x:c r="J1997" t="n">
        <x:f>F1997</x:f>
        <x:v>100.46060606060605</x:v>
      </x:c>
      <x:c r="K1997" t="n">
        <x:f>G1997</x:f>
        <x:v>100.53096491487338</x:v>
      </x:c>
    </x:row>
    <x:row r="1998">
      <x:c r="A1998" t="n">
        <x:v>1981</x:v>
      </x:c>
      <x:c r="B1998" s="40" t="n">
        <x:v>1.4382445336755922</x:v>
      </x:c>
      <x:c r="C1998" s="40" t="n">
        <x:v>-2.4759611095692993</x:v>
      </x:c>
      <x:c r="D1998" s="40" t="n">
        <x:v>0.006949836214151794</x:v>
      </x:c>
      <x:c r="E1998" t="n">
        <x:f>--((B1998^2/$B$4^2+C1998^2/$B$5^2+D1998^2/$B$6^2)&lt;=1)</x:f>
        <x:v>0</x:v>
      </x:c>
      <x:c r="F1998" s="42" t="n">
        <x:f>$B$8*SUM($E$18:E1998)/A1998</x:f>
        <x:v>100.40989399293287</x:v>
      </x:c>
      <x:c r="G1998" s="42" t="n">
        <x:f>$B$11</x:f>
        <x:v>100.53096491487338</x:v>
      </x:c>
      <x:c r="I1998" t="n">
        <x:f>A1998</x:f>
        <x:v>1981</x:v>
      </x:c>
      <x:c r="J1998" t="n">
        <x:f>F1998</x:f>
        <x:v>100.40989399293287</x:v>
      </x:c>
      <x:c r="K1998" t="n">
        <x:f>G1998</x:f>
        <x:v>100.53096491487338</x:v>
      </x:c>
    </x:row>
    <x:row r="1999">
      <x:c r="A1999" t="n">
        <x:v>1982</x:v>
      </x:c>
      <x:c r="B1999" s="40" t="n">
        <x:v>-0.4871979079612756</x:v>
      </x:c>
      <x:c r="C1999" s="40" t="n">
        <x:v>-0.3538882565743888</x:v>
      </x:c>
      <x:c r="D1999" s="40" t="n">
        <x:v>0.3138444612454183</x:v>
      </x:c>
      <x:c r="E1999" t="n">
        <x:f>--((B1999^2/$B$4^2+C1999^2/$B$5^2+D1999^2/$B$6^2)&lt;=1)</x:f>
        <x:v>1</x:v>
      </x:c>
      <x:c r="F1999" s="42" t="n">
        <x:f>$B$8*SUM($E$18:E1999)/A1999</x:f>
        <x:v>100.45610494450051</x:v>
      </x:c>
      <x:c r="G1999" s="42" t="n">
        <x:f>$B$11</x:f>
        <x:v>100.53096491487338</x:v>
      </x:c>
      <x:c r="I1999" t="n">
        <x:f>A1999</x:f>
        <x:v>1982</x:v>
      </x:c>
      <x:c r="J1999" t="n">
        <x:f>F1999</x:f>
        <x:v>100.45610494450051</x:v>
      </x:c>
      <x:c r="K1999" t="n">
        <x:f>G1999</x:f>
        <x:v>100.53096491487338</x:v>
      </x:c>
    </x:row>
    <x:row r="2000">
      <x:c r="A2000" t="n">
        <x:v>1983</x:v>
      </x:c>
      <x:c r="B2000" s="40" t="n">
        <x:v>1.4068887310100746</x:v>
      </x:c>
      <x:c r="C2000" s="40" t="n">
        <x:v>0.4874821371201117</x:v>
      </x:c>
      <x:c r="D2000" s="40" t="n">
        <x:v>2.6191412978840676</x:v>
      </x:c>
      <x:c r="E2000" t="n">
        <x:f>--((B2000^2/$B$4^2+C2000^2/$B$5^2+D2000^2/$B$6^2)&lt;=1)</x:f>
        <x:v>1</x:v>
      </x:c>
      <x:c r="F2000" s="42" t="n">
        <x:f>$B$8*SUM($E$18:E2000)/A2000</x:f>
        <x:v>100.50226928895613</x:v>
      </x:c>
      <x:c r="G2000" s="42" t="n">
        <x:f>$B$11</x:f>
        <x:v>100.53096491487338</x:v>
      </x:c>
      <x:c r="I2000" t="n">
        <x:f>A2000</x:f>
        <x:v>1983</x:v>
      </x:c>
      <x:c r="J2000" t="n">
        <x:f>F2000</x:f>
        <x:v>100.50226928895613</x:v>
      </x:c>
      <x:c r="K2000" t="n">
        <x:f>G2000</x:f>
        <x:v>100.53096491487338</x:v>
      </x:c>
    </x:row>
    <x:row r="2001">
      <x:c r="A2001" t="n">
        <x:v>1984</x:v>
      </x:c>
      <x:c r="B2001" s="40" t="n">
        <x:v>-1.0332016080754762</x:v>
      </x:c>
      <x:c r="C2001" s="40" t="n">
        <x:v>-1.594645942733631</x:v>
      </x:c>
      <x:c r="D2001" s="40" t="n">
        <x:v>-1.3076505929006155</x:v>
      </x:c>
      <x:c r="E2001" t="n">
        <x:f>--((B2001^2/$B$4^2+C2001^2/$B$5^2+D2001^2/$B$6^2)&lt;=1)</x:f>
        <x:v>1</x:v>
      </x:c>
      <x:c r="F2001" s="42" t="n">
        <x:f>$B$8*SUM($E$18:E2001)/A2001</x:f>
        <x:v>100.54838709677419</x:v>
      </x:c>
      <x:c r="G2001" s="42" t="n">
        <x:f>$B$11</x:f>
        <x:v>100.53096491487338</x:v>
      </x:c>
      <x:c r="I2001" t="n">
        <x:f>A2001</x:f>
        <x:v>1984</x:v>
      </x:c>
      <x:c r="J2001" t="n">
        <x:f>F2001</x:f>
        <x:v>100.54838709677419</x:v>
      </x:c>
      <x:c r="K2001" t="n">
        <x:f>G2001</x:f>
        <x:v>100.53096491487338</x:v>
      </x:c>
    </x:row>
    <x:row r="2002">
      <x:c r="A2002" t="n">
        <x:v>1985</x:v>
      </x:c>
      <x:c r="B2002" s="40" t="n">
        <x:v>0.4746424477452704</x:v>
      </x:c>
      <x:c r="C2002" s="40" t="n">
        <x:v>-0.7675295309038477</x:v>
      </x:c>
      <x:c r="D2002" s="40" t="n">
        <x:v>1.336758076445304</x:v>
      </x:c>
      <x:c r="E2002" t="n">
        <x:f>--((B2002^2/$B$4^2+C2002^2/$B$5^2+D2002^2/$B$6^2)&lt;=1)</x:f>
        <x:v>1</x:v>
      </x:c>
      <x:c r="F2002" s="42" t="n">
        <x:f>$B$8*SUM($E$18:E2002)/A2002</x:f>
        <x:v>100.59445843828715</x:v>
      </x:c>
      <x:c r="G2002" s="42" t="n">
        <x:f>$B$11</x:f>
        <x:v>100.53096491487338</x:v>
      </x:c>
      <x:c r="I2002" t="n">
        <x:f>A2002</x:f>
        <x:v>1985</x:v>
      </x:c>
      <x:c r="J2002" t="n">
        <x:f>F2002</x:f>
        <x:v>100.59445843828715</x:v>
      </x:c>
      <x:c r="K2002" t="n">
        <x:f>G2002</x:f>
        <x:v>100.53096491487338</x:v>
      </x:c>
    </x:row>
    <x:row r="2003">
      <x:c r="A2003" t="n">
        <x:v>1986</x:v>
      </x:c>
      <x:c r="B2003" s="40" t="n">
        <x:v>1.7066819523251278</x:v>
      </x:c>
      <x:c r="C2003" s="40" t="n">
        <x:v>-2.568990781598348</x:v>
      </x:c>
      <x:c r="D2003" s="40" t="n">
        <x:v>-1.0704682642989978</x:v>
      </x:c>
      <x:c r="E2003" t="n">
        <x:f>--((B2003^2/$B$4^2+C2003^2/$B$5^2+D2003^2/$B$6^2)&lt;=1)</x:f>
        <x:v>0</x:v>
      </x:c>
      <x:c r="F2003" s="42" t="n">
        <x:f>$B$8*SUM($E$18:E2003)/A2003</x:f>
        <x:v>100.54380664652568</x:v>
      </x:c>
      <x:c r="G2003" s="42" t="n">
        <x:f>$B$11</x:f>
        <x:v>100.53096491487338</x:v>
      </x:c>
      <x:c r="I2003" t="n">
        <x:f>A2003</x:f>
        <x:v>1986</x:v>
      </x:c>
      <x:c r="J2003" t="n">
        <x:f>F2003</x:f>
        <x:v>100.54380664652568</x:v>
      </x:c>
      <x:c r="K2003" t="n">
        <x:f>G2003</x:f>
        <x:v>100.53096491487338</x:v>
      </x:c>
    </x:row>
    <x:row r="2004">
      <x:c r="A2004" t="n">
        <x:v>1987</x:v>
      </x:c>
      <x:c r="B2004" s="40" t="n">
        <x:v>-0.9684239634088234</x:v>
      </x:c>
      <x:c r="C2004" s="40" t="n">
        <x:v>-1.6792135186014305</x:v>
      </x:c>
      <x:c r="D2004" s="40" t="n">
        <x:v>-3.6582088273565665</x:v>
      </x:c>
      <x:c r="E2004" t="n">
        <x:f>--((B2004^2/$B$4^2+C2004^2/$B$5^2+D2004^2/$B$6^2)&lt;=1)</x:f>
        <x:v>0</x:v>
      </x:c>
      <x:c r="F2004" s="42" t="n">
        <x:f>$B$8*SUM($E$18:E2004)/A2004</x:f>
        <x:v>100.49320583794665</x:v>
      </x:c>
      <x:c r="G2004" s="42" t="n">
        <x:f>$B$11</x:f>
        <x:v>100.53096491487338</x:v>
      </x:c>
      <x:c r="I2004" t="n">
        <x:f>A2004</x:f>
        <x:v>1987</x:v>
      </x:c>
      <x:c r="J2004" t="n">
        <x:f>F2004</x:f>
        <x:v>100.49320583794665</x:v>
      </x:c>
      <x:c r="K2004" t="n">
        <x:f>G2004</x:f>
        <x:v>100.53096491487338</x:v>
      </x:c>
    </x:row>
    <x:row r="2005">
      <x:c r="A2005" t="n">
        <x:v>1988</x:v>
      </x:c>
      <x:c r="B2005" s="40" t="n">
        <x:v>0.7717063623434197</x:v>
      </x:c>
      <x:c r="C2005" s="40" t="n">
        <x:v>-0.19948244448635988</x:v>
      </x:c>
      <x:c r="D2005" s="40" t="n">
        <x:v>-0.9758791413092087</x:v>
      </x:c>
      <x:c r="E2005" t="n">
        <x:f>--((B2005^2/$B$4^2+C2005^2/$B$5^2+D2005^2/$B$6^2)&lt;=1)</x:f>
        <x:v>1</x:v>
      </x:c>
      <x:c r="F2005" s="42" t="n">
        <x:f>$B$8*SUM($E$18:E2005)/A2005</x:f>
        <x:v>100.53923541247485</x:v>
      </x:c>
      <x:c r="G2005" s="42" t="n">
        <x:f>$B$11</x:f>
        <x:v>100.53096491487338</x:v>
      </x:c>
      <x:c r="I2005" t="n">
        <x:f>A2005</x:f>
        <x:v>1988</x:v>
      </x:c>
      <x:c r="J2005" t="n">
        <x:f>F2005</x:f>
        <x:v>100.53923541247485</x:v>
      </x:c>
      <x:c r="K2005" t="n">
        <x:f>G2005</x:f>
        <x:v>100.53096491487338</x:v>
      </x:c>
    </x:row>
    <x:row r="2006">
      <x:c r="A2006" t="n">
        <x:v>1989</x:v>
      </x:c>
      <x:c r="B2006" s="40" t="n">
        <x:v>1.9492504798285752</x:v>
      </x:c>
      <x:c r="C2006" s="40" t="n">
        <x:v>2.9426530735519334</x:v>
      </x:c>
      <x:c r="D2006" s="40" t="n">
        <x:v>3.600275705633077</x:v>
      </x:c>
      <x:c r="E2006" t="n">
        <x:f>--((B2006^2/$B$4^2+C2006^2/$B$5^2+D2006^2/$B$6^2)&lt;=1)</x:f>
        <x:v>0</x:v>
      </x:c>
      <x:c r="F2006" s="42" t="n">
        <x:f>$B$8*SUM($E$18:E2006)/A2006</x:f>
        <x:v>100.48868778280543</x:v>
      </x:c>
      <x:c r="G2006" s="42" t="n">
        <x:f>$B$11</x:f>
        <x:v>100.53096491487338</x:v>
      </x:c>
      <x:c r="I2006" t="n">
        <x:f>A2006</x:f>
        <x:v>1989</x:v>
      </x:c>
      <x:c r="J2006" t="n">
        <x:f>F2006</x:f>
        <x:v>100.48868778280543</x:v>
      </x:c>
      <x:c r="K2006" t="n">
        <x:f>G2006</x:f>
        <x:v>100.53096491487338</x:v>
      </x:c>
    </x:row>
    <x:row r="2007">
      <x:c r="A2007" t="n">
        <x:v>1990</x:v>
      </x:c>
      <x:c r="B2007" s="40" t="n">
        <x:v>-1.397606851027986</x:v>
      </x:c>
      <x:c r="C2007" s="40" t="n">
        <x:v>2.977590377634801</x:v>
      </x:c>
      <x:c r="D2007" s="40" t="n">
        <x:v>-0.13390014329266364</x:v>
      </x:c>
      <x:c r="E2007" t="n">
        <x:f>--((B2007^2/$B$4^2+C2007^2/$B$5^2+D2007^2/$B$6^2)&lt;=1)</x:f>
        <x:v>0</x:v>
      </x:c>
      <x:c r="F2007" s="42" t="n">
        <x:f>$B$8*SUM($E$18:E2007)/A2007</x:f>
        <x:v>100.43819095477387</x:v>
      </x:c>
      <x:c r="G2007" s="42" t="n">
        <x:f>$B$11</x:f>
        <x:v>100.53096491487338</x:v>
      </x:c>
      <x:c r="I2007" t="n">
        <x:f>A2007</x:f>
        <x:v>1990</x:v>
      </x:c>
      <x:c r="J2007" t="n">
        <x:f>F2007</x:f>
        <x:v>100.43819095477387</x:v>
      </x:c>
      <x:c r="K2007" t="n">
        <x:f>G2007</x:f>
        <x:v>100.53096491487338</x:v>
      </x:c>
    </x:row>
    <x:row r="2008">
      <x:c r="A2008" t="n">
        <x:v>1991</x:v>
      </x:c>
      <x:c r="B2008" s="40" t="n">
        <x:v>-1.6463908371973024</x:v>
      </x:c>
      <x:c r="C2008" s="40" t="n">
        <x:v>2.8777300867457276</x:v>
      </x:c>
      <x:c r="D2008" s="40" t="n">
        <x:v>-3.1341565053050546</x:v>
      </x:c>
      <x:c r="E2008" t="n">
        <x:f>--((B2008^2/$B$4^2+C2008^2/$B$5^2+D2008^2/$B$6^2)&lt;=1)</x:f>
        <x:v>0</x:v>
      </x:c>
      <x:c r="F2008" s="42" t="n">
        <x:f>$B$8*SUM($E$18:E2008)/A2008</x:f>
        <x:v>100.38774485183325</x:v>
      </x:c>
      <x:c r="G2008" s="42" t="n">
        <x:f>$B$11</x:f>
        <x:v>100.53096491487338</x:v>
      </x:c>
      <x:c r="I2008" t="n">
        <x:f>A2008</x:f>
        <x:v>1991</x:v>
      </x:c>
      <x:c r="J2008" t="n">
        <x:f>F2008</x:f>
        <x:v>100.38774485183325</x:v>
      </x:c>
      <x:c r="K2008" t="n">
        <x:f>G2008</x:f>
        <x:v>100.53096491487338</x:v>
      </x:c>
    </x:row>
    <x:row r="2009">
      <x:c r="A2009" t="n">
        <x:v>1992</x:v>
      </x:c>
      <x:c r="B2009" s="40" t="n">
        <x:v>0.6967807697792647</x:v>
      </x:c>
      <x:c r="C2009" s="40" t="n">
        <x:v>-0.46148168219803454</x:v>
      </x:c>
      <x:c r="D2009" s="40" t="n">
        <x:v>1.5026146350098069</x:v>
      </x:c>
      <x:c r="E2009" t="n">
        <x:f>--((B2009^2/$B$4^2+C2009^2/$B$5^2+D2009^2/$B$6^2)&lt;=1)</x:f>
        <x:v>1</x:v>
      </x:c>
      <x:c r="F2009" s="42" t="n">
        <x:f>$B$8*SUM($E$18:E2009)/A2009</x:f>
        <x:v>100.43373493975903</x:v>
      </x:c>
      <x:c r="G2009" s="42" t="n">
        <x:f>$B$11</x:f>
        <x:v>100.53096491487338</x:v>
      </x:c>
      <x:c r="I2009" t="n">
        <x:f>A2009</x:f>
        <x:v>1992</x:v>
      </x:c>
      <x:c r="J2009" t="n">
        <x:f>F2009</x:f>
        <x:v>100.43373493975903</x:v>
      </x:c>
      <x:c r="K2009" t="n">
        <x:f>G2009</x:f>
        <x:v>100.53096491487338</x:v>
      </x:c>
    </x:row>
    <x:row r="2010">
      <x:c r="A2010" t="n">
        <x:v>1993</x:v>
      </x:c>
      <x:c r="B2010" s="40" t="n">
        <x:v>-0.6410562090038785</x:v>
      </x:c>
      <x:c r="C2010" s="40" t="n">
        <x:v>-2.51591772951201</x:v>
      </x:c>
      <x:c r="D2010" s="40" t="n">
        <x:v>3.70703479774817</x:v>
      </x:c>
      <x:c r="E2010" t="n">
        <x:f>--((B2010^2/$B$4^2+C2010^2/$B$5^2+D2010^2/$B$6^2)&lt;=1)</x:f>
        <x:v>0</x:v>
      </x:c>
      <x:c r="F2010" s="42" t="n">
        <x:f>$B$8*SUM($E$18:E2010)/A2010</x:f>
        <x:v>100.38334169593577</x:v>
      </x:c>
      <x:c r="G2010" s="42" t="n">
        <x:f>$B$11</x:f>
        <x:v>100.53096491487338</x:v>
      </x:c>
      <x:c r="I2010" t="n">
        <x:f>A2010</x:f>
        <x:v>1993</x:v>
      </x:c>
      <x:c r="J2010" t="n">
        <x:f>F2010</x:f>
        <x:v>100.38334169593577</x:v>
      </x:c>
      <x:c r="K2010" t="n">
        <x:f>G2010</x:f>
        <x:v>100.53096491487338</x:v>
      </x:c>
    </x:row>
    <x:row r="2011">
      <x:c r="A2011" t="n">
        <x:v>1994</x:v>
      </x:c>
      <x:c r="B2011" s="40" t="n">
        <x:v>-1.7150220905336355</x:v>
      </x:c>
      <x:c r="C2011" s="40" t="n">
        <x:v>-1.058559376503999</x:v>
      </x:c>
      <x:c r="D2011" s="40" t="n">
        <x:v>3.263561972354057</x:v>
      </x:c>
      <x:c r="E2011" t="n">
        <x:f>--((B2011^2/$B$4^2+C2011^2/$B$5^2+D2011^2/$B$6^2)&lt;=1)</x:f>
        <x:v>0</x:v>
      </x:c>
      <x:c r="F2011" s="42" t="n">
        <x:f>$B$8*SUM($E$18:E2011)/A2011</x:f>
        <x:v>100.33299899699097</x:v>
      </x:c>
      <x:c r="G2011" s="42" t="n">
        <x:f>$B$11</x:f>
        <x:v>100.53096491487338</x:v>
      </x:c>
      <x:c r="I2011" t="n">
        <x:f>A2011</x:f>
        <x:v>1994</x:v>
      </x:c>
      <x:c r="J2011" t="n">
        <x:f>F2011</x:f>
        <x:v>100.33299899699097</x:v>
      </x:c>
      <x:c r="K2011" t="n">
        <x:f>G2011</x:f>
        <x:v>100.53096491487338</x:v>
      </x:c>
    </x:row>
    <x:row r="2012">
      <x:c r="A2012" t="n">
        <x:v>1995</x:v>
      </x:c>
      <x:c r="B2012" s="40" t="n">
        <x:v>-0.09877752846558341</x:v>
      </x:c>
      <x:c r="C2012" s="40" t="n">
        <x:v>-1.5737137477741363</x:v>
      </x:c>
      <x:c r="D2012" s="40" t="n">
        <x:v>0.5756867024651093</x:v>
      </x:c>
      <x:c r="E2012" t="n">
        <x:f>--((B2012^2/$B$4^2+C2012^2/$B$5^2+D2012^2/$B$6^2)&lt;=1)</x:f>
        <x:v>1</x:v>
      </x:c>
      <x:c r="F2012" s="42" t="n">
        <x:f>$B$8*SUM($E$18:E2012)/A2012</x:f>
        <x:v>100.37894736842105</x:v>
      </x:c>
      <x:c r="G2012" s="42" t="n">
        <x:f>$B$11</x:f>
        <x:v>100.53096491487338</x:v>
      </x:c>
      <x:c r="I2012" t="n">
        <x:f>A2012</x:f>
        <x:v>1995</x:v>
      </x:c>
      <x:c r="J2012" t="n">
        <x:f>F2012</x:f>
        <x:v>100.37894736842105</x:v>
      </x:c>
      <x:c r="K2012" t="n">
        <x:f>G2012</x:f>
        <x:v>100.53096491487338</x:v>
      </x:c>
    </x:row>
    <x:row r="2013">
      <x:c r="A2013" t="n">
        <x:v>1996</x:v>
      </x:c>
      <x:c r="B2013" s="40" t="n">
        <x:v>1.0150827185758229</x:v>
      </x:c>
      <x:c r="C2013" s="40" t="n">
        <x:v>-2.9152405505408723</x:v>
      </x:c>
      <x:c r="D2013" s="40" t="n">
        <x:v>-0.9897540452117504</x:v>
      </x:c>
      <x:c r="E2013" t="n">
        <x:f>--((B2013^2/$B$4^2+C2013^2/$B$5^2+D2013^2/$B$6^2)&lt;=1)</x:f>
        <x:v>0</x:v>
      </x:c>
      <x:c r="F2013" s="42" t="n">
        <x:f>$B$8*SUM($E$18:E2013)/A2013</x:f>
        <x:v>100.32865731462925</x:v>
      </x:c>
      <x:c r="G2013" s="42" t="n">
        <x:f>$B$11</x:f>
        <x:v>100.53096491487338</x:v>
      </x:c>
      <x:c r="I2013" t="n">
        <x:f>A2013</x:f>
        <x:v>1996</x:v>
      </x:c>
      <x:c r="J2013" t="n">
        <x:f>F2013</x:f>
        <x:v>100.32865731462925</x:v>
      </x:c>
      <x:c r="K2013" t="n">
        <x:f>G2013</x:f>
        <x:v>100.53096491487338</x:v>
      </x:c>
    </x:row>
    <x:row r="2014">
      <x:c r="A2014" t="n">
        <x:v>1997</x:v>
      </x:c>
      <x:c r="B2014" s="40" t="n">
        <x:v>-0.8595103983392449</x:v>
      </x:c>
      <x:c r="C2014" s="40" t="n">
        <x:v>-2.4285983382697474</x:v>
      </x:c>
      <x:c r="D2014" s="40" t="n">
        <x:v>0.6454213480739233</x:v>
      </x:c>
      <x:c r="E2014" t="n">
        <x:f>--((B2014^2/$B$4^2+C2014^2/$B$5^2+D2014^2/$B$6^2)&lt;=1)</x:f>
        <x:v>1</x:v>
      </x:c>
      <x:c r="F2014" s="42" t="n">
        <x:f>$B$8*SUM($E$18:E2014)/A2014</x:f>
        <x:v>100.37456184276415</x:v>
      </x:c>
      <x:c r="G2014" s="42" t="n">
        <x:f>$B$11</x:f>
        <x:v>100.53096491487338</x:v>
      </x:c>
      <x:c r="I2014" t="n">
        <x:f>A2014</x:f>
        <x:v>1997</x:v>
      </x:c>
      <x:c r="J2014" t="n">
        <x:f>F2014</x:f>
        <x:v>100.37456184276415</x:v>
      </x:c>
      <x:c r="K2014" t="n">
        <x:f>G2014</x:f>
        <x:v>100.53096491487338</x:v>
      </x:c>
    </x:row>
    <x:row r="2015">
      <x:c r="A2015" t="n">
        <x:v>1998</x:v>
      </x:c>
      <x:c r="B2015" s="40" t="n">
        <x:v>-0.6598124899794611</x:v>
      </x:c>
      <x:c r="C2015" s="40" t="n">
        <x:v>-0.28084838970560355</x:v>
      </x:c>
      <x:c r="D2015" s="40" t="n">
        <x:v>2.527448497593996</x:v>
      </x:c>
      <x:c r="E2015" t="n">
        <x:f>--((B2015^2/$B$4^2+C2015^2/$B$5^2+D2015^2/$B$6^2)&lt;=1)</x:f>
        <x:v>1</x:v>
      </x:c>
      <x:c r="F2015" s="42" t="n">
        <x:f>$B$8*SUM($E$18:E2015)/A2015</x:f>
        <x:v>100.42042042042043</x:v>
      </x:c>
      <x:c r="G2015" s="42" t="n">
        <x:f>$B$11</x:f>
        <x:v>100.53096491487338</x:v>
      </x:c>
      <x:c r="I2015" t="n">
        <x:f>A2015</x:f>
        <x:v>1998</x:v>
      </x:c>
      <x:c r="J2015" t="n">
        <x:f>F2015</x:f>
        <x:v>100.42042042042043</x:v>
      </x:c>
      <x:c r="K2015" t="n">
        <x:f>G2015</x:f>
        <x:v>100.53096491487338</x:v>
      </x:c>
    </x:row>
    <x:row r="2016">
      <x:c r="A2016" t="n">
        <x:v>1999</x:v>
      </x:c>
      <x:c r="B2016" s="40" t="n">
        <x:v>1.3827976025878885</x:v>
      </x:c>
      <x:c r="C2016" s="40" t="n">
        <x:v>-0.9620252171742179</x:v>
      </x:c>
      <x:c r="D2016" s="40" t="n">
        <x:v>2.889898736147634</x:v>
      </x:c>
      <x:c r="E2016" t="n">
        <x:f>--((B2016^2/$B$4^2+C2016^2/$B$5^2+D2016^2/$B$6^2)&lt;=1)</x:f>
        <x:v>0</x:v>
      </x:c>
      <x:c r="F2016" s="42" t="n">
        <x:f>$B$8*SUM($E$18:E2016)/A2016</x:f>
        <x:v>100.37018509254628</x:v>
      </x:c>
      <x:c r="G2016" s="42" t="n">
        <x:f>$B$11</x:f>
        <x:v>100.53096491487338</x:v>
      </x:c>
      <x:c r="I2016" t="n">
        <x:f>A2016</x:f>
        <x:v>1999</x:v>
      </x:c>
      <x:c r="J2016" t="n">
        <x:f>F2016</x:f>
        <x:v>100.37018509254628</x:v>
      </x:c>
      <x:c r="K2016" t="n">
        <x:f>G2016</x:f>
        <x:v>100.53096491487338</x:v>
      </x:c>
    </x:row>
    <x:row r="2017">
      <x:c r="A2017" t="n">
        <x:v>2000</x:v>
      </x:c>
      <x:c r="B2017" s="40" t="n">
        <x:v>0.08028764904595231</x:v>
      </x:c>
      <x:c r="C2017" s="40" t="n">
        <x:v>-1.9178776701931017</x:v>
      </x:c>
      <x:c r="D2017" s="40" t="n">
        <x:v>2.5507510795395296</x:v>
      </x:c>
      <x:c r="E2017" t="n">
        <x:f>--((B2017^2/$B$4^2+C2017^2/$B$5^2+D2017^2/$B$6^2)&lt;=1)</x:f>
        <x:v>1</x:v>
      </x:c>
      <x:c r="F2017" s="42" t="n">
        <x:f>$B$8*SUM($E$18:E2017)/A2017</x:f>
        <x:v>100.416</x:v>
      </x:c>
      <x:c r="G2017" s="42" t="n">
        <x:f>$B$11</x:f>
        <x:v>100.53096491487338</x:v>
      </x:c>
      <x:c r="I2017" t="n">
        <x:f>A2017</x:f>
        <x:v>2000</x:v>
      </x:c>
      <x:c r="J2017" t="n">
        <x:f>F2017</x:f>
        <x:v>100.416</x:v>
      </x:c>
      <x:c r="K2017" t="n">
        <x:f>G2017</x:f>
        <x:v>100.53096491487338</x:v>
      </x:c>
    </x:row>
  </x:sheetData>
  <x:mergeCells>
    <x:mergeCell ref="A1:P1"/>
    <x:mergeCell ref="D3:P3"/>
    <x:mergeCell ref="D5:P5"/>
  </x:mergeCells>
  <x:pageMargins left="0.7" right="0.7" top="0.75" bottom="0.75" header="0.3" footer="0.3"/>
  <x:drawing xmlns:r="http://schemas.openxmlformats.org/officeDocument/2006/relationships" r:id="R91adeba570484a08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" t="str">
        <x:v>Билет №17 — дискретное распределение по эмпирическим частотам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3">
      <x:c r="A3" s="16" t="str">
        <x:v>Значение</x:v>
      </x:c>
      <x:c r="B3" s="16" t="str">
        <x:v>Частота</x:v>
      </x:c>
      <x:c r="C3" s="16" t="str">
        <x:v>Вероятность</x:v>
      </x:c>
      <x:c r="D3" s="16" t="str">
        <x:v>F(x)</x:v>
      </x:c>
      <x:c r="E3" s="16" t="str">
        <x:v>Начало интервала</x:v>
      </x:c>
      <x:c r="F3" s="16" t="str">
        <x:v>Конец интервала</x:v>
      </x:c>
      <x:c r="J3" s="16" t="str">
        <x:v>Значение</x:v>
      </x:c>
      <x:c r="K3" s="16" t="str">
        <x:v>Теор. вероятность</x:v>
      </x:c>
      <x:c r="L3" s="16" t="str">
        <x:v>Сим. частота</x:v>
      </x:c>
      <x:c r="M3" s="16" t="str">
        <x:v>Сим. вероятность</x:v>
      </x:c>
      <x:c r="N3" s="16" t="str">
        <x:v>Абс. отклонение</x:v>
      </x:c>
      <x:c r="O3" s="16" t="str">
        <x:v>χ²-компонента</x:v>
      </x:c>
    </x:row>
    <x:row r="4">
      <x:c r="A4" t="n">
        <x:v>0</x:v>
      </x:c>
      <x:c r="B4" t="n">
        <x:v>18</x:v>
      </x:c>
      <x:c r="C4" s="42" t="n">
        <x:f>B4/SUM($B$4:$B$9)</x:f>
        <x:v>0.09</x:v>
      </x:c>
      <x:c r="D4" s="42" t="n">
        <x:f>SUM($C$4:C4)</x:f>
        <x:v>0.09</x:v>
      </x:c>
      <x:c r="E4" s="42" t="n">
        <x:f>0</x:f>
        <x:v>0</x:v>
      </x:c>
      <x:c r="F4" s="42" t="n">
        <x:f>D4</x:f>
        <x:v>0.09</x:v>
      </x:c>
      <x:c r="J4" t="n">
        <x:f>A4</x:f>
        <x:v>0</x:v>
      </x:c>
      <x:c r="K4" s="42" t="n">
        <x:f>C4</x:f>
        <x:v>0.09</x:v>
      </x:c>
      <x:c r="L4" t="n">
        <x:f>COUNTIF($C$15:$C$2014,J4)</x:f>
        <x:v>177</x:v>
      </x:c>
      <x:c r="M4" s="42" t="n">
        <x:f>L4/$B$12</x:f>
        <x:v>0.0885</x:v>
      </x:c>
      <x:c r="N4" s="42" t="n">
        <x:f>ABS(M4-K4)</x:f>
        <x:v>0.0015000000000000013</x:v>
      </x:c>
      <x:c r="O4" s="42" t="n">
        <x:f>(L4-$B$12*K4)^2/($B$12*K4)</x:f>
        <x:v>0.05</x:v>
      </x:c>
    </x:row>
    <x:row r="5">
      <x:c r="A5" t="n">
        <x:v>1</x:v>
      </x:c>
      <x:c r="B5" t="n">
        <x:v>32</x:v>
      </x:c>
      <x:c r="C5" s="42" t="n">
        <x:f>B5/SUM($B$4:$B$9)</x:f>
        <x:v>0.16</x:v>
      </x:c>
      <x:c r="D5" s="42" t="n">
        <x:f>SUM($C$4:C5)</x:f>
        <x:v>0.25</x:v>
      </x:c>
      <x:c r="E5" s="42" t="n">
        <x:f>D4</x:f>
        <x:v>0.09</x:v>
      </x:c>
      <x:c r="F5" s="42" t="n">
        <x:f>D5</x:f>
        <x:v>0.25</x:v>
      </x:c>
      <x:c r="J5" t="n">
        <x:f>A5</x:f>
        <x:v>1</x:v>
      </x:c>
      <x:c r="K5" s="42" t="n">
        <x:f>C5</x:f>
        <x:v>0.16</x:v>
      </x:c>
      <x:c r="L5" t="n">
        <x:f>COUNTIF($C$15:$C$2014,J5)</x:f>
        <x:v>318</x:v>
      </x:c>
      <x:c r="M5" s="42" t="n">
        <x:f>L5/$B$12</x:f>
        <x:v>0.159</x:v>
      </x:c>
      <x:c r="N5" s="42" t="n">
        <x:f>ABS(M5-K5)</x:f>
        <x:v>0.0010000000000000009</x:v>
      </x:c>
      <x:c r="O5" s="42" t="n">
        <x:f>(L5-$B$12*K5)^2/($B$12*K5)</x:f>
        <x:v>0.0125</x:v>
      </x:c>
    </x:row>
    <x:row r="6">
      <x:c r="A6" t="n">
        <x:v>2</x:v>
      </x:c>
      <x:c r="B6" t="n">
        <x:v>51</x:v>
      </x:c>
      <x:c r="C6" s="42" t="n">
        <x:f>B6/SUM($B$4:$B$9)</x:f>
        <x:v>0.255</x:v>
      </x:c>
      <x:c r="D6" s="42" t="n">
        <x:f>SUM($C$4:C6)</x:f>
        <x:v>0.505</x:v>
      </x:c>
      <x:c r="E6" s="42" t="n">
        <x:f>D5</x:f>
        <x:v>0.25</x:v>
      </x:c>
      <x:c r="F6" s="42" t="n">
        <x:f>D6</x:f>
        <x:v>0.505</x:v>
      </x:c>
      <x:c r="J6" t="n">
        <x:f>A6</x:f>
        <x:v>2</x:v>
      </x:c>
      <x:c r="K6" s="42" t="n">
        <x:f>C6</x:f>
        <x:v>0.255</x:v>
      </x:c>
      <x:c r="L6" t="n">
        <x:f>COUNTIF($C$15:$C$2014,J6)</x:f>
        <x:v>513</x:v>
      </x:c>
      <x:c r="M6" s="42" t="n">
        <x:f>L6/$B$12</x:f>
        <x:v>0.2565</x:v>
      </x:c>
      <x:c r="N6" s="42" t="n">
        <x:f>ABS(M6-K6)</x:f>
        <x:v>0.0015000000000000013</x:v>
      </x:c>
      <x:c r="O6" s="42" t="n">
        <x:f>(L6-$B$12*K6)^2/($B$12*K6)</x:f>
        <x:v>0.01764705882352941</x:v>
      </x:c>
    </x:row>
    <x:row r="7">
      <x:c r="A7" t="n">
        <x:v>3</x:v>
      </x:c>
      <x:c r="B7" t="n">
        <x:v>48</x:v>
      </x:c>
      <x:c r="C7" s="42" t="n">
        <x:f>B7/SUM($B$4:$B$9)</x:f>
        <x:v>0.24</x:v>
      </x:c>
      <x:c r="D7" s="42" t="n">
        <x:f>SUM($C$4:C7)</x:f>
        <x:v>0.745</x:v>
      </x:c>
      <x:c r="E7" s="42" t="n">
        <x:f>D6</x:f>
        <x:v>0.505</x:v>
      </x:c>
      <x:c r="F7" s="42" t="n">
        <x:f>D7</x:f>
        <x:v>0.745</x:v>
      </x:c>
      <x:c r="J7" t="n">
        <x:f>A7</x:f>
        <x:v>3</x:v>
      </x:c>
      <x:c r="K7" s="42" t="n">
        <x:f>C7</x:f>
        <x:v>0.24</x:v>
      </x:c>
      <x:c r="L7" t="n">
        <x:f>COUNTIF($C$15:$C$2014,J7)</x:f>
        <x:v>501</x:v>
      </x:c>
      <x:c r="M7" s="42" t="n">
        <x:f>L7/$B$12</x:f>
        <x:v>0.2505</x:v>
      </x:c>
      <x:c r="N7" s="42" t="n">
        <x:f>ABS(M7-K7)</x:f>
        <x:v>0.01050000000000001</x:v>
      </x:c>
      <x:c r="O7" s="42" t="n">
        <x:f>(L7-$B$12*K7)^2/($B$12*K7)</x:f>
        <x:v>0.91875</x:v>
      </x:c>
    </x:row>
    <x:row r="8">
      <x:c r="A8" t="n">
        <x:v>4</x:v>
      </x:c>
      <x:c r="B8" t="n">
        <x:v>29</x:v>
      </x:c>
      <x:c r="C8" s="42" t="n">
        <x:f>B8/SUM($B$4:$B$9)</x:f>
        <x:v>0.145</x:v>
      </x:c>
      <x:c r="D8" s="42" t="n">
        <x:f>SUM($C$4:C8)</x:f>
        <x:v>0.89</x:v>
      </x:c>
      <x:c r="E8" s="42" t="n">
        <x:f>D7</x:f>
        <x:v>0.745</x:v>
      </x:c>
      <x:c r="F8" s="42" t="n">
        <x:f>D8</x:f>
        <x:v>0.89</x:v>
      </x:c>
      <x:c r="J8" t="n">
        <x:f>A8</x:f>
        <x:v>4</x:v>
      </x:c>
      <x:c r="K8" s="42" t="n">
        <x:f>C8</x:f>
        <x:v>0.145</x:v>
      </x:c>
      <x:c r="L8" t="n">
        <x:f>COUNTIF($C$15:$C$2014,J8)</x:f>
        <x:v>270</x:v>
      </x:c>
      <x:c r="M8" s="42" t="n">
        <x:f>L8/$B$12</x:f>
        <x:v>0.135</x:v>
      </x:c>
      <x:c r="N8" s="42" t="n">
        <x:f>ABS(M8-K8)</x:f>
        <x:v>0.009999999999999981</x:v>
      </x:c>
      <x:c r="O8" s="42" t="n">
        <x:f>(L8-$B$12*K8)^2/($B$12*K8)</x:f>
        <x:v>1.3793103448275863</x:v>
      </x:c>
    </x:row>
    <x:row r="9">
      <x:c r="A9" t="n">
        <x:v>5</x:v>
      </x:c>
      <x:c r="B9" t="n">
        <x:v>22</x:v>
      </x:c>
      <x:c r="C9" s="42" t="n">
        <x:f>B9/SUM($B$4:$B$9)</x:f>
        <x:v>0.11</x:v>
      </x:c>
      <x:c r="D9" s="42" t="n">
        <x:f>SUM($C$4:C9)</x:f>
        <x:v>1</x:v>
      </x:c>
      <x:c r="E9" s="42" t="n">
        <x:f>D8</x:f>
        <x:v>0.89</x:v>
      </x:c>
      <x:c r="F9" s="42" t="n">
        <x:f>D9</x:f>
        <x:v>1</x:v>
      </x:c>
      <x:c r="J9" t="n">
        <x:f>A9</x:f>
        <x:v>5</x:v>
      </x:c>
      <x:c r="K9" s="42" t="n">
        <x:f>C9</x:f>
        <x:v>0.11</x:v>
      </x:c>
      <x:c r="L9" t="n">
        <x:f>COUNTIF($C$15:$C$2014,J9)</x:f>
        <x:v>221</x:v>
      </x:c>
      <x:c r="M9" s="42" t="n">
        <x:f>L9/$B$12</x:f>
        <x:v>0.1105</x:v>
      </x:c>
      <x:c r="N9" s="42" t="n">
        <x:f>ABS(M9-K9)</x:f>
        <x:v>0.0005000000000000004</x:v>
      </x:c>
      <x:c r="O9" s="42" t="n">
        <x:f>(L9-$B$12*K9)^2/($B$12*K9)</x:f>
        <x:v>0.004545454545454545</x:v>
      </x:c>
    </x:row>
    <x:row r="11">
      <x:c r="A11" s="16" t="str">
        <x:v>Параметр</x:v>
      </x:c>
      <x:c r="B11" s="16" t="str">
        <x:v>Значение</x:v>
      </x:c>
      <x:c r="D11" s="32" t="str">
        <x:v>Генерация: для каждого u∈[0;1) выбирается значение, интервал которого содержит u.</x:v>
      </x:c>
      <x:c r="E11" s="32"/>
      <x:c r="F11" s="32"/>
      <x:c r="G11" s="32"/>
      <x:c r="H11" s="32"/>
      <x:c r="I11" s="32"/>
      <x:c r="J11" s="16" t="str">
        <x:v>Показатель</x:v>
      </x:c>
      <x:c r="K11" s="16" t="str">
        <x:v>Значение</x:v>
      </x:c>
      <x:c r="L11" s="32"/>
      <x:c r="M11" s="32"/>
      <x:c r="N11" s="32"/>
      <x:c r="O11" s="32"/>
      <x:c r="P11" s="32"/>
      <x:c r="Q11" s="32"/>
      <x:c r="R11" s="32"/>
    </x:row>
    <x:row r="12">
      <x:c r="A12" t="str">
        <x:v>Число генерируемых значений</x:v>
      </x:c>
      <x:c r="B12" t="n">
        <x:v>2000</x:v>
      </x:c>
      <x:c r="J12" t="str">
        <x:v>Среднее абсолютное отклонение вероятностей</x:v>
      </x:c>
      <x:c r="K12" s="40" t="n">
        <x:f>AVERAGE(N4:N9)</x:f>
        <x:v>0.004166666666666666</x:v>
      </x:c>
    </x:row>
    <x:row r="13">
      <x:c r="J13" t="str">
        <x:v>χ²</x:v>
      </x:c>
      <x:c r="K13" s="40" t="n">
        <x:f>SUM(O4:O9)</x:f>
        <x:v>2.3827528581965702</x:v>
      </x:c>
    </x:row>
    <x:row r="14">
      <x:c r="A14" s="16" t="str">
        <x:v>№</x:v>
      </x:c>
      <x:c r="B14" s="16" t="str">
        <x:v>u</x:v>
      </x:c>
      <x:c r="C14" s="16" t="str">
        <x:v>Смоделированное значение</x:v>
      </x:c>
    </x:row>
    <x:row r="15">
      <x:c r="A15" t="n">
        <x:v>1</x:v>
      </x:c>
      <x:c r="B15" s="40" t="n">
        <x:v>0.4554763784417377</x:v>
      </x:c>
      <x:c r="C15" t="n">
        <x:f>LOOKUP(B15,$E$4:$E$9,$A$4:$A$9)</x:f>
        <x:v>2</x:v>
      </x:c>
    </x:row>
    <x:row r="16">
      <x:c r="A16" t="n">
        <x:v>2</x:v>
      </x:c>
      <x:c r="B16" s="40" t="n">
        <x:v>0.11885798957022997</x:v>
      </x:c>
      <x:c r="C16" t="n">
        <x:f>LOOKUP(B16,$E$4:$E$9,$A$4:$A$9)</x:f>
        <x:v>1</x:v>
      </x:c>
      <x:c r="J16" s="16" t="str">
        <x:v>Значение</x:v>
      </x:c>
      <x:c r="K16" s="16" t="str">
        <x:v>Теор. вероятность</x:v>
      </x:c>
      <x:c r="L16" s="16" t="str">
        <x:v>Сим. вероятность</x:v>
      </x:c>
    </x:row>
    <x:row r="17">
      <x:c r="A17" t="n">
        <x:v>3</x:v>
      </x:c>
      <x:c r="B17" s="40" t="n">
        <x:v>0.5691734267387764</x:v>
      </x:c>
      <x:c r="C17" t="n">
        <x:f>LOOKUP(B17,$E$4:$E$9,$A$4:$A$9)</x:f>
        <x:v>3</x:v>
      </x:c>
      <x:c r="J17" t="n">
        <x:f>J4</x:f>
        <x:v>0</x:v>
      </x:c>
      <x:c r="K17" s="42" t="n">
        <x:f>K4</x:f>
        <x:v>0.09</x:v>
      </x:c>
      <x:c r="L17" s="42" t="n">
        <x:f>M4</x:f>
        <x:v>0.0885</x:v>
      </x:c>
    </x:row>
    <x:row r="18">
      <x:c r="A18" t="n">
        <x:v>4</x:v>
      </x:c>
      <x:c r="B18" s="40" t="n">
        <x:v>0.15642882803336522</x:v>
      </x:c>
      <x:c r="C18" t="n">
        <x:f>LOOKUP(B18,$E$4:$E$9,$A$4:$A$9)</x:f>
        <x:v>1</x:v>
      </x:c>
      <x:c r="J18" t="n">
        <x:f>J5</x:f>
        <x:v>1</x:v>
      </x:c>
      <x:c r="K18" s="42" t="n">
        <x:f>K5</x:f>
        <x:v>0.16</x:v>
      </x:c>
      <x:c r="L18" s="42" t="n">
        <x:f>M5</x:f>
        <x:v>0.159</x:v>
      </x:c>
    </x:row>
    <x:row r="19">
      <x:c r="A19" t="n">
        <x:v>5</x:v>
      </x:c>
      <x:c r="B19" s="40" t="n">
        <x:v>0.06095833389785599</x:v>
      </x:c>
      <x:c r="C19" t="n">
        <x:f>LOOKUP(B19,$E$4:$E$9,$A$4:$A$9)</x:f>
        <x:v>0</x:v>
      </x:c>
      <x:c r="J19" t="n">
        <x:f>J6</x:f>
        <x:v>2</x:v>
      </x:c>
      <x:c r="K19" s="42" t="n">
        <x:f>K6</x:f>
        <x:v>0.255</x:v>
      </x:c>
      <x:c r="L19" s="42" t="n">
        <x:f>M6</x:f>
        <x:v>0.2565</x:v>
      </x:c>
    </x:row>
    <x:row r="20">
      <x:c r="A20" t="n">
        <x:v>6</x:v>
      </x:c>
      <x:c r="B20" s="40" t="n">
        <x:v>0.4986678334288609</x:v>
      </x:c>
      <x:c r="C20" t="n">
        <x:f>LOOKUP(B20,$E$4:$E$9,$A$4:$A$9)</x:f>
        <x:v>2</x:v>
      </x:c>
      <x:c r="J20" t="n">
        <x:f>J7</x:f>
        <x:v>3</x:v>
      </x:c>
      <x:c r="K20" s="42" t="n">
        <x:f>K7</x:f>
        <x:v>0.24</x:v>
      </x:c>
      <x:c r="L20" s="42" t="n">
        <x:f>M7</x:f>
        <x:v>0.2505</x:v>
      </x:c>
    </x:row>
    <x:row r="21">
      <x:c r="A21" t="n">
        <x:v>7</x:v>
      </x:c>
      <x:c r="B21" s="40" t="n">
        <x:v>0.655373450046628</x:v>
      </x:c>
      <x:c r="C21" t="n">
        <x:f>LOOKUP(B21,$E$4:$E$9,$A$4:$A$9)</x:f>
        <x:v>3</x:v>
      </x:c>
      <x:c r="J21" t="n">
        <x:f>J8</x:f>
        <x:v>4</x:v>
      </x:c>
      <x:c r="K21" s="42" t="n">
        <x:f>K8</x:f>
        <x:v>0.145</x:v>
      </x:c>
      <x:c r="L21" s="42" t="n">
        <x:f>M8</x:f>
        <x:v>0.135</x:v>
      </x:c>
    </x:row>
    <x:row r="22">
      <x:c r="A22" t="n">
        <x:v>8</x:v>
      </x:c>
      <x:c r="B22" s="40" t="n">
        <x:v>0.854147306406393</x:v>
      </x:c>
      <x:c r="C22" t="n">
        <x:f>LOOKUP(B22,$E$4:$E$9,$A$4:$A$9)</x:f>
        <x:v>4</x:v>
      </x:c>
      <x:c r="J22" t="n">
        <x:f>J9</x:f>
        <x:v>5</x:v>
      </x:c>
      <x:c r="K22" s="42" t="n">
        <x:f>K9</x:f>
        <x:v>0.11</x:v>
      </x:c>
      <x:c r="L22" s="42" t="n">
        <x:f>M9</x:f>
        <x:v>0.1105</x:v>
      </x:c>
    </x:row>
    <x:row r="23">
      <x:c r="A23" t="n">
        <x:v>9</x:v>
      </x:c>
      <x:c r="B23" s="40" t="n">
        <x:v>0.7828355539543036</x:v>
      </x:c>
      <x:c r="C23" t="n">
        <x:f>LOOKUP(B23,$E$4:$E$9,$A$4:$A$9)</x:f>
        <x:v>4</x:v>
      </x:c>
    </x:row>
    <x:row r="24">
      <x:c r="A24" t="n">
        <x:v>10</x:v>
      </x:c>
      <x:c r="B24" s="40" t="n">
        <x:v>0.8572405127565482</x:v>
      </x:c>
      <x:c r="C24" t="n">
        <x:f>LOOKUP(B24,$E$4:$E$9,$A$4:$A$9)</x:f>
        <x:v>4</x:v>
      </x:c>
    </x:row>
    <x:row r="25">
      <x:c r="A25" t="n">
        <x:v>11</x:v>
      </x:c>
      <x:c r="B25" s="40" t="n">
        <x:v>0.7600687708208905</x:v>
      </x:c>
      <x:c r="C25" t="n">
        <x:f>LOOKUP(B25,$E$4:$E$9,$A$4:$A$9)</x:f>
        <x:v>4</x:v>
      </x:c>
    </x:row>
    <x:row r="26">
      <x:c r="A26" t="n">
        <x:v>12</x:v>
      </x:c>
      <x:c r="B26" s="40" t="n">
        <x:v>0.7032393969061393</x:v>
      </x:c>
      <x:c r="C26" t="n">
        <x:f>LOOKUP(B26,$E$4:$E$9,$A$4:$A$9)</x:f>
        <x:v>3</x:v>
      </x:c>
    </x:row>
    <x:row r="27">
      <x:c r="A27" t="n">
        <x:v>13</x:v>
      </x:c>
      <x:c r="B27" s="40" t="n">
        <x:v>0.010137569140699632</x:v>
      </x:c>
      <x:c r="C27" t="n">
        <x:f>LOOKUP(B27,$E$4:$E$9,$A$4:$A$9)</x:f>
        <x:v>0</x:v>
      </x:c>
    </x:row>
    <x:row r="28">
      <x:c r="A28" t="n">
        <x:v>14</x:v>
      </x:c>
      <x:c r="B28" s="40" t="n">
        <x:v>0.6261023118092105</x:v>
      </x:c>
      <x:c r="C28" t="n">
        <x:f>LOOKUP(B28,$E$4:$E$9,$A$4:$A$9)</x:f>
        <x:v>3</x:v>
      </x:c>
    </x:row>
    <x:row r="29">
      <x:c r="A29" t="n">
        <x:v>15</x:v>
      </x:c>
      <x:c r="B29" s="40" t="n">
        <x:v>0.12048180413911769</x:v>
      </x:c>
      <x:c r="C29" t="n">
        <x:f>LOOKUP(B29,$E$4:$E$9,$A$4:$A$9)</x:f>
        <x:v>1</x:v>
      </x:c>
    </x:row>
    <x:row r="30">
      <x:c r="A30" t="n">
        <x:v>16</x:v>
      </x:c>
      <x:c r="B30" s="40" t="n">
        <x:v>0.05866713233254106</x:v>
      </x:c>
      <x:c r="C30" t="n">
        <x:f>LOOKUP(B30,$E$4:$E$9,$A$4:$A$9)</x:f>
        <x:v>0</x:v>
      </x:c>
    </x:row>
    <x:row r="31">
      <x:c r="A31" t="n">
        <x:v>17</x:v>
      </x:c>
      <x:c r="B31" s="40" t="n">
        <x:v>0.1564121521056554</x:v>
      </x:c>
      <x:c r="C31" t="n">
        <x:f>LOOKUP(B31,$E$4:$E$9,$A$4:$A$9)</x:f>
        <x:v>1</x:v>
      </x:c>
    </x:row>
    <x:row r="32">
      <x:c r="A32" t="n">
        <x:v>18</x:v>
      </x:c>
      <x:c r="B32" s="40" t="n">
        <x:v>0.8232921614417502</x:v>
      </x:c>
      <x:c r="C32" t="n">
        <x:f>LOOKUP(B32,$E$4:$E$9,$A$4:$A$9)</x:f>
        <x:v>4</x:v>
      </x:c>
    </x:row>
    <x:row r="33">
      <x:c r="A33" t="n">
        <x:v>19</x:v>
      </x:c>
      <x:c r="B33" s="40" t="n">
        <x:v>0.7438493931000214</x:v>
      </x:c>
      <x:c r="C33" t="n">
        <x:f>LOOKUP(B33,$E$4:$E$9,$A$4:$A$9)</x:f>
        <x:v>3</x:v>
      </x:c>
    </x:row>
    <x:row r="34">
      <x:c r="A34" t="n">
        <x:v>20</x:v>
      </x:c>
      <x:c r="B34" s="40" t="n">
        <x:v>0.9487724052052123</x:v>
      </x:c>
      <x:c r="C34" t="n">
        <x:f>LOOKUP(B34,$E$4:$E$9,$A$4:$A$9)</x:f>
        <x:v>5</x:v>
      </x:c>
    </x:row>
    <x:row r="35">
      <x:c r="A35" t="n">
        <x:v>21</x:v>
      </x:c>
      <x:c r="B35" s="40" t="n">
        <x:v>0.9789762586504105</x:v>
      </x:c>
      <x:c r="C35" t="n">
        <x:f>LOOKUP(B35,$E$4:$E$9,$A$4:$A$9)</x:f>
        <x:v>5</x:v>
      </x:c>
    </x:row>
    <x:row r="36">
      <x:c r="A36" t="n">
        <x:v>22</x:v>
      </x:c>
      <x:c r="B36" s="40" t="n">
        <x:v>0.8932839863739821</x:v>
      </x:c>
      <x:c r="C36" t="n">
        <x:f>LOOKUP(B36,$E$4:$E$9,$A$4:$A$9)</x:f>
        <x:v>5</x:v>
      </x:c>
    </x:row>
    <x:row r="37">
      <x:c r="A37" t="n">
        <x:v>23</x:v>
      </x:c>
      <x:c r="B37" s="40" t="n">
        <x:v>0.13292605097699917</x:v>
      </x:c>
      <x:c r="C37" t="n">
        <x:f>LOOKUP(B37,$E$4:$E$9,$A$4:$A$9)</x:f>
        <x:v>1</x:v>
      </x:c>
    </x:row>
    <x:row r="38">
      <x:c r="A38" t="n">
        <x:v>24</x:v>
      </x:c>
      <x:c r="B38" s="40" t="n">
        <x:v>0.8783827409249804</x:v>
      </x:c>
      <x:c r="C38" t="n">
        <x:f>LOOKUP(B38,$E$4:$E$9,$A$4:$A$9)</x:f>
        <x:v>4</x:v>
      </x:c>
    </x:row>
    <x:row r="39">
      <x:c r="A39" t="n">
        <x:v>25</x:v>
      </x:c>
      <x:c r="B39" s="40" t="n">
        <x:v>0.8386371347886453</x:v>
      </x:c>
      <x:c r="C39" t="n">
        <x:f>LOOKUP(B39,$E$4:$E$9,$A$4:$A$9)</x:f>
        <x:v>4</x:v>
      </x:c>
    </x:row>
    <x:row r="40">
      <x:c r="A40" t="n">
        <x:v>26</x:v>
      </x:c>
      <x:c r="B40" s="40" t="n">
        <x:v>0.8710858598596973</x:v>
      </x:c>
      <x:c r="C40" t="n">
        <x:f>LOOKUP(B40,$E$4:$E$9,$A$4:$A$9)</x:f>
        <x:v>4</x:v>
      </x:c>
    </x:row>
    <x:row r="41">
      <x:c r="A41" t="n">
        <x:v>27</x:v>
      </x:c>
      <x:c r="B41" s="40" t="n">
        <x:v>0.15168561711649142</x:v>
      </x:c>
      <x:c r="C41" t="n">
        <x:f>LOOKUP(B41,$E$4:$E$9,$A$4:$A$9)</x:f>
        <x:v>1</x:v>
      </x:c>
    </x:row>
    <x:row r="42">
      <x:c r="A42" t="n">
        <x:v>28</x:v>
      </x:c>
      <x:c r="B42" s="40" t="n">
        <x:v>0.11679182777331754</x:v>
      </x:c>
      <x:c r="C42" t="n">
        <x:f>LOOKUP(B42,$E$4:$E$9,$A$4:$A$9)</x:f>
        <x:v>1</x:v>
      </x:c>
    </x:row>
    <x:row r="43">
      <x:c r="A43" t="n">
        <x:v>29</x:v>
      </x:c>
      <x:c r="B43" s="40" t="n">
        <x:v>0.9238088795840816</x:v>
      </x:c>
      <x:c r="C43" t="n">
        <x:f>LOOKUP(B43,$E$4:$E$9,$A$4:$A$9)</x:f>
        <x:v>5</x:v>
      </x:c>
    </x:row>
    <x:row r="44">
      <x:c r="A44" t="n">
        <x:v>30</x:v>
      </x:c>
      <x:c r="B44" s="40" t="n">
        <x:v>0.17382664913450452</x:v>
      </x:c>
      <x:c r="C44" t="n">
        <x:f>LOOKUP(B44,$E$4:$E$9,$A$4:$A$9)</x:f>
        <x:v>1</x:v>
      </x:c>
    </x:row>
    <x:row r="45">
      <x:c r="A45" t="n">
        <x:v>31</x:v>
      </x:c>
      <x:c r="B45" s="40" t="n">
        <x:v>0.3686217310426012</x:v>
      </x:c>
      <x:c r="C45" t="n">
        <x:f>LOOKUP(B45,$E$4:$E$9,$A$4:$A$9)</x:f>
        <x:v>2</x:v>
      </x:c>
    </x:row>
    <x:row r="46">
      <x:c r="A46" t="n">
        <x:v>32</x:v>
      </x:c>
      <x:c r="B46" s="40" t="n">
        <x:v>0.45598484949406026</x:v>
      </x:c>
      <x:c r="C46" t="n">
        <x:f>LOOKUP(B46,$E$4:$E$9,$A$4:$A$9)</x:f>
        <x:v>2</x:v>
      </x:c>
    </x:row>
    <x:row r="47">
      <x:c r="A47" t="n">
        <x:v>33</x:v>
      </x:c>
      <x:c r="B47" s="40" t="n">
        <x:v>0.12444252782956444</x:v>
      </x:c>
      <x:c r="C47" t="n">
        <x:f>LOOKUP(B47,$E$4:$E$9,$A$4:$A$9)</x:f>
        <x:v>1</x:v>
      </x:c>
    </x:row>
    <x:row r="48">
      <x:c r="A48" t="n">
        <x:v>34</x:v>
      </x:c>
      <x:c r="B48" s="40" t="n">
        <x:v>0.02063428803254741</x:v>
      </x:c>
      <x:c r="C48" t="n">
        <x:f>LOOKUP(B48,$E$4:$E$9,$A$4:$A$9)</x:f>
        <x:v>0</x:v>
      </x:c>
    </x:row>
    <x:row r="49">
      <x:c r="A49" t="n">
        <x:v>35</x:v>
      </x:c>
      <x:c r="B49" s="40" t="n">
        <x:v>0.9940904697671161</x:v>
      </x:c>
      <x:c r="C49" t="n">
        <x:f>LOOKUP(B49,$E$4:$E$9,$A$4:$A$9)</x:f>
        <x:v>5</x:v>
      </x:c>
    </x:row>
    <x:row r="50">
      <x:c r="A50" t="n">
        <x:v>36</x:v>
      </x:c>
      <x:c r="B50" s="40" t="n">
        <x:v>0.8766572448349611</x:v>
      </x:c>
      <x:c r="C50" t="n">
        <x:f>LOOKUP(B50,$E$4:$E$9,$A$4:$A$9)</x:f>
        <x:v>4</x:v>
      </x:c>
    </x:row>
    <x:row r="51">
      <x:c r="A51" t="n">
        <x:v>37</x:v>
      </x:c>
      <x:c r="B51" s="40" t="n">
        <x:v>0.9123379293506373</x:v>
      </x:c>
      <x:c r="C51" t="n">
        <x:f>LOOKUP(B51,$E$4:$E$9,$A$4:$A$9)</x:f>
        <x:v>5</x:v>
      </x:c>
    </x:row>
    <x:row r="52">
      <x:c r="A52" t="n">
        <x:v>38</x:v>
      </x:c>
      <x:c r="B52" s="40" t="n">
        <x:v>0.2845630692721185</x:v>
      </x:c>
      <x:c r="C52" t="n">
        <x:f>LOOKUP(B52,$E$4:$E$9,$A$4:$A$9)</x:f>
        <x:v>2</x:v>
      </x:c>
    </x:row>
    <x:row r="53">
      <x:c r="A53" t="n">
        <x:v>39</x:v>
      </x:c>
      <x:c r="B53" s="40" t="n">
        <x:v>0.22010157274543907</x:v>
      </x:c>
      <x:c r="C53" t="n">
        <x:f>LOOKUP(B53,$E$4:$E$9,$A$4:$A$9)</x:f>
        <x:v>1</x:v>
      </x:c>
    </x:row>
    <x:row r="54">
      <x:c r="A54" t="n">
        <x:v>40</x:v>
      </x:c>
      <x:c r="B54" s="40" t="n">
        <x:v>0.4258665581754266</x:v>
      </x:c>
      <x:c r="C54" t="n">
        <x:f>LOOKUP(B54,$E$4:$E$9,$A$4:$A$9)</x:f>
        <x:v>2</x:v>
      </x:c>
    </x:row>
    <x:row r="55">
      <x:c r="A55" t="n">
        <x:v>41</x:v>
      </x:c>
      <x:c r="B55" s="40" t="n">
        <x:v>0.45331936897800684</x:v>
      </x:c>
      <x:c r="C55" t="n">
        <x:f>LOOKUP(B55,$E$4:$E$9,$A$4:$A$9)</x:f>
        <x:v>2</x:v>
      </x:c>
    </x:row>
    <x:row r="56">
      <x:c r="A56" t="n">
        <x:v>42</x:v>
      </x:c>
      <x:c r="B56" s="40" t="n">
        <x:v>0.005599438864240636</x:v>
      </x:c>
      <x:c r="C56" t="n">
        <x:f>LOOKUP(B56,$E$4:$E$9,$A$4:$A$9)</x:f>
        <x:v>0</x:v>
      </x:c>
    </x:row>
    <x:row r="57">
      <x:c r="A57" t="n">
        <x:v>43</x:v>
      </x:c>
      <x:c r="B57" s="40" t="n">
        <x:v>0.7792531125598329</x:v>
      </x:c>
      <x:c r="C57" t="n">
        <x:f>LOOKUP(B57,$E$4:$E$9,$A$4:$A$9)</x:f>
        <x:v>4</x:v>
      </x:c>
    </x:row>
    <x:row r="58">
      <x:c r="A58" t="n">
        <x:v>44</x:v>
      </x:c>
      <x:c r="B58" s="40" t="n">
        <x:v>0.9966670381420173</x:v>
      </x:c>
      <x:c r="C58" t="n">
        <x:f>LOOKUP(B58,$E$4:$E$9,$A$4:$A$9)</x:f>
        <x:v>5</x:v>
      </x:c>
    </x:row>
    <x:row r="59">
      <x:c r="A59" t="n">
        <x:v>45</x:v>
      </x:c>
      <x:c r="B59" s="40" t="n">
        <x:v>0.5286908701020894</x:v>
      </x:c>
      <x:c r="C59" t="n">
        <x:f>LOOKUP(B59,$E$4:$E$9,$A$4:$A$9)</x:f>
        <x:v>3</x:v>
      </x:c>
    </x:row>
    <x:row r="60">
      <x:c r="A60" t="n">
        <x:v>46</x:v>
      </x:c>
      <x:c r="B60" s="40" t="n">
        <x:v>0.38825869501245125</x:v>
      </x:c>
      <x:c r="C60" t="n">
        <x:f>LOOKUP(B60,$E$4:$E$9,$A$4:$A$9)</x:f>
        <x:v>2</x:v>
      </x:c>
    </x:row>
    <x:row r="61">
      <x:c r="A61" t="n">
        <x:v>47</x:v>
      </x:c>
      <x:c r="B61" s="40" t="n">
        <x:v>0.3927518932212033</x:v>
      </x:c>
      <x:c r="C61" t="n">
        <x:f>LOOKUP(B61,$E$4:$E$9,$A$4:$A$9)</x:f>
        <x:v>2</x:v>
      </x:c>
    </x:row>
    <x:row r="62">
      <x:c r="A62" t="n">
        <x:v>48</x:v>
      </x:c>
      <x:c r="B62" s="40" t="n">
        <x:v>0.09607713217210068</x:v>
      </x:c>
      <x:c r="C62" t="n">
        <x:f>LOOKUP(B62,$E$4:$E$9,$A$4:$A$9)</x:f>
        <x:v>1</x:v>
      </x:c>
    </x:row>
    <x:row r="63">
      <x:c r="A63" t="n">
        <x:v>49</x:v>
      </x:c>
      <x:c r="B63" s="40" t="n">
        <x:v>0.26616181836401176</x:v>
      </x:c>
      <x:c r="C63" t="n">
        <x:f>LOOKUP(B63,$E$4:$E$9,$A$4:$A$9)</x:f>
        <x:v>2</x:v>
      </x:c>
    </x:row>
    <x:row r="64">
      <x:c r="A64" t="n">
        <x:v>50</x:v>
      </x:c>
      <x:c r="B64" s="40" t="n">
        <x:v>0.5021327886346312</x:v>
      </x:c>
      <x:c r="C64" t="n">
        <x:f>LOOKUP(B64,$E$4:$E$9,$A$4:$A$9)</x:f>
        <x:v>2</x:v>
      </x:c>
    </x:row>
    <x:row r="65">
      <x:c r="A65" t="n">
        <x:v>51</x:v>
      </x:c>
      <x:c r="B65" s="40" t="n">
        <x:v>0.43184800113469735</x:v>
      </x:c>
      <x:c r="C65" t="n">
        <x:f>LOOKUP(B65,$E$4:$E$9,$A$4:$A$9)</x:f>
        <x:v>2</x:v>
      </x:c>
    </x:row>
    <x:row r="66">
      <x:c r="A66" t="n">
        <x:v>52</x:v>
      </x:c>
      <x:c r="B66" s="40" t="n">
        <x:v>0.5450347457431102</x:v>
      </x:c>
      <x:c r="C66" t="n">
        <x:f>LOOKUP(B66,$E$4:$E$9,$A$4:$A$9)</x:f>
        <x:v>3</x:v>
      </x:c>
    </x:row>
    <x:row r="67">
      <x:c r="A67" t="n">
        <x:v>53</x:v>
      </x:c>
      <x:c r="B67" s="40" t="n">
        <x:v>0.8490656486374066</x:v>
      </x:c>
      <x:c r="C67" t="n">
        <x:f>LOOKUP(B67,$E$4:$E$9,$A$4:$A$9)</x:f>
        <x:v>4</x:v>
      </x:c>
    </x:row>
    <x:row r="68">
      <x:c r="A68" t="n">
        <x:v>54</x:v>
      </x:c>
      <x:c r="B68" s="40" t="n">
        <x:v>0.22524230269961198</x:v>
      </x:c>
      <x:c r="C68" t="n">
        <x:f>LOOKUP(B68,$E$4:$E$9,$A$4:$A$9)</x:f>
        <x:v>1</x:v>
      </x:c>
    </x:row>
    <x:row r="69">
      <x:c r="A69" t="n">
        <x:v>55</x:v>
      </x:c>
      <x:c r="B69" s="40" t="n">
        <x:v>0.027664180906311953</x:v>
      </x:c>
      <x:c r="C69" t="n">
        <x:f>LOOKUP(B69,$E$4:$E$9,$A$4:$A$9)</x:f>
        <x:v>0</x:v>
      </x:c>
    </x:row>
    <x:row r="70">
      <x:c r="A70" t="n">
        <x:v>56</x:v>
      </x:c>
      <x:c r="B70" s="40" t="n">
        <x:v>0.038225445282740744</x:v>
      </x:c>
      <x:c r="C70" t="n">
        <x:f>LOOKUP(B70,$E$4:$E$9,$A$4:$A$9)</x:f>
        <x:v>0</x:v>
      </x:c>
    </x:row>
    <x:row r="71">
      <x:c r="A71" t="n">
        <x:v>57</x:v>
      </x:c>
      <x:c r="B71" s="40" t="n">
        <x:v>0.13416880530685837</x:v>
      </x:c>
      <x:c r="C71" t="n">
        <x:f>LOOKUP(B71,$E$4:$E$9,$A$4:$A$9)</x:f>
        <x:v>1</x:v>
      </x:c>
    </x:row>
    <x:row r="72">
      <x:c r="A72" t="n">
        <x:v>58</x:v>
      </x:c>
      <x:c r="B72" s="40" t="n">
        <x:v>0.5704829848044025</x:v>
      </x:c>
      <x:c r="C72" t="n">
        <x:f>LOOKUP(B72,$E$4:$E$9,$A$4:$A$9)</x:f>
        <x:v>3</x:v>
      </x:c>
    </x:row>
    <x:row r="73">
      <x:c r="A73" t="n">
        <x:v>59</x:v>
      </x:c>
      <x:c r="B73" s="40" t="n">
        <x:v>0.8081848100379248</x:v>
      </x:c>
      <x:c r="C73" t="n">
        <x:f>LOOKUP(B73,$E$4:$E$9,$A$4:$A$9)</x:f>
        <x:v>4</x:v>
      </x:c>
    </x:row>
    <x:row r="74">
      <x:c r="A74" t="n">
        <x:v>60</x:v>
      </x:c>
      <x:c r="B74" s="40" t="n">
        <x:v>0.8868059392806316</x:v>
      </x:c>
      <x:c r="C74" t="n">
        <x:f>LOOKUP(B74,$E$4:$E$9,$A$4:$A$9)</x:f>
        <x:v>4</x:v>
      </x:c>
    </x:row>
    <x:row r="75">
      <x:c r="A75" t="n">
        <x:v>61</x:v>
      </x:c>
      <x:c r="B75" s="40" t="n">
        <x:v>0.6351132019749712</x:v>
      </x:c>
      <x:c r="C75" t="n">
        <x:f>LOOKUP(B75,$E$4:$E$9,$A$4:$A$9)</x:f>
        <x:v>3</x:v>
      </x:c>
    </x:row>
    <x:row r="76">
      <x:c r="A76" t="n">
        <x:v>62</x:v>
      </x:c>
      <x:c r="B76" s="40" t="n">
        <x:v>0.40314325245089344</x:v>
      </x:c>
      <x:c r="C76" t="n">
        <x:f>LOOKUP(B76,$E$4:$E$9,$A$4:$A$9)</x:f>
        <x:v>2</x:v>
      </x:c>
    </x:row>
    <x:row r="77">
      <x:c r="A77" t="n">
        <x:v>63</x:v>
      </x:c>
      <x:c r="B77" s="40" t="n">
        <x:v>0.15451470815614743</x:v>
      </x:c>
      <x:c r="C77" t="n">
        <x:f>LOOKUP(B77,$E$4:$E$9,$A$4:$A$9)</x:f>
        <x:v>1</x:v>
      </x:c>
    </x:row>
    <x:row r="78">
      <x:c r="A78" t="n">
        <x:v>64</x:v>
      </x:c>
      <x:c r="B78" s="40" t="n">
        <x:v>0.40141833944347904</x:v>
      </x:c>
      <x:c r="C78" t="n">
        <x:f>LOOKUP(B78,$E$4:$E$9,$A$4:$A$9)</x:f>
        <x:v>2</x:v>
      </x:c>
    </x:row>
    <x:row r="79">
      <x:c r="A79" t="n">
        <x:v>65</x:v>
      </x:c>
      <x:c r="B79" s="40" t="n">
        <x:v>0.33241513390778354</x:v>
      </x:c>
      <x:c r="C79" t="n">
        <x:f>LOOKUP(B79,$E$4:$E$9,$A$4:$A$9)</x:f>
        <x:v>2</x:v>
      </x:c>
    </x:row>
    <x:row r="80">
      <x:c r="A80" t="n">
        <x:v>66</x:v>
      </x:c>
      <x:c r="B80" s="40" t="n">
        <x:v>0.8700258808571377</x:v>
      </x:c>
      <x:c r="C80" t="n">
        <x:f>LOOKUP(B80,$E$4:$E$9,$A$4:$A$9)</x:f>
        <x:v>4</x:v>
      </x:c>
    </x:row>
    <x:row r="81">
      <x:c r="A81" t="n">
        <x:v>67</x:v>
      </x:c>
      <x:c r="B81" s="40" t="n">
        <x:v>0.4867193774106072</x:v>
      </x:c>
      <x:c r="C81" t="n">
        <x:f>LOOKUP(B81,$E$4:$E$9,$A$4:$A$9)</x:f>
        <x:v>2</x:v>
      </x:c>
    </x:row>
    <x:row r="82">
      <x:c r="A82" t="n">
        <x:v>68</x:v>
      </x:c>
      <x:c r="B82" s="40" t="n">
        <x:v>0.22619589995452882</x:v>
      </x:c>
      <x:c r="C82" t="n">
        <x:f>LOOKUP(B82,$E$4:$E$9,$A$4:$A$9)</x:f>
        <x:v>1</x:v>
      </x:c>
    </x:row>
    <x:row r="83">
      <x:c r="A83" t="n">
        <x:v>69</x:v>
      </x:c>
      <x:c r="B83" s="40" t="n">
        <x:v>0.2888010668157799</x:v>
      </x:c>
      <x:c r="C83" t="n">
        <x:f>LOOKUP(B83,$E$4:$E$9,$A$4:$A$9)</x:f>
        <x:v>2</x:v>
      </x:c>
    </x:row>
    <x:row r="84">
      <x:c r="A84" t="n">
        <x:v>70</x:v>
      </x:c>
      <x:c r="B84" s="40" t="n">
        <x:v>0.136470164542689</x:v>
      </x:c>
      <x:c r="C84" t="n">
        <x:f>LOOKUP(B84,$E$4:$E$9,$A$4:$A$9)</x:f>
        <x:v>1</x:v>
      </x:c>
    </x:row>
    <x:row r="85">
      <x:c r="A85" t="n">
        <x:v>71</x:v>
      </x:c>
      <x:c r="B85" s="40" t="n">
        <x:v>0.9185854490691312</x:v>
      </x:c>
      <x:c r="C85" t="n">
        <x:f>LOOKUP(B85,$E$4:$E$9,$A$4:$A$9)</x:f>
        <x:v>5</x:v>
      </x:c>
    </x:row>
    <x:row r="86">
      <x:c r="A86" t="n">
        <x:v>72</x:v>
      </x:c>
      <x:c r="B86" s="40" t="n">
        <x:v>0.05034584623646854</x:v>
      </x:c>
      <x:c r="C86" t="n">
        <x:f>LOOKUP(B86,$E$4:$E$9,$A$4:$A$9)</x:f>
        <x:v>0</x:v>
      </x:c>
    </x:row>
    <x:row r="87">
      <x:c r="A87" t="n">
        <x:v>73</x:v>
      </x:c>
      <x:c r="B87" s="40" t="n">
        <x:v>0.012846248555894224</x:v>
      </x:c>
      <x:c r="C87" t="n">
        <x:f>LOOKUP(B87,$E$4:$E$9,$A$4:$A$9)</x:f>
        <x:v>0</x:v>
      </x:c>
    </x:row>
    <x:row r="88">
      <x:c r="A88" t="n">
        <x:v>74</x:v>
      </x:c>
      <x:c r="B88" s="40" t="n">
        <x:v>0.18298893352686874</x:v>
      </x:c>
      <x:c r="C88" t="n">
        <x:f>LOOKUP(B88,$E$4:$E$9,$A$4:$A$9)</x:f>
        <x:v>1</x:v>
      </x:c>
    </x:row>
    <x:row r="89">
      <x:c r="A89" t="n">
        <x:v>75</x:v>
      </x:c>
      <x:c r="B89" s="40" t="n">
        <x:v>0.8108740179106257</x:v>
      </x:c>
      <x:c r="C89" t="n">
        <x:f>LOOKUP(B89,$E$4:$E$9,$A$4:$A$9)</x:f>
        <x:v>4</x:v>
      </x:c>
    </x:row>
    <x:row r="90">
      <x:c r="A90" t="n">
        <x:v>76</x:v>
      </x:c>
      <x:c r="B90" s="40" t="n">
        <x:v>0.5234667866310813</x:v>
      </x:c>
      <x:c r="C90" t="n">
        <x:f>LOOKUP(B90,$E$4:$E$9,$A$4:$A$9)</x:f>
        <x:v>3</x:v>
      </x:c>
    </x:row>
    <x:row r="91">
      <x:c r="A91" t="n">
        <x:v>77</x:v>
      </x:c>
      <x:c r="B91" s="40" t="n">
        <x:v>0.6258432873769864</x:v>
      </x:c>
      <x:c r="C91" t="n">
        <x:f>LOOKUP(B91,$E$4:$E$9,$A$4:$A$9)</x:f>
        <x:v>3</x:v>
      </x:c>
    </x:row>
    <x:row r="92">
      <x:c r="A92" t="n">
        <x:v>78</x:v>
      </x:c>
      <x:c r="B92" s="40" t="n">
        <x:v>0.3577316754157348</x:v>
      </x:c>
      <x:c r="C92" t="n">
        <x:f>LOOKUP(B92,$E$4:$E$9,$A$4:$A$9)</x:f>
        <x:v>2</x:v>
      </x:c>
    </x:row>
    <x:row r="93">
      <x:c r="A93" t="n">
        <x:v>79</x:v>
      </x:c>
      <x:c r="B93" s="40" t="n">
        <x:v>0.06867798554917004</x:v>
      </x:c>
      <x:c r="C93" t="n">
        <x:f>LOOKUP(B93,$E$4:$E$9,$A$4:$A$9)</x:f>
        <x:v>0</x:v>
      </x:c>
    </x:row>
    <x:row r="94">
      <x:c r="A94" t="n">
        <x:v>80</x:v>
      </x:c>
      <x:c r="B94" s="40" t="n">
        <x:v>0.8561581624921681</x:v>
      </x:c>
      <x:c r="C94" t="n">
        <x:f>LOOKUP(B94,$E$4:$E$9,$A$4:$A$9)</x:f>
        <x:v>4</x:v>
      </x:c>
    </x:row>
    <x:row r="95">
      <x:c r="A95" t="n">
        <x:v>81</x:v>
      </x:c>
      <x:c r="B95" s="40" t="n">
        <x:v>0.19189427212540744</x:v>
      </x:c>
      <x:c r="C95" t="n">
        <x:f>LOOKUP(B95,$E$4:$E$9,$A$4:$A$9)</x:f>
        <x:v>1</x:v>
      </x:c>
    </x:row>
    <x:row r="96">
      <x:c r="A96" t="n">
        <x:v>82</x:v>
      </x:c>
      <x:c r="B96" s="40" t="n">
        <x:v>0.033059200545114686</x:v>
      </x:c>
      <x:c r="C96" t="n">
        <x:f>LOOKUP(B96,$E$4:$E$9,$A$4:$A$9)</x:f>
        <x:v>0</x:v>
      </x:c>
    </x:row>
    <x:row r="97">
      <x:c r="A97" t="n">
        <x:v>83</x:v>
      </x:c>
      <x:c r="B97" s="40" t="n">
        <x:v>0.5727041359331937</x:v>
      </x:c>
      <x:c r="C97" t="n">
        <x:f>LOOKUP(B97,$E$4:$E$9,$A$4:$A$9)</x:f>
        <x:v>3</x:v>
      </x:c>
    </x:row>
    <x:row r="98">
      <x:c r="A98" t="n">
        <x:v>84</x:v>
      </x:c>
      <x:c r="B98" s="40" t="n">
        <x:v>0.08328922038460107</x:v>
      </x:c>
      <x:c r="C98" t="n">
        <x:f>LOOKUP(B98,$E$4:$E$9,$A$4:$A$9)</x:f>
        <x:v>0</x:v>
      </x:c>
    </x:row>
    <x:row r="99">
      <x:c r="A99" t="n">
        <x:v>85</x:v>
      </x:c>
      <x:c r="B99" s="40" t="n">
        <x:v>0.09576185185983421</x:v>
      </x:c>
      <x:c r="C99" t="n">
        <x:f>LOOKUP(B99,$E$4:$E$9,$A$4:$A$9)</x:f>
        <x:v>1</x:v>
      </x:c>
    </x:row>
    <x:row r="100">
      <x:c r="A100" t="n">
        <x:v>86</x:v>
      </x:c>
      <x:c r="B100" s="40" t="n">
        <x:v>0.8003770314825251</x:v>
      </x:c>
      <x:c r="C100" t="n">
        <x:f>LOOKUP(B100,$E$4:$E$9,$A$4:$A$9)</x:f>
        <x:v>4</x:v>
      </x:c>
    </x:row>
    <x:row r="101">
      <x:c r="A101" t="n">
        <x:v>87</x:v>
      </x:c>
      <x:c r="B101" s="40" t="n">
        <x:v>0.4916095893179955</x:v>
      </x:c>
      <x:c r="C101" t="n">
        <x:f>LOOKUP(B101,$E$4:$E$9,$A$4:$A$9)</x:f>
        <x:v>2</x:v>
      </x:c>
    </x:row>
    <x:row r="102">
      <x:c r="A102" t="n">
        <x:v>88</x:v>
      </x:c>
      <x:c r="B102" s="40" t="n">
        <x:v>0.241508452247143</x:v>
      </x:c>
      <x:c r="C102" t="n">
        <x:f>LOOKUP(B102,$E$4:$E$9,$A$4:$A$9)</x:f>
        <x:v>1</x:v>
      </x:c>
    </x:row>
    <x:row r="103">
      <x:c r="A103" t="n">
        <x:v>89</x:v>
      </x:c>
      <x:c r="B103" s="40" t="n">
        <x:v>0.34862642335951877</x:v>
      </x:c>
      <x:c r="C103" t="n">
        <x:f>LOOKUP(B103,$E$4:$E$9,$A$4:$A$9)</x:f>
        <x:v>2</x:v>
      </x:c>
    </x:row>
    <x:row r="104">
      <x:c r="A104" t="n">
        <x:v>90</x:v>
      </x:c>
      <x:c r="B104" s="40" t="n">
        <x:v>0.7292409788431715</x:v>
      </x:c>
      <x:c r="C104" t="n">
        <x:f>LOOKUP(B104,$E$4:$E$9,$A$4:$A$9)</x:f>
        <x:v>3</x:v>
      </x:c>
    </x:row>
    <x:row r="105">
      <x:c r="A105" t="n">
        <x:v>91</x:v>
      </x:c>
      <x:c r="B105" s="40" t="n">
        <x:v>0.06635414475660184</x:v>
      </x:c>
      <x:c r="C105" t="n">
        <x:f>LOOKUP(B105,$E$4:$E$9,$A$4:$A$9)</x:f>
        <x:v>0</x:v>
      </x:c>
    </x:row>
    <x:row r="106">
      <x:c r="A106" t="n">
        <x:v>92</x:v>
      </x:c>
      <x:c r="B106" s="40" t="n">
        <x:v>0.11648061593320991</x:v>
      </x:c>
      <x:c r="C106" t="n">
        <x:f>LOOKUP(B106,$E$4:$E$9,$A$4:$A$9)</x:f>
        <x:v>1</x:v>
      </x:c>
    </x:row>
    <x:row r="107">
      <x:c r="A107" t="n">
        <x:v>93</x:v>
      </x:c>
      <x:c r="B107" s="40" t="n">
        <x:v>0.6162620349905696</x:v>
      </x:c>
      <x:c r="C107" t="n">
        <x:f>LOOKUP(B107,$E$4:$E$9,$A$4:$A$9)</x:f>
        <x:v>3</x:v>
      </x:c>
    </x:row>
    <x:row r="108">
      <x:c r="A108" t="n">
        <x:v>94</x:v>
      </x:c>
      <x:c r="B108" s="40" t="n">
        <x:v>0.6069717344671073</x:v>
      </x:c>
      <x:c r="C108" t="n">
        <x:f>LOOKUP(B108,$E$4:$E$9,$A$4:$A$9)</x:f>
        <x:v>3</x:v>
      </x:c>
    </x:row>
    <x:row r="109">
      <x:c r="A109" t="n">
        <x:v>95</x:v>
      </x:c>
      <x:c r="B109" s="40" t="n">
        <x:v>0.9724621845353718</x:v>
      </x:c>
      <x:c r="C109" t="n">
        <x:f>LOOKUP(B109,$E$4:$E$9,$A$4:$A$9)</x:f>
        <x:v>5</x:v>
      </x:c>
    </x:row>
    <x:row r="110">
      <x:c r="A110" t="n">
        <x:v>96</x:v>
      </x:c>
      <x:c r="B110" s="40" t="n">
        <x:v>0.3745494812554496</x:v>
      </x:c>
      <x:c r="C110" t="n">
        <x:f>LOOKUP(B110,$E$4:$E$9,$A$4:$A$9)</x:f>
        <x:v>2</x:v>
      </x:c>
    </x:row>
    <x:row r="111">
      <x:c r="A111" t="n">
        <x:v>97</x:v>
      </x:c>
      <x:c r="B111" s="40" t="n">
        <x:v>0.06507762717751586</x:v>
      </x:c>
      <x:c r="C111" t="n">
        <x:f>LOOKUP(B111,$E$4:$E$9,$A$4:$A$9)</x:f>
        <x:v>0</x:v>
      </x:c>
    </x:row>
    <x:row r="112">
      <x:c r="A112" t="n">
        <x:v>98</x:v>
      </x:c>
      <x:c r="B112" s="40" t="n">
        <x:v>0.5375374348496279</x:v>
      </x:c>
      <x:c r="C112" t="n">
        <x:f>LOOKUP(B112,$E$4:$E$9,$A$4:$A$9)</x:f>
        <x:v>3</x:v>
      </x:c>
    </x:row>
    <x:row r="113">
      <x:c r="A113" t="n">
        <x:v>99</x:v>
      </x:c>
      <x:c r="B113" s="40" t="n">
        <x:v>0.6383468117617903</x:v>
      </x:c>
      <x:c r="C113" t="n">
        <x:f>LOOKUP(B113,$E$4:$E$9,$A$4:$A$9)</x:f>
        <x:v>3</x:v>
      </x:c>
    </x:row>
    <x:row r="114">
      <x:c r="A114" t="n">
        <x:v>100</x:v>
      </x:c>
      <x:c r="B114" s="40" t="n">
        <x:v>0.13960278578624907</x:v>
      </x:c>
      <x:c r="C114" t="n">
        <x:f>LOOKUP(B114,$E$4:$E$9,$A$4:$A$9)</x:f>
        <x:v>1</x:v>
      </x:c>
    </x:row>
    <x:row r="115">
      <x:c r="A115" t="n">
        <x:v>101</x:v>
      </x:c>
      <x:c r="B115" s="40" t="n">
        <x:v>0.5528619735351967</x:v>
      </x:c>
      <x:c r="C115" t="n">
        <x:f>LOOKUP(B115,$E$4:$E$9,$A$4:$A$9)</x:f>
        <x:v>3</x:v>
      </x:c>
    </x:row>
    <x:row r="116">
      <x:c r="A116" t="n">
        <x:v>102</x:v>
      </x:c>
      <x:c r="B116" s="40" t="n">
        <x:v>0.1977671216582646</x:v>
      </x:c>
      <x:c r="C116" t="n">
        <x:f>LOOKUP(B116,$E$4:$E$9,$A$4:$A$9)</x:f>
        <x:v>1</x:v>
      </x:c>
    </x:row>
    <x:row r="117">
      <x:c r="A117" t="n">
        <x:v>103</x:v>
      </x:c>
      <x:c r="B117" s="40" t="n">
        <x:v>0.8447300578810684</x:v>
      </x:c>
      <x:c r="C117" t="n">
        <x:f>LOOKUP(B117,$E$4:$E$9,$A$4:$A$9)</x:f>
        <x:v>4</x:v>
      </x:c>
    </x:row>
    <x:row r="118">
      <x:c r="A118" t="n">
        <x:v>104</x:v>
      </x:c>
      <x:c r="B118" s="40" t="n">
        <x:v>0.8351614957838297</x:v>
      </x:c>
      <x:c r="C118" t="n">
        <x:f>LOOKUP(B118,$E$4:$E$9,$A$4:$A$9)</x:f>
        <x:v>4</x:v>
      </x:c>
    </x:row>
    <x:row r="119">
      <x:c r="A119" t="n">
        <x:v>105</x:v>
      </x:c>
      <x:c r="B119" s="40" t="n">
        <x:v>0.4296290959984418</x:v>
      </x:c>
      <x:c r="C119" t="n">
        <x:f>LOOKUP(B119,$E$4:$E$9,$A$4:$A$9)</x:f>
        <x:v>2</x:v>
      </x:c>
    </x:row>
    <x:row r="120">
      <x:c r="A120" t="n">
        <x:v>106</x:v>
      </x:c>
      <x:c r="B120" s="40" t="n">
        <x:v>0.966743190512804</x:v>
      </x:c>
      <x:c r="C120" t="n">
        <x:f>LOOKUP(B120,$E$4:$E$9,$A$4:$A$9)</x:f>
        <x:v>5</x:v>
      </x:c>
    </x:row>
    <x:row r="121">
      <x:c r="A121" t="n">
        <x:v>107</x:v>
      </x:c>
      <x:c r="B121" s="40" t="n">
        <x:v>0.9797738744497416</x:v>
      </x:c>
      <x:c r="C121" t="n">
        <x:f>LOOKUP(B121,$E$4:$E$9,$A$4:$A$9)</x:f>
        <x:v>5</x:v>
      </x:c>
    </x:row>
    <x:row r="122">
      <x:c r="A122" t="n">
        <x:v>108</x:v>
      </x:c>
      <x:c r="B122" s="40" t="n">
        <x:v>0.1292510889476195</x:v>
      </x:c>
      <x:c r="C122" t="n">
        <x:f>LOOKUP(B122,$E$4:$E$9,$A$4:$A$9)</x:f>
        <x:v>1</x:v>
      </x:c>
    </x:row>
    <x:row r="123">
      <x:c r="A123" t="n">
        <x:v>109</x:v>
      </x:c>
      <x:c r="B123" s="40" t="n">
        <x:v>0.36771380483246763</x:v>
      </x:c>
      <x:c r="C123" t="n">
        <x:f>LOOKUP(B123,$E$4:$E$9,$A$4:$A$9)</x:f>
        <x:v>2</x:v>
      </x:c>
    </x:row>
    <x:row r="124">
      <x:c r="A124" t="n">
        <x:v>110</x:v>
      </x:c>
      <x:c r="B124" s="40" t="n">
        <x:v>0.6003214700466446</x:v>
      </x:c>
      <x:c r="C124" t="n">
        <x:f>LOOKUP(B124,$E$4:$E$9,$A$4:$A$9)</x:f>
        <x:v>3</x:v>
      </x:c>
    </x:row>
    <x:row r="125">
      <x:c r="A125" t="n">
        <x:v>111</x:v>
      </x:c>
      <x:c r="B125" s="40" t="n">
        <x:v>0.08483780958144438</x:v>
      </x:c>
      <x:c r="C125" t="n">
        <x:f>LOOKUP(B125,$E$4:$E$9,$A$4:$A$9)</x:f>
        <x:v>0</x:v>
      </x:c>
    </x:row>
    <x:row r="126">
      <x:c r="A126" t="n">
        <x:v>112</x:v>
      </x:c>
      <x:c r="B126" s="40" t="n">
        <x:v>0.38265550381413704</x:v>
      </x:c>
      <x:c r="C126" t="n">
        <x:f>LOOKUP(B126,$E$4:$E$9,$A$4:$A$9)</x:f>
        <x:v>2</x:v>
      </x:c>
    </x:row>
    <x:row r="127">
      <x:c r="A127" t="n">
        <x:v>113</x:v>
      </x:c>
      <x:c r="B127" s="40" t="n">
        <x:v>0.26117208401659076</x:v>
      </x:c>
      <x:c r="C127" t="n">
        <x:f>LOOKUP(B127,$E$4:$E$9,$A$4:$A$9)</x:f>
        <x:v>2</x:v>
      </x:c>
    </x:row>
    <x:row r="128">
      <x:c r="A128" t="n">
        <x:v>114</x:v>
      </x:c>
      <x:c r="B128" s="40" t="n">
        <x:v>0.9520502209667041</x:v>
      </x:c>
      <x:c r="C128" t="n">
        <x:f>LOOKUP(B128,$E$4:$E$9,$A$4:$A$9)</x:f>
        <x:v>5</x:v>
      </x:c>
    </x:row>
    <x:row r="129">
      <x:c r="A129" t="n">
        <x:v>115</x:v>
      </x:c>
      <x:c r="B129" s="40" t="n">
        <x:v>0.4115858228314705</x:v>
      </x:c>
      <x:c r="C129" t="n">
        <x:f>LOOKUP(B129,$E$4:$E$9,$A$4:$A$9)</x:f>
        <x:v>2</x:v>
      </x:c>
    </x:row>
    <x:row r="130">
      <x:c r="A130" t="n">
        <x:v>116</x:v>
      </x:c>
      <x:c r="B130" s="40" t="n">
        <x:v>0.7626708585475125</x:v>
      </x:c>
      <x:c r="C130" t="n">
        <x:f>LOOKUP(B130,$E$4:$E$9,$A$4:$A$9)</x:f>
        <x:v>4</x:v>
      </x:c>
    </x:row>
    <x:row r="131">
      <x:c r="A131" t="n">
        <x:v>117</x:v>
      </x:c>
      <x:c r="B131" s="40" t="n">
        <x:v>0.38670536351217377</x:v>
      </x:c>
      <x:c r="C131" t="n">
        <x:f>LOOKUP(B131,$E$4:$E$9,$A$4:$A$9)</x:f>
        <x:v>2</x:v>
      </x:c>
    </x:row>
    <x:row r="132">
      <x:c r="A132" t="n">
        <x:v>118</x:v>
      </x:c>
      <x:c r="B132" s="40" t="n">
        <x:v>0.13181207041883547</x:v>
      </x:c>
      <x:c r="C132" t="n">
        <x:f>LOOKUP(B132,$E$4:$E$9,$A$4:$A$9)</x:f>
        <x:v>1</x:v>
      </x:c>
    </x:row>
    <x:row r="133">
      <x:c r="A133" t="n">
        <x:v>119</x:v>
      </x:c>
      <x:c r="B133" s="40" t="n">
        <x:v>0.8631515301608474</x:v>
      </x:c>
      <x:c r="C133" t="n">
        <x:f>LOOKUP(B133,$E$4:$E$9,$A$4:$A$9)</x:f>
        <x:v>4</x:v>
      </x:c>
    </x:row>
    <x:row r="134">
      <x:c r="A134" t="n">
        <x:v>120</x:v>
      </x:c>
      <x:c r="B134" s="40" t="n">
        <x:v>0.00041691690310385887</x:v>
      </x:c>
      <x:c r="C134" t="n">
        <x:f>LOOKUP(B134,$E$4:$E$9,$A$4:$A$9)</x:f>
        <x:v>0</x:v>
      </x:c>
    </x:row>
    <x:row r="135">
      <x:c r="A135" t="n">
        <x:v>121</x:v>
      </x:c>
      <x:c r="B135" s="40" t="n">
        <x:v>0.05594087397445002</x:v>
      </x:c>
      <x:c r="C135" t="n">
        <x:f>LOOKUP(B135,$E$4:$E$9,$A$4:$A$9)</x:f>
        <x:v>0</x:v>
      </x:c>
    </x:row>
    <x:row r="136">
      <x:c r="A136" t="n">
        <x:v>122</x:v>
      </x:c>
      <x:c r="B136" s="40" t="n">
        <x:v>0.36438440589704324</x:v>
      </x:c>
      <x:c r="C136" t="n">
        <x:f>LOOKUP(B136,$E$4:$E$9,$A$4:$A$9)</x:f>
        <x:v>2</x:v>
      </x:c>
    </x:row>
    <x:row r="137">
      <x:c r="A137" t="n">
        <x:v>123</x:v>
      </x:c>
      <x:c r="B137" s="40" t="n">
        <x:v>0.6868982555187365</x:v>
      </x:c>
      <x:c r="C137" t="n">
        <x:f>LOOKUP(B137,$E$4:$E$9,$A$4:$A$9)</x:f>
        <x:v>3</x:v>
      </x:c>
    </x:row>
    <x:row r="138">
      <x:c r="A138" t="n">
        <x:v>124</x:v>
      </x:c>
      <x:c r="B138" s="40" t="n">
        <x:v>0.34170429529077573</x:v>
      </x:c>
      <x:c r="C138" t="n">
        <x:f>LOOKUP(B138,$E$4:$E$9,$A$4:$A$9)</x:f>
        <x:v>2</x:v>
      </x:c>
    </x:row>
    <x:row r="139">
      <x:c r="A139" t="n">
        <x:v>125</x:v>
      </x:c>
      <x:c r="B139" s="40" t="n">
        <x:v>0.06631281762097496</x:v>
      </x:c>
      <x:c r="C139" t="n">
        <x:f>LOOKUP(B139,$E$4:$E$9,$A$4:$A$9)</x:f>
        <x:v>0</x:v>
      </x:c>
    </x:row>
    <x:row r="140">
      <x:c r="A140" t="n">
        <x:v>126</x:v>
      </x:c>
      <x:c r="B140" s="40" t="n">
        <x:v>0.3178400337341488</x:v>
      </x:c>
      <x:c r="C140" t="n">
        <x:f>LOOKUP(B140,$E$4:$E$9,$A$4:$A$9)</x:f>
        <x:v>2</x:v>
      </x:c>
    </x:row>
    <x:row r="141">
      <x:c r="A141" t="n">
        <x:v>127</x:v>
      </x:c>
      <x:c r="B141" s="40" t="n">
        <x:v>0.2449808589901623</x:v>
      </x:c>
      <x:c r="C141" t="n">
        <x:f>LOOKUP(B141,$E$4:$E$9,$A$4:$A$9)</x:f>
        <x:v>1</x:v>
      </x:c>
    </x:row>
    <x:row r="142">
      <x:c r="A142" t="n">
        <x:v>128</x:v>
      </x:c>
      <x:c r="B142" s="40" t="n">
        <x:v>0.005419799818197957</x:v>
      </x:c>
      <x:c r="C142" t="n">
        <x:f>LOOKUP(B142,$E$4:$E$9,$A$4:$A$9)</x:f>
        <x:v>0</x:v>
      </x:c>
    </x:row>
    <x:row r="143">
      <x:c r="A143" t="n">
        <x:v>129</x:v>
      </x:c>
      <x:c r="B143" s="40" t="n">
        <x:v>0.5348019131804018</x:v>
      </x:c>
      <x:c r="C143" t="n">
        <x:f>LOOKUP(B143,$E$4:$E$9,$A$4:$A$9)</x:f>
        <x:v>3</x:v>
      </x:c>
    </x:row>
    <x:row r="144">
      <x:c r="A144" t="n">
        <x:v>130</x:v>
      </x:c>
      <x:c r="B144" s="40" t="n">
        <x:v>0.11664591474418606</x:v>
      </x:c>
      <x:c r="C144" t="n">
        <x:f>LOOKUP(B144,$E$4:$E$9,$A$4:$A$9)</x:f>
        <x:v>1</x:v>
      </x:c>
    </x:row>
    <x:row r="145">
      <x:c r="A145" t="n">
        <x:v>131</x:v>
      </x:c>
      <x:c r="B145" s="40" t="n">
        <x:v>0.2874962887966661</x:v>
      </x:c>
      <x:c r="C145" t="n">
        <x:f>LOOKUP(B145,$E$4:$E$9,$A$4:$A$9)</x:f>
        <x:v>2</x:v>
      </x:c>
    </x:row>
    <x:row r="146">
      <x:c r="A146" t="n">
        <x:v>132</x:v>
      </x:c>
      <x:c r="B146" s="40" t="n">
        <x:v>0.6411898302224145</x:v>
      </x:c>
      <x:c r="C146" t="n">
        <x:f>LOOKUP(B146,$E$4:$E$9,$A$4:$A$9)</x:f>
        <x:v>3</x:v>
      </x:c>
    </x:row>
    <x:row r="147">
      <x:c r="A147" t="n">
        <x:v>133</x:v>
      </x:c>
      <x:c r="B147" s="40" t="n">
        <x:v>0.7251156888229772</x:v>
      </x:c>
      <x:c r="C147" t="n">
        <x:f>LOOKUP(B147,$E$4:$E$9,$A$4:$A$9)</x:f>
        <x:v>3</x:v>
      </x:c>
    </x:row>
    <x:row r="148">
      <x:c r="A148" t="n">
        <x:v>134</x:v>
      </x:c>
      <x:c r="B148" s="40" t="n">
        <x:v>0.26345562685602253</x:v>
      </x:c>
      <x:c r="C148" t="n">
        <x:f>LOOKUP(B148,$E$4:$E$9,$A$4:$A$9)</x:f>
        <x:v>2</x:v>
      </x:c>
    </x:row>
    <x:row r="149">
      <x:c r="A149" t="n">
        <x:v>135</x:v>
      </x:c>
      <x:c r="B149" s="40" t="n">
        <x:v>0.329193671065234</x:v>
      </x:c>
      <x:c r="C149" t="n">
        <x:f>LOOKUP(B149,$E$4:$E$9,$A$4:$A$9)</x:f>
        <x:v>2</x:v>
      </x:c>
    </x:row>
    <x:row r="150">
      <x:c r="A150" t="n">
        <x:v>136</x:v>
      </x:c>
      <x:c r="B150" s="40" t="n">
        <x:v>0.24690923812746524</x:v>
      </x:c>
      <x:c r="C150" t="n">
        <x:f>LOOKUP(B150,$E$4:$E$9,$A$4:$A$9)</x:f>
        <x:v>1</x:v>
      </x:c>
    </x:row>
    <x:row r="151">
      <x:c r="A151" t="n">
        <x:v>137</x:v>
      </x:c>
      <x:c r="B151" s="40" t="n">
        <x:v>0.9568886003161919</x:v>
      </x:c>
      <x:c r="C151" t="n">
        <x:f>LOOKUP(B151,$E$4:$E$9,$A$4:$A$9)</x:f>
        <x:v>5</x:v>
      </x:c>
    </x:row>
    <x:row r="152">
      <x:c r="A152" t="n">
        <x:v>138</x:v>
      </x:c>
      <x:c r="B152" s="40" t="n">
        <x:v>0.19051972698740283</x:v>
      </x:c>
      <x:c r="C152" t="n">
        <x:f>LOOKUP(B152,$E$4:$E$9,$A$4:$A$9)</x:f>
        <x:v>1</x:v>
      </x:c>
    </x:row>
    <x:row r="153">
      <x:c r="A153" t="n">
        <x:v>139</x:v>
      </x:c>
      <x:c r="B153" s="40" t="n">
        <x:v>0.18318060363367628</x:v>
      </x:c>
      <x:c r="C153" t="n">
        <x:f>LOOKUP(B153,$E$4:$E$9,$A$4:$A$9)</x:f>
        <x:v>1</x:v>
      </x:c>
    </x:row>
    <x:row r="154">
      <x:c r="A154" t="n">
        <x:v>140</x:v>
      </x:c>
      <x:c r="B154" s="40" t="n">
        <x:v>0.445035295831532</x:v>
      </x:c>
      <x:c r="C154" t="n">
        <x:f>LOOKUP(B154,$E$4:$E$9,$A$4:$A$9)</x:f>
        <x:v>2</x:v>
      </x:c>
    </x:row>
    <x:row r="155">
      <x:c r="A155" t="n">
        <x:v>141</x:v>
      </x:c>
      <x:c r="B155" s="40" t="n">
        <x:v>0.18930635920056915</x:v>
      </x:c>
      <x:c r="C155" t="n">
        <x:f>LOOKUP(B155,$E$4:$E$9,$A$4:$A$9)</x:f>
        <x:v>1</x:v>
      </x:c>
    </x:row>
    <x:row r="156">
      <x:c r="A156" t="n">
        <x:v>142</x:v>
      </x:c>
      <x:c r="B156" s="40" t="n">
        <x:v>0.15670845628560814</x:v>
      </x:c>
      <x:c r="C156" t="n">
        <x:f>LOOKUP(B156,$E$4:$E$9,$A$4:$A$9)</x:f>
        <x:v>1</x:v>
      </x:c>
    </x:row>
    <x:row r="157">
      <x:c r="A157" t="n">
        <x:v>143</x:v>
      </x:c>
      <x:c r="B157" s="40" t="n">
        <x:v>0.09587953770108548</x:v>
      </x:c>
      <x:c r="C157" t="n">
        <x:f>LOOKUP(B157,$E$4:$E$9,$A$4:$A$9)</x:f>
        <x:v>1</x:v>
      </x:c>
    </x:row>
    <x:row r="158">
      <x:c r="A158" t="n">
        <x:v>144</x:v>
      </x:c>
      <x:c r="B158" s="40" t="n">
        <x:v>0.6401712481082494</x:v>
      </x:c>
      <x:c r="C158" t="n">
        <x:f>LOOKUP(B158,$E$4:$E$9,$A$4:$A$9)</x:f>
        <x:v>3</x:v>
      </x:c>
    </x:row>
    <x:row r="159">
      <x:c r="A159" t="n">
        <x:v>145</x:v>
      </x:c>
      <x:c r="B159" s="40" t="n">
        <x:v>0.612082254901896</x:v>
      </x:c>
      <x:c r="C159" t="n">
        <x:f>LOOKUP(B159,$E$4:$E$9,$A$4:$A$9)</x:f>
        <x:v>3</x:v>
      </x:c>
    </x:row>
    <x:row r="160">
      <x:c r="A160" t="n">
        <x:v>146</x:v>
      </x:c>
      <x:c r="B160" s="40" t="n">
        <x:v>0.6501628918779663</x:v>
      </x:c>
      <x:c r="C160" t="n">
        <x:f>LOOKUP(B160,$E$4:$E$9,$A$4:$A$9)</x:f>
        <x:v>3</x:v>
      </x:c>
    </x:row>
    <x:row r="161">
      <x:c r="A161" t="n">
        <x:v>147</x:v>
      </x:c>
      <x:c r="B161" s="40" t="n">
        <x:v>0.7733000080093962</x:v>
      </x:c>
      <x:c r="C161" t="n">
        <x:f>LOOKUP(B161,$E$4:$E$9,$A$4:$A$9)</x:f>
        <x:v>4</x:v>
      </x:c>
    </x:row>
    <x:row r="162">
      <x:c r="A162" t="n">
        <x:v>148</x:v>
      </x:c>
      <x:c r="B162" s="40" t="n">
        <x:v>0.3263580127925758</x:v>
      </x:c>
      <x:c r="C162" t="n">
        <x:f>LOOKUP(B162,$E$4:$E$9,$A$4:$A$9)</x:f>
        <x:v>2</x:v>
      </x:c>
    </x:row>
    <x:row r="163">
      <x:c r="A163" t="n">
        <x:v>149</x:v>
      </x:c>
      <x:c r="B163" s="40" t="n">
        <x:v>0.9184237336119215</x:v>
      </x:c>
      <x:c r="C163" t="n">
        <x:f>LOOKUP(B163,$E$4:$E$9,$A$4:$A$9)</x:f>
        <x:v>5</x:v>
      </x:c>
    </x:row>
    <x:row r="164">
      <x:c r="A164" t="n">
        <x:v>150</x:v>
      </x:c>
      <x:c r="B164" s="40" t="n">
        <x:v>0.733204611068756</x:v>
      </x:c>
      <x:c r="C164" t="n">
        <x:f>LOOKUP(B164,$E$4:$E$9,$A$4:$A$9)</x:f>
        <x:v>3</x:v>
      </x:c>
    </x:row>
    <x:row r="165">
      <x:c r="A165" t="n">
        <x:v>151</x:v>
      </x:c>
      <x:c r="B165" s="40" t="n">
        <x:v>0.8047085885811869</x:v>
      </x:c>
      <x:c r="C165" t="n">
        <x:f>LOOKUP(B165,$E$4:$E$9,$A$4:$A$9)</x:f>
        <x:v>4</x:v>
      </x:c>
    </x:row>
    <x:row r="166">
      <x:c r="A166" t="n">
        <x:v>152</x:v>
      </x:c>
      <x:c r="B166" s="40" t="n">
        <x:v>0.7209621638267112</x:v>
      </x:c>
      <x:c r="C166" t="n">
        <x:f>LOOKUP(B166,$E$4:$E$9,$A$4:$A$9)</x:f>
        <x:v>3</x:v>
      </x:c>
    </x:row>
    <x:row r="167">
      <x:c r="A167" t="n">
        <x:v>153</x:v>
      </x:c>
      <x:c r="B167" s="40" t="n">
        <x:v>0.3584556454325618</x:v>
      </x:c>
      <x:c r="C167" t="n">
        <x:f>LOOKUP(B167,$E$4:$E$9,$A$4:$A$9)</x:f>
        <x:v>2</x:v>
      </x:c>
    </x:row>
    <x:row r="168">
      <x:c r="A168" t="n">
        <x:v>154</x:v>
      </x:c>
      <x:c r="B168" s="40" t="n">
        <x:v>0.2830324880626349</x:v>
      </x:c>
      <x:c r="C168" t="n">
        <x:f>LOOKUP(B168,$E$4:$E$9,$A$4:$A$9)</x:f>
        <x:v>2</x:v>
      </x:c>
    </x:row>
    <x:row r="169">
      <x:c r="A169" t="n">
        <x:v>155</x:v>
      </x:c>
      <x:c r="B169" s="40" t="n">
        <x:v>0.42251706957901414</x:v>
      </x:c>
      <x:c r="C169" t="n">
        <x:f>LOOKUP(B169,$E$4:$E$9,$A$4:$A$9)</x:f>
        <x:v>2</x:v>
      </x:c>
    </x:row>
    <x:row r="170">
      <x:c r="A170" t="n">
        <x:v>156</x:v>
      </x:c>
      <x:c r="B170" s="40" t="n">
        <x:v>0.09703036053335845</x:v>
      </x:c>
      <x:c r="C170" t="n">
        <x:f>LOOKUP(B170,$E$4:$E$9,$A$4:$A$9)</x:f>
        <x:v>1</x:v>
      </x:c>
    </x:row>
    <x:row r="171">
      <x:c r="A171" t="n">
        <x:v>157</x:v>
      </x:c>
      <x:c r="B171" s="40" t="n">
        <x:v>0.4512805015659471</x:v>
      </x:c>
      <x:c r="C171" t="n">
        <x:f>LOOKUP(B171,$E$4:$E$9,$A$4:$A$9)</x:f>
        <x:v>2</x:v>
      </x:c>
    </x:row>
    <x:row r="172">
      <x:c r="A172" t="n">
        <x:v>158</x:v>
      </x:c>
      <x:c r="B172" s="40" t="n">
        <x:v>0.04314098309523984</x:v>
      </x:c>
      <x:c r="C172" t="n">
        <x:f>LOOKUP(B172,$E$4:$E$9,$A$4:$A$9)</x:f>
        <x:v>0</x:v>
      </x:c>
    </x:row>
    <x:row r="173">
      <x:c r="A173" t="n">
        <x:v>159</x:v>
      </x:c>
      <x:c r="B173" s="40" t="n">
        <x:v>0.003945960027194495</x:v>
      </x:c>
      <x:c r="C173" t="n">
        <x:f>LOOKUP(B173,$E$4:$E$9,$A$4:$A$9)</x:f>
        <x:v>0</x:v>
      </x:c>
    </x:row>
    <x:row r="174">
      <x:c r="A174" t="n">
        <x:v>160</x:v>
      </x:c>
      <x:c r="B174" s="40" t="n">
        <x:v>0.9314989394746928</x:v>
      </x:c>
      <x:c r="C174" t="n">
        <x:f>LOOKUP(B174,$E$4:$E$9,$A$4:$A$9)</x:f>
        <x:v>5</x:v>
      </x:c>
    </x:row>
    <x:row r="175">
      <x:c r="A175" t="n">
        <x:v>161</x:v>
      </x:c>
      <x:c r="B175" s="40" t="n">
        <x:v>0.6893368605878929</x:v>
      </x:c>
      <x:c r="C175" t="n">
        <x:f>LOOKUP(B175,$E$4:$E$9,$A$4:$A$9)</x:f>
        <x:v>3</x:v>
      </x:c>
    </x:row>
    <x:row r="176">
      <x:c r="A176" t="n">
        <x:v>162</x:v>
      </x:c>
      <x:c r="B176" s="40" t="n">
        <x:v>0.5618469470659689</x:v>
      </x:c>
      <x:c r="C176" t="n">
        <x:f>LOOKUP(B176,$E$4:$E$9,$A$4:$A$9)</x:f>
        <x:v>3</x:v>
      </x:c>
    </x:row>
    <x:row r="177">
      <x:c r="A177" t="n">
        <x:v>163</x:v>
      </x:c>
      <x:c r="B177" s="40" t="n">
        <x:v>0.34110203942305783</x:v>
      </x:c>
      <x:c r="C177" t="n">
        <x:f>LOOKUP(B177,$E$4:$E$9,$A$4:$A$9)</x:f>
        <x:v>2</x:v>
      </x:c>
    </x:row>
    <x:row r="178">
      <x:c r="A178" t="n">
        <x:v>164</x:v>
      </x:c>
      <x:c r="B178" s="40" t="n">
        <x:v>0.5705380146850741</x:v>
      </x:c>
      <x:c r="C178" t="n">
        <x:f>LOOKUP(B178,$E$4:$E$9,$A$4:$A$9)</x:f>
        <x:v>3</x:v>
      </x:c>
    </x:row>
    <x:row r="179">
      <x:c r="A179" t="n">
        <x:v>165</x:v>
      </x:c>
      <x:c r="B179" s="40" t="n">
        <x:v>0.8915757763383317</x:v>
      </x:c>
      <x:c r="C179" t="n">
        <x:f>LOOKUP(B179,$E$4:$E$9,$A$4:$A$9)</x:f>
        <x:v>5</x:v>
      </x:c>
    </x:row>
    <x:row r="180">
      <x:c r="A180" t="n">
        <x:v>166</x:v>
      </x:c>
      <x:c r="B180" s="40" t="n">
        <x:v>0.6523801339438646</x:v>
      </x:c>
      <x:c r="C180" t="n">
        <x:f>LOOKUP(B180,$E$4:$E$9,$A$4:$A$9)</x:f>
        <x:v>3</x:v>
      </x:c>
    </x:row>
    <x:row r="181">
      <x:c r="A181" t="n">
        <x:v>167</x:v>
      </x:c>
      <x:c r="B181" s="40" t="n">
        <x:v>0.6024819979535042</x:v>
      </x:c>
      <x:c r="C181" t="n">
        <x:f>LOOKUP(B181,$E$4:$E$9,$A$4:$A$9)</x:f>
        <x:v>3</x:v>
      </x:c>
    </x:row>
    <x:row r="182">
      <x:c r="A182" t="n">
        <x:v>168</x:v>
      </x:c>
      <x:c r="B182" s="40" t="n">
        <x:v>0.46020450297167803</x:v>
      </x:c>
      <x:c r="C182" t="n">
        <x:f>LOOKUP(B182,$E$4:$E$9,$A$4:$A$9)</x:f>
        <x:v>2</x:v>
      </x:c>
    </x:row>
    <x:row r="183">
      <x:c r="A183" t="n">
        <x:v>169</x:v>
      </x:c>
      <x:c r="B183" s="40" t="n">
        <x:v>0.345697030650858</x:v>
      </x:c>
      <x:c r="C183" t="n">
        <x:f>LOOKUP(B183,$E$4:$E$9,$A$4:$A$9)</x:f>
        <x:v>2</x:v>
      </x:c>
    </x:row>
    <x:row r="184">
      <x:c r="A184" t="n">
        <x:v>170</x:v>
      </x:c>
      <x:c r="B184" s="40" t="n">
        <x:v>0.6985471139217118</x:v>
      </x:c>
      <x:c r="C184" t="n">
        <x:f>LOOKUP(B184,$E$4:$E$9,$A$4:$A$9)</x:f>
        <x:v>3</x:v>
      </x:c>
    </x:row>
    <x:row r="185">
      <x:c r="A185" t="n">
        <x:v>171</x:v>
      </x:c>
      <x:c r="B185" s="40" t="n">
        <x:v>0.9809809410158142</x:v>
      </x:c>
      <x:c r="C185" t="n">
        <x:f>LOOKUP(B185,$E$4:$E$9,$A$4:$A$9)</x:f>
        <x:v>5</x:v>
      </x:c>
    </x:row>
    <x:row r="186">
      <x:c r="A186" t="n">
        <x:v>172</x:v>
      </x:c>
      <x:c r="B186" s="40" t="n">
        <x:v>0.4247576935205901</x:v>
      </x:c>
      <x:c r="C186" t="n">
        <x:f>LOOKUP(B186,$E$4:$E$9,$A$4:$A$9)</x:f>
        <x:v>2</x:v>
      </x:c>
    </x:row>
    <x:row r="187">
      <x:c r="A187" t="n">
        <x:v>173</x:v>
      </x:c>
      <x:c r="B187" s="40" t="n">
        <x:v>0.3922052040142008</x:v>
      </x:c>
      <x:c r="C187" t="n">
        <x:f>LOOKUP(B187,$E$4:$E$9,$A$4:$A$9)</x:f>
        <x:v>2</x:v>
      </x:c>
    </x:row>
    <x:row r="188">
      <x:c r="A188" t="n">
        <x:v>174</x:v>
      </x:c>
      <x:c r="B188" s="40" t="n">
        <x:v>0.4281134723650425</x:v>
      </x:c>
      <x:c r="C188" t="n">
        <x:f>LOOKUP(B188,$E$4:$E$9,$A$4:$A$9)</x:f>
        <x:v>2</x:v>
      </x:c>
    </x:row>
    <x:row r="189">
      <x:c r="A189" t="n">
        <x:v>175</x:v>
      </x:c>
      <x:c r="B189" s="40" t="n">
        <x:v>0.4255439680497215</x:v>
      </x:c>
      <x:c r="C189" t="n">
        <x:f>LOOKUP(B189,$E$4:$E$9,$A$4:$A$9)</x:f>
        <x:v>2</x:v>
      </x:c>
    </x:row>
    <x:row r="190">
      <x:c r="A190" t="n">
        <x:v>176</x:v>
      </x:c>
      <x:c r="B190" s="40" t="n">
        <x:v>0.9906247733684951</x:v>
      </x:c>
      <x:c r="C190" t="n">
        <x:f>LOOKUP(B190,$E$4:$E$9,$A$4:$A$9)</x:f>
        <x:v>5</x:v>
      </x:c>
    </x:row>
    <x:row r="191">
      <x:c r="A191" t="n">
        <x:v>177</x:v>
      </x:c>
      <x:c r="B191" s="40" t="n">
        <x:v>0.7067782575093406</x:v>
      </x:c>
      <x:c r="C191" t="n">
        <x:f>LOOKUP(B191,$E$4:$E$9,$A$4:$A$9)</x:f>
        <x:v>3</x:v>
      </x:c>
    </x:row>
    <x:row r="192">
      <x:c r="A192" t="n">
        <x:v>178</x:v>
      </x:c>
      <x:c r="B192" s="40" t="n">
        <x:v>0.35918444921059167</x:v>
      </x:c>
      <x:c r="C192" t="n">
        <x:f>LOOKUP(B192,$E$4:$E$9,$A$4:$A$9)</x:f>
        <x:v>2</x:v>
      </x:c>
    </x:row>
    <x:row r="193">
      <x:c r="A193" t="n">
        <x:v>179</x:v>
      </x:c>
      <x:c r="B193" s="40" t="n">
        <x:v>0.3715023738267226</x:v>
      </x:c>
      <x:c r="C193" t="n">
        <x:f>LOOKUP(B193,$E$4:$E$9,$A$4:$A$9)</x:f>
        <x:v>2</x:v>
      </x:c>
    </x:row>
    <x:row r="194">
      <x:c r="A194" t="n">
        <x:v>180</x:v>
      </x:c>
      <x:c r="B194" s="40" t="n">
        <x:v>0.43079692474405573</x:v>
      </x:c>
      <x:c r="C194" t="n">
        <x:f>LOOKUP(B194,$E$4:$E$9,$A$4:$A$9)</x:f>
        <x:v>2</x:v>
      </x:c>
    </x:row>
    <x:row r="195">
      <x:c r="A195" t="n">
        <x:v>181</x:v>
      </x:c>
      <x:c r="B195" s="40" t="n">
        <x:v>0.036712187580449696</x:v>
      </x:c>
      <x:c r="C195" t="n">
        <x:f>LOOKUP(B195,$E$4:$E$9,$A$4:$A$9)</x:f>
        <x:v>0</x:v>
      </x:c>
    </x:row>
    <x:row r="196">
      <x:c r="A196" t="n">
        <x:v>182</x:v>
      </x:c>
      <x:c r="B196" s="40" t="n">
        <x:v>0.52781640202125</x:v>
      </x:c>
      <x:c r="C196" t="n">
        <x:f>LOOKUP(B196,$E$4:$E$9,$A$4:$A$9)</x:f>
        <x:v>3</x:v>
      </x:c>
    </x:row>
    <x:row r="197">
      <x:c r="A197" t="n">
        <x:v>183</x:v>
      </x:c>
      <x:c r="B197" s="40" t="n">
        <x:v>0.8113809515227647</x:v>
      </x:c>
      <x:c r="C197" t="n">
        <x:f>LOOKUP(B197,$E$4:$E$9,$A$4:$A$9)</x:f>
        <x:v>4</x:v>
      </x:c>
    </x:row>
    <x:row r="198">
      <x:c r="A198" t="n">
        <x:v>184</x:v>
      </x:c>
      <x:c r="B198" s="40" t="n">
        <x:v>0.6605677932075106</x:v>
      </x:c>
      <x:c r="C198" t="n">
        <x:f>LOOKUP(B198,$E$4:$E$9,$A$4:$A$9)</x:f>
        <x:v>3</x:v>
      </x:c>
    </x:row>
    <x:row r="199">
      <x:c r="A199" t="n">
        <x:v>185</x:v>
      </x:c>
      <x:c r="B199" s="40" t="n">
        <x:v>0.1984208467615416</x:v>
      </x:c>
      <x:c r="C199" t="n">
        <x:f>LOOKUP(B199,$E$4:$E$9,$A$4:$A$9)</x:f>
        <x:v>1</x:v>
      </x:c>
    </x:row>
    <x:row r="200">
      <x:c r="A200" t="n">
        <x:v>186</x:v>
      </x:c>
      <x:c r="B200" s="40" t="n">
        <x:v>0.7280342413783699</x:v>
      </x:c>
      <x:c r="C200" t="n">
        <x:f>LOOKUP(B200,$E$4:$E$9,$A$4:$A$9)</x:f>
        <x:v>3</x:v>
      </x:c>
    </x:row>
    <x:row r="201">
      <x:c r="A201" t="n">
        <x:v>187</x:v>
      </x:c>
      <x:c r="B201" s="40" t="n">
        <x:v>0.7194586063320303</x:v>
      </x:c>
      <x:c r="C201" t="n">
        <x:f>LOOKUP(B201,$E$4:$E$9,$A$4:$A$9)</x:f>
        <x:v>3</x:v>
      </x:c>
    </x:row>
    <x:row r="202">
      <x:c r="A202" t="n">
        <x:v>188</x:v>
      </x:c>
      <x:c r="B202" s="40" t="n">
        <x:v>0.26253921564899707</x:v>
      </x:c>
      <x:c r="C202" t="n">
        <x:f>LOOKUP(B202,$E$4:$E$9,$A$4:$A$9)</x:f>
        <x:v>2</x:v>
      </x:c>
    </x:row>
    <x:row r="203">
      <x:c r="A203" t="n">
        <x:v>189</x:v>
      </x:c>
      <x:c r="B203" s="40" t="n">
        <x:v>0.6228746568569351</x:v>
      </x:c>
      <x:c r="C203" t="n">
        <x:f>LOOKUP(B203,$E$4:$E$9,$A$4:$A$9)</x:f>
        <x:v>3</x:v>
      </x:c>
    </x:row>
    <x:row r="204">
      <x:c r="A204" t="n">
        <x:v>190</x:v>
      </x:c>
      <x:c r="B204" s="40" t="n">
        <x:v>0.6109490331219362</x:v>
      </x:c>
      <x:c r="C204" t="n">
        <x:f>LOOKUP(B204,$E$4:$E$9,$A$4:$A$9)</x:f>
        <x:v>3</x:v>
      </x:c>
    </x:row>
    <x:row r="205">
      <x:c r="A205" t="n">
        <x:v>191</x:v>
      </x:c>
      <x:c r="B205" s="40" t="n">
        <x:v>0.8397876238561816</x:v>
      </x:c>
      <x:c r="C205" t="n">
        <x:f>LOOKUP(B205,$E$4:$E$9,$A$4:$A$9)</x:f>
        <x:v>4</x:v>
      </x:c>
    </x:row>
    <x:row r="206">
      <x:c r="A206" t="n">
        <x:v>192</x:v>
      </x:c>
      <x:c r="B206" s="40" t="n">
        <x:v>0.13607231183344126</x:v>
      </x:c>
      <x:c r="C206" t="n">
        <x:f>LOOKUP(B206,$E$4:$E$9,$A$4:$A$9)</x:f>
        <x:v>1</x:v>
      </x:c>
    </x:row>
    <x:row r="207">
      <x:c r="A207" t="n">
        <x:v>193</x:v>
      </x:c>
      <x:c r="B207" s="40" t="n">
        <x:v>0.19483850451152274</x:v>
      </x:c>
      <x:c r="C207" t="n">
        <x:f>LOOKUP(B207,$E$4:$E$9,$A$4:$A$9)</x:f>
        <x:v>1</x:v>
      </x:c>
    </x:row>
    <x:row r="208">
      <x:c r="A208" t="n">
        <x:v>194</x:v>
      </x:c>
      <x:c r="B208" s="40" t="n">
        <x:v>0.48596950376780523</x:v>
      </x:c>
      <x:c r="C208" t="n">
        <x:f>LOOKUP(B208,$E$4:$E$9,$A$4:$A$9)</x:f>
        <x:v>2</x:v>
      </x:c>
    </x:row>
    <x:row r="209">
      <x:c r="A209" t="n">
        <x:v>195</x:v>
      </x:c>
      <x:c r="B209" s="40" t="n">
        <x:v>0.04414514889230703</x:v>
      </x:c>
      <x:c r="C209" t="n">
        <x:f>LOOKUP(B209,$E$4:$E$9,$A$4:$A$9)</x:f>
        <x:v>0</x:v>
      </x:c>
    </x:row>
    <x:row r="210">
      <x:c r="A210" t="n">
        <x:v>196</x:v>
      </x:c>
      <x:c r="B210" s="40" t="n">
        <x:v>0.41559419760170657</x:v>
      </x:c>
      <x:c r="C210" t="n">
        <x:f>LOOKUP(B210,$E$4:$E$9,$A$4:$A$9)</x:f>
        <x:v>2</x:v>
      </x:c>
    </x:row>
    <x:row r="211">
      <x:c r="A211" t="n">
        <x:v>197</x:v>
      </x:c>
      <x:c r="B211" s="40" t="n">
        <x:v>0.7882190419997233</x:v>
      </x:c>
      <x:c r="C211" t="n">
        <x:f>LOOKUP(B211,$E$4:$E$9,$A$4:$A$9)</x:f>
        <x:v>4</x:v>
      </x:c>
    </x:row>
    <x:row r="212">
      <x:c r="A212" t="n">
        <x:v>198</x:v>
      </x:c>
      <x:c r="B212" s="40" t="n">
        <x:v>0.14871439398399822</x:v>
      </x:c>
      <x:c r="C212" t="n">
        <x:f>LOOKUP(B212,$E$4:$E$9,$A$4:$A$9)</x:f>
        <x:v>1</x:v>
      </x:c>
    </x:row>
    <x:row r="213">
      <x:c r="A213" t="n">
        <x:v>199</x:v>
      </x:c>
      <x:c r="B213" s="40" t="n">
        <x:v>0.4599487369365248</x:v>
      </x:c>
      <x:c r="C213" t="n">
        <x:f>LOOKUP(B213,$E$4:$E$9,$A$4:$A$9)</x:f>
        <x:v>2</x:v>
      </x:c>
    </x:row>
    <x:row r="214">
      <x:c r="A214" t="n">
        <x:v>200</x:v>
      </x:c>
      <x:c r="B214" s="40" t="n">
        <x:v>0.9897692333824446</x:v>
      </x:c>
      <x:c r="C214" t="n">
        <x:f>LOOKUP(B214,$E$4:$E$9,$A$4:$A$9)</x:f>
        <x:v>5</x:v>
      </x:c>
    </x:row>
    <x:row r="215">
      <x:c r="A215" t="n">
        <x:v>201</x:v>
      </x:c>
      <x:c r="B215" s="40" t="n">
        <x:v>0.5059200134248644</x:v>
      </x:c>
      <x:c r="C215" t="n">
        <x:f>LOOKUP(B215,$E$4:$E$9,$A$4:$A$9)</x:f>
        <x:v>3</x:v>
      </x:c>
    </x:row>
    <x:row r="216">
      <x:c r="A216" t="n">
        <x:v>202</x:v>
      </x:c>
      <x:c r="B216" s="40" t="n">
        <x:v>0.49832382412209053</x:v>
      </x:c>
      <x:c r="C216" t="n">
        <x:f>LOOKUP(B216,$E$4:$E$9,$A$4:$A$9)</x:f>
        <x:v>2</x:v>
      </x:c>
    </x:row>
    <x:row r="217">
      <x:c r="A217" t="n">
        <x:v>203</x:v>
      </x:c>
      <x:c r="B217" s="40" t="n">
        <x:v>0.5587935837241681</x:v>
      </x:c>
      <x:c r="C217" t="n">
        <x:f>LOOKUP(B217,$E$4:$E$9,$A$4:$A$9)</x:f>
        <x:v>3</x:v>
      </x:c>
    </x:row>
    <x:row r="218">
      <x:c r="A218" t="n">
        <x:v>204</x:v>
      </x:c>
      <x:c r="B218" s="40" t="n">
        <x:v>0.1860043703327412</x:v>
      </x:c>
      <x:c r="C218" t="n">
        <x:f>LOOKUP(B218,$E$4:$E$9,$A$4:$A$9)</x:f>
        <x:v>1</x:v>
      </x:c>
    </x:row>
    <x:row r="219">
      <x:c r="A219" t="n">
        <x:v>205</x:v>
      </x:c>
      <x:c r="B219" s="40" t="n">
        <x:v>0.14716388268594427</x:v>
      </x:c>
      <x:c r="C219" t="n">
        <x:f>LOOKUP(B219,$E$4:$E$9,$A$4:$A$9)</x:f>
        <x:v>1</x:v>
      </x:c>
    </x:row>
    <x:row r="220">
      <x:c r="A220" t="n">
        <x:v>206</x:v>
      </x:c>
      <x:c r="B220" s="40" t="n">
        <x:v>0.6773546291151085</x:v>
      </x:c>
      <x:c r="C220" t="n">
        <x:f>LOOKUP(B220,$E$4:$E$9,$A$4:$A$9)</x:f>
        <x:v>3</x:v>
      </x:c>
    </x:row>
    <x:row r="221">
      <x:c r="A221" t="n">
        <x:v>207</x:v>
      </x:c>
      <x:c r="B221" s="40" t="n">
        <x:v>0.3957668099057702</x:v>
      </x:c>
      <x:c r="C221" t="n">
        <x:f>LOOKUP(B221,$E$4:$E$9,$A$4:$A$9)</x:f>
        <x:v>2</x:v>
      </x:c>
    </x:row>
    <x:row r="222">
      <x:c r="A222" t="n">
        <x:v>208</x:v>
      </x:c>
      <x:c r="B222" s="40" t="n">
        <x:v>0.28990662821547575</x:v>
      </x:c>
      <x:c r="C222" t="n">
        <x:f>LOOKUP(B222,$E$4:$E$9,$A$4:$A$9)</x:f>
        <x:v>2</x:v>
      </x:c>
    </x:row>
    <x:row r="223">
      <x:c r="A223" t="n">
        <x:v>209</x:v>
      </x:c>
      <x:c r="B223" s="40" t="n">
        <x:v>0.031391619919897584</x:v>
      </x:c>
      <x:c r="C223" t="n">
        <x:f>LOOKUP(B223,$E$4:$E$9,$A$4:$A$9)</x:f>
        <x:v>0</x:v>
      </x:c>
    </x:row>
    <x:row r="224">
      <x:c r="A224" t="n">
        <x:v>210</x:v>
      </x:c>
      <x:c r="B224" s="40" t="n">
        <x:v>0.8460504971784825</x:v>
      </x:c>
      <x:c r="C224" t="n">
        <x:f>LOOKUP(B224,$E$4:$E$9,$A$4:$A$9)</x:f>
        <x:v>4</x:v>
      </x:c>
    </x:row>
    <x:row r="225">
      <x:c r="A225" t="n">
        <x:v>211</x:v>
      </x:c>
      <x:c r="B225" s="40" t="n">
        <x:v>0.032328865844832744</x:v>
      </x:c>
      <x:c r="C225" t="n">
        <x:f>LOOKUP(B225,$E$4:$E$9,$A$4:$A$9)</x:f>
        <x:v>0</x:v>
      </x:c>
    </x:row>
    <x:row r="226">
      <x:c r="A226" t="n">
        <x:v>212</x:v>
      </x:c>
      <x:c r="B226" s="40" t="n">
        <x:v>0.7499831240833194</x:v>
      </x:c>
      <x:c r="C226" t="n">
        <x:f>LOOKUP(B226,$E$4:$E$9,$A$4:$A$9)</x:f>
        <x:v>4</x:v>
      </x:c>
    </x:row>
    <x:row r="227">
      <x:c r="A227" t="n">
        <x:v>213</x:v>
      </x:c>
      <x:c r="B227" s="40" t="n">
        <x:v>0.381988558998581</x:v>
      </x:c>
      <x:c r="C227" t="n">
        <x:f>LOOKUP(B227,$E$4:$E$9,$A$4:$A$9)</x:f>
        <x:v>2</x:v>
      </x:c>
    </x:row>
    <x:row r="228">
      <x:c r="A228" t="n">
        <x:v>214</x:v>
      </x:c>
      <x:c r="B228" s="40" t="n">
        <x:v>0.5986878105046501</x:v>
      </x:c>
      <x:c r="C228" t="n">
        <x:f>LOOKUP(B228,$E$4:$E$9,$A$4:$A$9)</x:f>
        <x:v>3</x:v>
      </x:c>
    </x:row>
    <x:row r="229">
      <x:c r="A229" t="n">
        <x:v>215</x:v>
      </x:c>
      <x:c r="B229" s="40" t="n">
        <x:v>0.24767800069016233</x:v>
      </x:c>
      <x:c r="C229" t="n">
        <x:f>LOOKUP(B229,$E$4:$E$9,$A$4:$A$9)</x:f>
        <x:v>1</x:v>
      </x:c>
    </x:row>
    <x:row r="230">
      <x:c r="A230" t="n">
        <x:v>216</x:v>
      </x:c>
      <x:c r="B230" s="40" t="n">
        <x:v>0.15539966623207313</x:v>
      </x:c>
      <x:c r="C230" t="n">
        <x:f>LOOKUP(B230,$E$4:$E$9,$A$4:$A$9)</x:f>
        <x:v>1</x:v>
      </x:c>
    </x:row>
    <x:row r="231">
      <x:c r="A231" t="n">
        <x:v>217</x:v>
      </x:c>
      <x:c r="B231" s="40" t="n">
        <x:v>0.5333880008349474</x:v>
      </x:c>
      <x:c r="C231" t="n">
        <x:f>LOOKUP(B231,$E$4:$E$9,$A$4:$A$9)</x:f>
        <x:v>3</x:v>
      </x:c>
    </x:row>
    <x:row r="232">
      <x:c r="A232" t="n">
        <x:v>218</x:v>
      </x:c>
      <x:c r="B232" s="40" t="n">
        <x:v>0.6956176949541436</x:v>
      </x:c>
      <x:c r="C232" t="n">
        <x:f>LOOKUP(B232,$E$4:$E$9,$A$4:$A$9)</x:f>
        <x:v>3</x:v>
      </x:c>
    </x:row>
    <x:row r="233">
      <x:c r="A233" t="n">
        <x:v>219</x:v>
      </x:c>
      <x:c r="B233" s="40" t="n">
        <x:v>0.19549329494514656</x:v>
      </x:c>
      <x:c r="C233" t="n">
        <x:f>LOOKUP(B233,$E$4:$E$9,$A$4:$A$9)</x:f>
        <x:v>1</x:v>
      </x:c>
    </x:row>
    <x:row r="234">
      <x:c r="A234" t="n">
        <x:v>220</x:v>
      </x:c>
      <x:c r="B234" s="40" t="n">
        <x:v>0.4363589474325642</x:v>
      </x:c>
      <x:c r="C234" t="n">
        <x:f>LOOKUP(B234,$E$4:$E$9,$A$4:$A$9)</x:f>
        <x:v>2</x:v>
      </x:c>
    </x:row>
    <x:row r="235">
      <x:c r="A235" t="n">
        <x:v>221</x:v>
      </x:c>
      <x:c r="B235" s="40" t="n">
        <x:v>0.44465497029139567</x:v>
      </x:c>
      <x:c r="C235" t="n">
        <x:f>LOOKUP(B235,$E$4:$E$9,$A$4:$A$9)</x:f>
        <x:v>2</x:v>
      </x:c>
    </x:row>
    <x:row r="236">
      <x:c r="A236" t="n">
        <x:v>222</x:v>
      </x:c>
      <x:c r="B236" s="40" t="n">
        <x:v>0.2159791490794628</x:v>
      </x:c>
      <x:c r="C236" t="n">
        <x:f>LOOKUP(B236,$E$4:$E$9,$A$4:$A$9)</x:f>
        <x:v>1</x:v>
      </x:c>
    </x:row>
    <x:row r="237">
      <x:c r="A237" t="n">
        <x:v>223</x:v>
      </x:c>
      <x:c r="B237" s="40" t="n">
        <x:v>0.565049446252131</x:v>
      </x:c>
      <x:c r="C237" t="n">
        <x:f>LOOKUP(B237,$E$4:$E$9,$A$4:$A$9)</x:f>
        <x:v>3</x:v>
      </x:c>
    </x:row>
    <x:row r="238">
      <x:c r="A238" t="n">
        <x:v>224</x:v>
      </x:c>
      <x:c r="B238" s="40" t="n">
        <x:v>0.14593568678170066</x:v>
      </x:c>
      <x:c r="C238" t="n">
        <x:f>LOOKUP(B238,$E$4:$E$9,$A$4:$A$9)</x:f>
        <x:v>1</x:v>
      </x:c>
    </x:row>
    <x:row r="239">
      <x:c r="A239" t="n">
        <x:v>225</x:v>
      </x:c>
      <x:c r="B239" s="40" t="n">
        <x:v>0.50974917331858</x:v>
      </x:c>
      <x:c r="C239" t="n">
        <x:f>LOOKUP(B239,$E$4:$E$9,$A$4:$A$9)</x:f>
        <x:v>3</x:v>
      </x:c>
    </x:row>
    <x:row r="240">
      <x:c r="A240" t="n">
        <x:v>226</x:v>
      </x:c>
      <x:c r="B240" s="40" t="n">
        <x:v>0.1134315113659995</x:v>
      </x:c>
      <x:c r="C240" t="n">
        <x:f>LOOKUP(B240,$E$4:$E$9,$A$4:$A$9)</x:f>
        <x:v>1</x:v>
      </x:c>
    </x:row>
    <x:row r="241">
      <x:c r="A241" t="n">
        <x:v>227</x:v>
      </x:c>
      <x:c r="B241" s="40" t="n">
        <x:v>0.48554240885513744</x:v>
      </x:c>
      <x:c r="C241" t="n">
        <x:f>LOOKUP(B241,$E$4:$E$9,$A$4:$A$9)</x:f>
        <x:v>2</x:v>
      </x:c>
    </x:row>
    <x:row r="242">
      <x:c r="A242" t="n">
        <x:v>228</x:v>
      </x:c>
      <x:c r="B242" s="40" t="n">
        <x:v>0.31159905487555684</x:v>
      </x:c>
      <x:c r="C242" t="n">
        <x:f>LOOKUP(B242,$E$4:$E$9,$A$4:$A$9)</x:f>
        <x:v>2</x:v>
      </x:c>
    </x:row>
    <x:row r="243">
      <x:c r="A243" t="n">
        <x:v>229</x:v>
      </x:c>
      <x:c r="B243" s="40" t="n">
        <x:v>0.452246292081535</x:v>
      </x:c>
      <x:c r="C243" t="n">
        <x:f>LOOKUP(B243,$E$4:$E$9,$A$4:$A$9)</x:f>
        <x:v>2</x:v>
      </x:c>
    </x:row>
    <x:row r="244">
      <x:c r="A244" t="n">
        <x:v>230</x:v>
      </x:c>
      <x:c r="B244" s="40" t="n">
        <x:v>0.43374935944317417</x:v>
      </x:c>
      <x:c r="C244" t="n">
        <x:f>LOOKUP(B244,$E$4:$E$9,$A$4:$A$9)</x:f>
        <x:v>2</x:v>
      </x:c>
    </x:row>
    <x:row r="245">
      <x:c r="A245" t="n">
        <x:v>231</x:v>
      </x:c>
      <x:c r="B245" s="40" t="n">
        <x:v>0.9079331228185928</x:v>
      </x:c>
      <x:c r="C245" t="n">
        <x:f>LOOKUP(B245,$E$4:$E$9,$A$4:$A$9)</x:f>
        <x:v>5</x:v>
      </x:c>
    </x:row>
    <x:row r="246">
      <x:c r="A246" t="n">
        <x:v>232</x:v>
      </x:c>
      <x:c r="B246" s="40" t="n">
        <x:v>0.48993559995646274</x:v>
      </x:c>
      <x:c r="C246" t="n">
        <x:f>LOOKUP(B246,$E$4:$E$9,$A$4:$A$9)</x:f>
        <x:v>2</x:v>
      </x:c>
    </x:row>
    <x:row r="247">
      <x:c r="A247" t="n">
        <x:v>233</x:v>
      </x:c>
      <x:c r="B247" s="40" t="n">
        <x:v>0.8184989038768744</x:v>
      </x:c>
      <x:c r="C247" t="n">
        <x:f>LOOKUP(B247,$E$4:$E$9,$A$4:$A$9)</x:f>
        <x:v>4</x:v>
      </x:c>
    </x:row>
    <x:row r="248">
      <x:c r="A248" t="n">
        <x:v>234</x:v>
      </x:c>
      <x:c r="B248" s="40" t="n">
        <x:v>0.22565239291171524</x:v>
      </x:c>
      <x:c r="C248" t="n">
        <x:f>LOOKUP(B248,$E$4:$E$9,$A$4:$A$9)</x:f>
        <x:v>1</x:v>
      </x:c>
    </x:row>
    <x:row r="249">
      <x:c r="A249" t="n">
        <x:v>235</x:v>
      </x:c>
      <x:c r="B249" s="40" t="n">
        <x:v>0.35208279463425884</x:v>
      </x:c>
      <x:c r="C249" t="n">
        <x:f>LOOKUP(B249,$E$4:$E$9,$A$4:$A$9)</x:f>
        <x:v>2</x:v>
      </x:c>
    </x:row>
    <x:row r="250">
      <x:c r="A250" t="n">
        <x:v>236</x:v>
      </x:c>
      <x:c r="B250" s="40" t="n">
        <x:v>0.07508938063319093</x:v>
      </x:c>
      <x:c r="C250" t="n">
        <x:f>LOOKUP(B250,$E$4:$E$9,$A$4:$A$9)</x:f>
        <x:v>0</x:v>
      </x:c>
    </x:row>
    <x:row r="251">
      <x:c r="A251" t="n">
        <x:v>237</x:v>
      </x:c>
      <x:c r="B251" s="40" t="n">
        <x:v>0.4207477948214936</x:v>
      </x:c>
      <x:c r="C251" t="n">
        <x:f>LOOKUP(B251,$E$4:$E$9,$A$4:$A$9)</x:f>
        <x:v>2</x:v>
      </x:c>
    </x:row>
    <x:row r="252">
      <x:c r="A252" t="n">
        <x:v>238</x:v>
      </x:c>
      <x:c r="B252" s="40" t="n">
        <x:v>0.668699887074931</x:v>
      </x:c>
      <x:c r="C252" t="n">
        <x:f>LOOKUP(B252,$E$4:$E$9,$A$4:$A$9)</x:f>
        <x:v>3</x:v>
      </x:c>
    </x:row>
    <x:row r="253">
      <x:c r="A253" t="n">
        <x:v>239</x:v>
      </x:c>
      <x:c r="B253" s="40" t="n">
        <x:v>0.8381670341093962</x:v>
      </x:c>
      <x:c r="C253" t="n">
        <x:f>LOOKUP(B253,$E$4:$E$9,$A$4:$A$9)</x:f>
        <x:v>4</x:v>
      </x:c>
    </x:row>
    <x:row r="254">
      <x:c r="A254" t="n">
        <x:v>240</x:v>
      </x:c>
      <x:c r="B254" s="40" t="n">
        <x:v>0.5659149117991552</x:v>
      </x:c>
      <x:c r="C254" t="n">
        <x:f>LOOKUP(B254,$E$4:$E$9,$A$4:$A$9)</x:f>
        <x:v>3</x:v>
      </x:c>
    </x:row>
    <x:row r="255">
      <x:c r="A255" t="n">
        <x:v>241</x:v>
      </x:c>
      <x:c r="B255" s="40" t="n">
        <x:v>0.6400726695930785</x:v>
      </x:c>
      <x:c r="C255" t="n">
        <x:f>LOOKUP(B255,$E$4:$E$9,$A$4:$A$9)</x:f>
        <x:v>3</x:v>
      </x:c>
    </x:row>
    <x:row r="256">
      <x:c r="A256" t="n">
        <x:v>242</x:v>
      </x:c>
      <x:c r="B256" s="40" t="n">
        <x:v>0.17726707761694815</x:v>
      </x:c>
      <x:c r="C256" t="n">
        <x:f>LOOKUP(B256,$E$4:$E$9,$A$4:$A$9)</x:f>
        <x:v>1</x:v>
      </x:c>
    </x:row>
    <x:row r="257">
      <x:c r="A257" t="n">
        <x:v>243</x:v>
      </x:c>
      <x:c r="B257" s="40" t="n">
        <x:v>0.037206038233439376</x:v>
      </x:c>
      <x:c r="C257" t="n">
        <x:f>LOOKUP(B257,$E$4:$E$9,$A$4:$A$9)</x:f>
        <x:v>0</x:v>
      </x:c>
    </x:row>
    <x:row r="258">
      <x:c r="A258" t="n">
        <x:v>244</x:v>
      </x:c>
      <x:c r="B258" s="40" t="n">
        <x:v>0.791688145177316</x:v>
      </x:c>
      <x:c r="C258" t="n">
        <x:f>LOOKUP(B258,$E$4:$E$9,$A$4:$A$9)</x:f>
        <x:v>4</x:v>
      </x:c>
    </x:row>
    <x:row r="259">
      <x:c r="A259" t="n">
        <x:v>245</x:v>
      </x:c>
      <x:c r="B259" s="40" t="n">
        <x:v>0.1670382074412864</x:v>
      </x:c>
      <x:c r="C259" t="n">
        <x:f>LOOKUP(B259,$E$4:$E$9,$A$4:$A$9)</x:f>
        <x:v>1</x:v>
      </x:c>
    </x:row>
    <x:row r="260">
      <x:c r="A260" t="n">
        <x:v>246</x:v>
      </x:c>
      <x:c r="B260" s="40" t="n">
        <x:v>0.09116953553275242</x:v>
      </x:c>
      <x:c r="C260" t="n">
        <x:f>LOOKUP(B260,$E$4:$E$9,$A$4:$A$9)</x:f>
        <x:v>1</x:v>
      </x:c>
    </x:row>
    <x:row r="261">
      <x:c r="A261" t="n">
        <x:v>247</x:v>
      </x:c>
      <x:c r="B261" s="40" t="n">
        <x:v>0.9375623209065953</x:v>
      </x:c>
      <x:c r="C261" t="n">
        <x:f>LOOKUP(B261,$E$4:$E$9,$A$4:$A$9)</x:f>
        <x:v>5</x:v>
      </x:c>
    </x:row>
    <x:row r="262">
      <x:c r="A262" t="n">
        <x:v>248</x:v>
      </x:c>
      <x:c r="B262" s="40" t="n">
        <x:v>0.9635213640591765</x:v>
      </x:c>
      <x:c r="C262" t="n">
        <x:f>LOOKUP(B262,$E$4:$E$9,$A$4:$A$9)</x:f>
        <x:v>5</x:v>
      </x:c>
    </x:row>
    <x:row r="263">
      <x:c r="A263" t="n">
        <x:v>249</x:v>
      </x:c>
      <x:c r="B263" s="40" t="n">
        <x:v>0.6162572916024947</x:v>
      </x:c>
      <x:c r="C263" t="n">
        <x:f>LOOKUP(B263,$E$4:$E$9,$A$4:$A$9)</x:f>
        <x:v>3</x:v>
      </x:c>
    </x:row>
    <x:row r="264">
      <x:c r="A264" t="n">
        <x:v>250</x:v>
      </x:c>
      <x:c r="B264" s="40" t="n">
        <x:v>0.3786372726872934</x:v>
      </x:c>
      <x:c r="C264" t="n">
        <x:f>LOOKUP(B264,$E$4:$E$9,$A$4:$A$9)</x:f>
        <x:v>2</x:v>
      </x:c>
    </x:row>
    <x:row r="265">
      <x:c r="A265" t="n">
        <x:v>251</x:v>
      </x:c>
      <x:c r="B265" s="40" t="n">
        <x:v>0.833239540964052</x:v>
      </x:c>
      <x:c r="C265" t="n">
        <x:f>LOOKUP(B265,$E$4:$E$9,$A$4:$A$9)</x:f>
        <x:v>4</x:v>
      </x:c>
    </x:row>
    <x:row r="266">
      <x:c r="A266" t="n">
        <x:v>252</x:v>
      </x:c>
      <x:c r="B266" s="40" t="n">
        <x:v>0.20471995933541243</x:v>
      </x:c>
      <x:c r="C266" t="n">
        <x:f>LOOKUP(B266,$E$4:$E$9,$A$4:$A$9)</x:f>
        <x:v>1</x:v>
      </x:c>
    </x:row>
    <x:row r="267">
      <x:c r="A267" t="n">
        <x:v>253</x:v>
      </x:c>
      <x:c r="B267" s="40" t="n">
        <x:v>0.4293923274296819</x:v>
      </x:c>
      <x:c r="C267" t="n">
        <x:f>LOOKUP(B267,$E$4:$E$9,$A$4:$A$9)</x:f>
        <x:v>2</x:v>
      </x:c>
    </x:row>
    <x:row r="268">
      <x:c r="A268" t="n">
        <x:v>254</x:v>
      </x:c>
      <x:c r="B268" s="40" t="n">
        <x:v>0.35701729900060175</x:v>
      </x:c>
      <x:c r="C268" t="n">
        <x:f>LOOKUP(B268,$E$4:$E$9,$A$4:$A$9)</x:f>
        <x:v>2</x:v>
      </x:c>
    </x:row>
    <x:row r="269">
      <x:c r="A269" t="n">
        <x:v>255</x:v>
      </x:c>
      <x:c r="B269" s="40" t="n">
        <x:v>0.9126999907416816</x:v>
      </x:c>
      <x:c r="C269" t="n">
        <x:f>LOOKUP(B269,$E$4:$E$9,$A$4:$A$9)</x:f>
        <x:v>5</x:v>
      </x:c>
    </x:row>
    <x:row r="270">
      <x:c r="A270" t="n">
        <x:v>256</x:v>
      </x:c>
      <x:c r="B270" s="40" t="n">
        <x:v>0.9197774153622736</x:v>
      </x:c>
      <x:c r="C270" t="n">
        <x:f>LOOKUP(B270,$E$4:$E$9,$A$4:$A$9)</x:f>
        <x:v>5</x:v>
      </x:c>
    </x:row>
    <x:row r="271">
      <x:c r="A271" t="n">
        <x:v>257</x:v>
      </x:c>
      <x:c r="B271" s="40" t="n">
        <x:v>0.6508859263236664</x:v>
      </x:c>
      <x:c r="C271" t="n">
        <x:f>LOOKUP(B271,$E$4:$E$9,$A$4:$A$9)</x:f>
        <x:v>3</x:v>
      </x:c>
    </x:row>
    <x:row r="272">
      <x:c r="A272" t="n">
        <x:v>258</x:v>
      </x:c>
      <x:c r="B272" s="40" t="n">
        <x:v>0.11074014027269186</x:v>
      </x:c>
      <x:c r="C272" t="n">
        <x:f>LOOKUP(B272,$E$4:$E$9,$A$4:$A$9)</x:f>
        <x:v>1</x:v>
      </x:c>
    </x:row>
    <x:row r="273">
      <x:c r="A273" t="n">
        <x:v>259</x:v>
      </x:c>
      <x:c r="B273" s="40" t="n">
        <x:v>0.4821927896583025</x:v>
      </x:c>
      <x:c r="C273" t="n">
        <x:f>LOOKUP(B273,$E$4:$E$9,$A$4:$A$9)</x:f>
        <x:v>2</x:v>
      </x:c>
    </x:row>
    <x:row r="274">
      <x:c r="A274" t="n">
        <x:v>260</x:v>
      </x:c>
      <x:c r="B274" s="40" t="n">
        <x:v>0.24532836622405674</x:v>
      </x:c>
      <x:c r="C274" t="n">
        <x:f>LOOKUP(B274,$E$4:$E$9,$A$4:$A$9)</x:f>
        <x:v>1</x:v>
      </x:c>
    </x:row>
    <x:row r="275">
      <x:c r="A275" t="n">
        <x:v>261</x:v>
      </x:c>
      <x:c r="B275" s="40" t="n">
        <x:v>0.8849156631844819</x:v>
      </x:c>
      <x:c r="C275" t="n">
        <x:f>LOOKUP(B275,$E$4:$E$9,$A$4:$A$9)</x:f>
        <x:v>4</x:v>
      </x:c>
    </x:row>
    <x:row r="276">
      <x:c r="A276" t="n">
        <x:v>262</x:v>
      </x:c>
      <x:c r="B276" s="40" t="n">
        <x:v>0.1384027990162019</x:v>
      </x:c>
      <x:c r="C276" t="n">
        <x:f>LOOKUP(B276,$E$4:$E$9,$A$4:$A$9)</x:f>
        <x:v>1</x:v>
      </x:c>
    </x:row>
    <x:row r="277">
      <x:c r="A277" t="n">
        <x:v>263</x:v>
      </x:c>
      <x:c r="B277" s="40" t="n">
        <x:v>0.05431027586070736</x:v>
      </x:c>
      <x:c r="C277" t="n">
        <x:f>LOOKUP(B277,$E$4:$E$9,$A$4:$A$9)</x:f>
        <x:v>0</x:v>
      </x:c>
    </x:row>
    <x:row r="278">
      <x:c r="A278" t="n">
        <x:v>264</x:v>
      </x:c>
      <x:c r="B278" s="40" t="n">
        <x:v>0.7044290335500782</x:v>
      </x:c>
      <x:c r="C278" t="n">
        <x:f>LOOKUP(B278,$E$4:$E$9,$A$4:$A$9)</x:f>
        <x:v>3</x:v>
      </x:c>
    </x:row>
    <x:row r="279">
      <x:c r="A279" t="n">
        <x:v>265</x:v>
      </x:c>
      <x:c r="B279" s="40" t="n">
        <x:v>0.4532860749681529</x:v>
      </x:c>
      <x:c r="C279" t="n">
        <x:f>LOOKUP(B279,$E$4:$E$9,$A$4:$A$9)</x:f>
        <x:v>2</x:v>
      </x:c>
    </x:row>
    <x:row r="280">
      <x:c r="A280" t="n">
        <x:v>266</x:v>
      </x:c>
      <x:c r="B280" s="40" t="n">
        <x:v>0.8383648876030845</x:v>
      </x:c>
      <x:c r="C280" t="n">
        <x:f>LOOKUP(B280,$E$4:$E$9,$A$4:$A$9)</x:f>
        <x:v>4</x:v>
      </x:c>
    </x:row>
    <x:row r="281">
      <x:c r="A281" t="n">
        <x:v>267</x:v>
      </x:c>
      <x:c r="B281" s="40" t="n">
        <x:v>0.07462963116931176</x:v>
      </x:c>
      <x:c r="C281" t="n">
        <x:f>LOOKUP(B281,$E$4:$E$9,$A$4:$A$9)</x:f>
        <x:v>0</x:v>
      </x:c>
    </x:row>
    <x:row r="282">
      <x:c r="A282" t="n">
        <x:v>268</x:v>
      </x:c>
      <x:c r="B282" s="40" t="n">
        <x:v>0.8010761326078425</x:v>
      </x:c>
      <x:c r="C282" t="n">
        <x:f>LOOKUP(B282,$E$4:$E$9,$A$4:$A$9)</x:f>
        <x:v>4</x:v>
      </x:c>
    </x:row>
    <x:row r="283">
      <x:c r="A283" t="n">
        <x:v>269</x:v>
      </x:c>
      <x:c r="B283" s="40" t="n">
        <x:v>0.037334752844158325</x:v>
      </x:c>
      <x:c r="C283" t="n">
        <x:f>LOOKUP(B283,$E$4:$E$9,$A$4:$A$9)</x:f>
        <x:v>0</x:v>
      </x:c>
    </x:row>
    <x:row r="284">
      <x:c r="A284" t="n">
        <x:v>270</x:v>
      </x:c>
      <x:c r="B284" s="40" t="n">
        <x:v>0.02807001191395697</x:v>
      </x:c>
      <x:c r="C284" t="n">
        <x:f>LOOKUP(B284,$E$4:$E$9,$A$4:$A$9)</x:f>
        <x:v>0</x:v>
      </x:c>
    </x:row>
    <x:row r="285">
      <x:c r="A285" t="n">
        <x:v>271</x:v>
      </x:c>
      <x:c r="B285" s="40" t="n">
        <x:v>0.4613157517310297</x:v>
      </x:c>
      <x:c r="C285" t="n">
        <x:f>LOOKUP(B285,$E$4:$E$9,$A$4:$A$9)</x:f>
        <x:v>2</x:v>
      </x:c>
    </x:row>
    <x:row r="286">
      <x:c r="A286" t="n">
        <x:v>272</x:v>
      </x:c>
      <x:c r="B286" s="40" t="n">
        <x:v>0.22129128968065181</x:v>
      </x:c>
      <x:c r="C286" t="n">
        <x:f>LOOKUP(B286,$E$4:$E$9,$A$4:$A$9)</x:f>
        <x:v>1</x:v>
      </x:c>
    </x:row>
    <x:row r="287">
      <x:c r="A287" t="n">
        <x:v>273</x:v>
      </x:c>
      <x:c r="B287" s="40" t="n">
        <x:v>0.5937187070065306</x:v>
      </x:c>
      <x:c r="C287" t="n">
        <x:f>LOOKUP(B287,$E$4:$E$9,$A$4:$A$9)</x:f>
        <x:v>3</x:v>
      </x:c>
    </x:row>
    <x:row r="288">
      <x:c r="A288" t="n">
        <x:v>274</x:v>
      </x:c>
      <x:c r="B288" s="40" t="n">
        <x:v>0.025816994211470434</x:v>
      </x:c>
      <x:c r="C288" t="n">
        <x:f>LOOKUP(B288,$E$4:$E$9,$A$4:$A$9)</x:f>
        <x:v>0</x:v>
      </x:c>
    </x:row>
    <x:row r="289">
      <x:c r="A289" t="n">
        <x:v>275</x:v>
      </x:c>
      <x:c r="B289" s="40" t="n">
        <x:v>0.03538954236297853</x:v>
      </x:c>
      <x:c r="C289" t="n">
        <x:f>LOOKUP(B289,$E$4:$E$9,$A$4:$A$9)</x:f>
        <x:v>0</x:v>
      </x:c>
    </x:row>
    <x:row r="290">
      <x:c r="A290" t="n">
        <x:v>276</x:v>
      </x:c>
      <x:c r="B290" s="40" t="n">
        <x:v>0.7271484961719404</x:v>
      </x:c>
      <x:c r="C290" t="n">
        <x:f>LOOKUP(B290,$E$4:$E$9,$A$4:$A$9)</x:f>
        <x:v>3</x:v>
      </x:c>
    </x:row>
    <x:row r="291">
      <x:c r="A291" t="n">
        <x:v>277</x:v>
      </x:c>
      <x:c r="B291" s="40" t="n">
        <x:v>0.21016516249231165</x:v>
      </x:c>
      <x:c r="C291" t="n">
        <x:f>LOOKUP(B291,$E$4:$E$9,$A$4:$A$9)</x:f>
        <x:v>1</x:v>
      </x:c>
    </x:row>
    <x:row r="292">
      <x:c r="A292" t="n">
        <x:v>278</x:v>
      </x:c>
      <x:c r="B292" s="40" t="n">
        <x:v>0.6564171236607336</x:v>
      </x:c>
      <x:c r="C292" t="n">
        <x:f>LOOKUP(B292,$E$4:$E$9,$A$4:$A$9)</x:f>
        <x:v>3</x:v>
      </x:c>
    </x:row>
    <x:row r="293">
      <x:c r="A293" t="n">
        <x:v>279</x:v>
      </x:c>
      <x:c r="B293" s="40" t="n">
        <x:v>0.7499221615007585</x:v>
      </x:c>
      <x:c r="C293" t="n">
        <x:f>LOOKUP(B293,$E$4:$E$9,$A$4:$A$9)</x:f>
        <x:v>4</x:v>
      </x:c>
    </x:row>
    <x:row r="294">
      <x:c r="A294" t="n">
        <x:v>280</x:v>
      </x:c>
      <x:c r="B294" s="40" t="n">
        <x:v>0.05933116572496744</x:v>
      </x:c>
      <x:c r="C294" t="n">
        <x:f>LOOKUP(B294,$E$4:$E$9,$A$4:$A$9)</x:f>
        <x:v>0</x:v>
      </x:c>
    </x:row>
    <x:row r="295">
      <x:c r="A295" t="n">
        <x:v>281</x:v>
      </x:c>
      <x:c r="B295" s="40" t="n">
        <x:v>0.7697539544642392</x:v>
      </x:c>
      <x:c r="C295" t="n">
        <x:f>LOOKUP(B295,$E$4:$E$9,$A$4:$A$9)</x:f>
        <x:v>4</x:v>
      </x:c>
    </x:row>
    <x:row r="296">
      <x:c r="A296" t="n">
        <x:v>282</x:v>
      </x:c>
      <x:c r="B296" s="40" t="n">
        <x:v>0.26842121796128604</x:v>
      </x:c>
      <x:c r="C296" t="n">
        <x:f>LOOKUP(B296,$E$4:$E$9,$A$4:$A$9)</x:f>
        <x:v>2</x:v>
      </x:c>
    </x:row>
    <x:row r="297">
      <x:c r="A297" t="n">
        <x:v>283</x:v>
      </x:c>
      <x:c r="B297" s="40" t="n">
        <x:v>0.38954595819974824</x:v>
      </x:c>
      <x:c r="C297" t="n">
        <x:f>LOOKUP(B297,$E$4:$E$9,$A$4:$A$9)</x:f>
        <x:v>2</x:v>
      </x:c>
    </x:row>
    <x:row r="298">
      <x:c r="A298" t="n">
        <x:v>284</x:v>
      </x:c>
      <x:c r="B298" s="40" t="n">
        <x:v>0.08663919229531669</x:v>
      </x:c>
      <x:c r="C298" t="n">
        <x:f>LOOKUP(B298,$E$4:$E$9,$A$4:$A$9)</x:f>
        <x:v>0</x:v>
      </x:c>
    </x:row>
    <x:row r="299">
      <x:c r="A299" t="n">
        <x:v>285</x:v>
      </x:c>
      <x:c r="B299" s="40" t="n">
        <x:v>0.8386299833648527</x:v>
      </x:c>
      <x:c r="C299" t="n">
        <x:f>LOOKUP(B299,$E$4:$E$9,$A$4:$A$9)</x:f>
        <x:v>4</x:v>
      </x:c>
    </x:row>
    <x:row r="300">
      <x:c r="A300" t="n">
        <x:v>286</x:v>
      </x:c>
      <x:c r="B300" s="40" t="n">
        <x:v>0.560728786325764</x:v>
      </x:c>
      <x:c r="C300" t="n">
        <x:f>LOOKUP(B300,$E$4:$E$9,$A$4:$A$9)</x:f>
        <x:v>3</x:v>
      </x:c>
    </x:row>
    <x:row r="301">
      <x:c r="A301" t="n">
        <x:v>287</x:v>
      </x:c>
      <x:c r="B301" s="40" t="n">
        <x:v>0.5046652778471722</x:v>
      </x:c>
      <x:c r="C301" t="n">
        <x:f>LOOKUP(B301,$E$4:$E$9,$A$4:$A$9)</x:f>
        <x:v>2</x:v>
      </x:c>
    </x:row>
    <x:row r="302">
      <x:c r="A302" t="n">
        <x:v>288</x:v>
      </x:c>
      <x:c r="B302" s="40" t="n">
        <x:v>0.9685548109027556</x:v>
      </x:c>
      <x:c r="C302" t="n">
        <x:f>LOOKUP(B302,$E$4:$E$9,$A$4:$A$9)</x:f>
        <x:v>5</x:v>
      </x:c>
    </x:row>
    <x:row r="303">
      <x:c r="A303" t="n">
        <x:v>289</x:v>
      </x:c>
      <x:c r="B303" s="40" t="n">
        <x:v>0.3345057599406708</x:v>
      </x:c>
      <x:c r="C303" t="n">
        <x:f>LOOKUP(B303,$E$4:$E$9,$A$4:$A$9)</x:f>
        <x:v>2</x:v>
      </x:c>
    </x:row>
    <x:row r="304">
      <x:c r="A304" t="n">
        <x:v>290</x:v>
      </x:c>
      <x:c r="B304" s="40" t="n">
        <x:v>0.890779286476696</x:v>
      </x:c>
      <x:c r="C304" t="n">
        <x:f>LOOKUP(B304,$E$4:$E$9,$A$4:$A$9)</x:f>
        <x:v>5</x:v>
      </x:c>
    </x:row>
    <x:row r="305">
      <x:c r="A305" t="n">
        <x:v>291</x:v>
      </x:c>
      <x:c r="B305" s="40" t="n">
        <x:v>0.7196878810646042</x:v>
      </x:c>
      <x:c r="C305" t="n">
        <x:f>LOOKUP(B305,$E$4:$E$9,$A$4:$A$9)</x:f>
        <x:v>3</x:v>
      </x:c>
    </x:row>
    <x:row r="306">
      <x:c r="A306" t="n">
        <x:v>292</x:v>
      </x:c>
      <x:c r="B306" s="40" t="n">
        <x:v>0.9285281358522389</x:v>
      </x:c>
      <x:c r="C306" t="n">
        <x:f>LOOKUP(B306,$E$4:$E$9,$A$4:$A$9)</x:f>
        <x:v>5</x:v>
      </x:c>
    </x:row>
    <x:row r="307">
      <x:c r="A307" t="n">
        <x:v>293</x:v>
      </x:c>
      <x:c r="B307" s="40" t="n">
        <x:v>0.9078020527624597</x:v>
      </x:c>
      <x:c r="C307" t="n">
        <x:f>LOOKUP(B307,$E$4:$E$9,$A$4:$A$9)</x:f>
        <x:v>5</x:v>
      </x:c>
    </x:row>
    <x:row r="308">
      <x:c r="A308" t="n">
        <x:v>294</x:v>
      </x:c>
      <x:c r="B308" s="40" t="n">
        <x:v>0.9910298050260696</x:v>
      </x:c>
      <x:c r="C308" t="n">
        <x:f>LOOKUP(B308,$E$4:$E$9,$A$4:$A$9)</x:f>
        <x:v>5</x:v>
      </x:c>
    </x:row>
    <x:row r="309">
      <x:c r="A309" t="n">
        <x:v>295</x:v>
      </x:c>
      <x:c r="B309" s="40" t="n">
        <x:v>0.13167675203715756</x:v>
      </x:c>
      <x:c r="C309" t="n">
        <x:f>LOOKUP(B309,$E$4:$E$9,$A$4:$A$9)</x:f>
        <x:v>1</x:v>
      </x:c>
    </x:row>
    <x:row r="310">
      <x:c r="A310" t="n">
        <x:v>296</x:v>
      </x:c>
      <x:c r="B310" s="40" t="n">
        <x:v>0.796016392091595</x:v>
      </x:c>
      <x:c r="C310" t="n">
        <x:f>LOOKUP(B310,$E$4:$E$9,$A$4:$A$9)</x:f>
        <x:v>4</x:v>
      </x:c>
    </x:row>
    <x:row r="311">
      <x:c r="A311" t="n">
        <x:v>297</x:v>
      </x:c>
      <x:c r="B311" s="40" t="n">
        <x:v>0.8044943549475032</x:v>
      </x:c>
      <x:c r="C311" t="n">
        <x:f>LOOKUP(B311,$E$4:$E$9,$A$4:$A$9)</x:f>
        <x:v>4</x:v>
      </x:c>
    </x:row>
    <x:row r="312">
      <x:c r="A312" t="n">
        <x:v>298</x:v>
      </x:c>
      <x:c r="B312" s="40" t="n">
        <x:v>0.6443735281784868</x:v>
      </x:c>
      <x:c r="C312" t="n">
        <x:f>LOOKUP(B312,$E$4:$E$9,$A$4:$A$9)</x:f>
        <x:v>3</x:v>
      </x:c>
    </x:row>
    <x:row r="313">
      <x:c r="A313" t="n">
        <x:v>299</x:v>
      </x:c>
      <x:c r="B313" s="40" t="n">
        <x:v>0.278860958238202</x:v>
      </x:c>
      <x:c r="C313" t="n">
        <x:f>LOOKUP(B313,$E$4:$E$9,$A$4:$A$9)</x:f>
        <x:v>2</x:v>
      </x:c>
    </x:row>
    <x:row r="314">
      <x:c r="A314" t="n">
        <x:v>300</x:v>
      </x:c>
      <x:c r="B314" s="40" t="n">
        <x:v>0.9651482716283151</x:v>
      </x:c>
      <x:c r="C314" t="n">
        <x:f>LOOKUP(B314,$E$4:$E$9,$A$4:$A$9)</x:f>
        <x:v>5</x:v>
      </x:c>
    </x:row>
    <x:row r="315">
      <x:c r="A315" t="n">
        <x:v>301</x:v>
      </x:c>
      <x:c r="B315" s="40" t="n">
        <x:v>0.20442213789020958</x:v>
      </x:c>
      <x:c r="C315" t="n">
        <x:f>LOOKUP(B315,$E$4:$E$9,$A$4:$A$9)</x:f>
        <x:v>1</x:v>
      </x:c>
    </x:row>
    <x:row r="316">
      <x:c r="A316" t="n">
        <x:v>302</x:v>
      </x:c>
      <x:c r="B316" s="40" t="n">
        <x:v>0.499575378358439</x:v>
      </x:c>
      <x:c r="C316" t="n">
        <x:f>LOOKUP(B316,$E$4:$E$9,$A$4:$A$9)</x:f>
        <x:v>2</x:v>
      </x:c>
    </x:row>
    <x:row r="317">
      <x:c r="A317" t="n">
        <x:v>303</x:v>
      </x:c>
      <x:c r="B317" s="40" t="n">
        <x:v>0.5214871128191862</x:v>
      </x:c>
      <x:c r="C317" t="n">
        <x:f>LOOKUP(B317,$E$4:$E$9,$A$4:$A$9)</x:f>
        <x:v>3</x:v>
      </x:c>
    </x:row>
    <x:row r="318">
      <x:c r="A318" t="n">
        <x:v>304</x:v>
      </x:c>
      <x:c r="B318" s="40" t="n">
        <x:v>0.16182934483603884</x:v>
      </x:c>
      <x:c r="C318" t="n">
        <x:f>LOOKUP(B318,$E$4:$E$9,$A$4:$A$9)</x:f>
        <x:v>1</x:v>
      </x:c>
    </x:row>
    <x:row r="319">
      <x:c r="A319" t="n">
        <x:v>305</x:v>
      </x:c>
      <x:c r="B319" s="40" t="n">
        <x:v>0.7225288223332409</x:v>
      </x:c>
      <x:c r="C319" t="n">
        <x:f>LOOKUP(B319,$E$4:$E$9,$A$4:$A$9)</x:f>
        <x:v>3</x:v>
      </x:c>
    </x:row>
    <x:row r="320">
      <x:c r="A320" t="n">
        <x:v>306</x:v>
      </x:c>
      <x:c r="B320" s="40" t="n">
        <x:v>0.08886716418023977</x:v>
      </x:c>
      <x:c r="C320" t="n">
        <x:f>LOOKUP(B320,$E$4:$E$9,$A$4:$A$9)</x:f>
        <x:v>0</x:v>
      </x:c>
    </x:row>
    <x:row r="321">
      <x:c r="A321" t="n">
        <x:v>307</x:v>
      </x:c>
      <x:c r="B321" s="40" t="n">
        <x:v>0.693097778846711</x:v>
      </x:c>
      <x:c r="C321" t="n">
        <x:f>LOOKUP(B321,$E$4:$E$9,$A$4:$A$9)</x:f>
        <x:v>3</x:v>
      </x:c>
    </x:row>
    <x:row r="322">
      <x:c r="A322" t="n">
        <x:v>308</x:v>
      </x:c>
      <x:c r="B322" s="40" t="n">
        <x:v>0.8486154962906369</x:v>
      </x:c>
      <x:c r="C322" t="n">
        <x:f>LOOKUP(B322,$E$4:$E$9,$A$4:$A$9)</x:f>
        <x:v>4</x:v>
      </x:c>
    </x:row>
    <x:row r="323">
      <x:c r="A323" t="n">
        <x:v>309</x:v>
      </x:c>
      <x:c r="B323" s="40" t="n">
        <x:v>0.34939642508239954</x:v>
      </x:c>
      <x:c r="C323" t="n">
        <x:f>LOOKUP(B323,$E$4:$E$9,$A$4:$A$9)</x:f>
        <x:v>2</x:v>
      </x:c>
    </x:row>
    <x:row r="324">
      <x:c r="A324" t="n">
        <x:v>310</x:v>
      </x:c>
      <x:c r="B324" s="40" t="n">
        <x:v>0.7094208085992002</x:v>
      </x:c>
      <x:c r="C324" t="n">
        <x:f>LOOKUP(B324,$E$4:$E$9,$A$4:$A$9)</x:f>
        <x:v>3</x:v>
      </x:c>
    </x:row>
    <x:row r="325">
      <x:c r="A325" t="n">
        <x:v>311</x:v>
      </x:c>
      <x:c r="B325" s="40" t="n">
        <x:v>0.1567740081478498</x:v>
      </x:c>
      <x:c r="C325" t="n">
        <x:f>LOOKUP(B325,$E$4:$E$9,$A$4:$A$9)</x:f>
        <x:v>1</x:v>
      </x:c>
    </x:row>
    <x:row r="326">
      <x:c r="A326" t="n">
        <x:v>312</x:v>
      </x:c>
      <x:c r="B326" s="40" t="n">
        <x:v>0.8459490014528787</x:v>
      </x:c>
      <x:c r="C326" t="n">
        <x:f>LOOKUP(B326,$E$4:$E$9,$A$4:$A$9)</x:f>
        <x:v>4</x:v>
      </x:c>
    </x:row>
    <x:row r="327">
      <x:c r="A327" t="n">
        <x:v>313</x:v>
      </x:c>
      <x:c r="B327" s="40" t="n">
        <x:v>0.9520316985532247</x:v>
      </x:c>
      <x:c r="C327" t="n">
        <x:f>LOOKUP(B327,$E$4:$E$9,$A$4:$A$9)</x:f>
        <x:v>5</x:v>
      </x:c>
    </x:row>
    <x:row r="328">
      <x:c r="A328" t="n">
        <x:v>314</x:v>
      </x:c>
      <x:c r="B328" s="40" t="n">
        <x:v>0.1526936934997769</x:v>
      </x:c>
      <x:c r="C328" t="n">
        <x:f>LOOKUP(B328,$E$4:$E$9,$A$4:$A$9)</x:f>
        <x:v>1</x:v>
      </x:c>
    </x:row>
    <x:row r="329">
      <x:c r="A329" t="n">
        <x:v>315</x:v>
      </x:c>
      <x:c r="B329" s="40" t="n">
        <x:v>0.6918594739723322</x:v>
      </x:c>
      <x:c r="C329" t="n">
        <x:f>LOOKUP(B329,$E$4:$E$9,$A$4:$A$9)</x:f>
        <x:v>3</x:v>
      </x:c>
    </x:row>
    <x:row r="330">
      <x:c r="A330" t="n">
        <x:v>316</x:v>
      </x:c>
      <x:c r="B330" s="40" t="n">
        <x:v>0.5058310965565258</x:v>
      </x:c>
      <x:c r="C330" t="n">
        <x:f>LOOKUP(B330,$E$4:$E$9,$A$4:$A$9)</x:f>
        <x:v>3</x:v>
      </x:c>
    </x:row>
    <x:row r="331">
      <x:c r="A331" t="n">
        <x:v>317</x:v>
      </x:c>
      <x:c r="B331" s="40" t="n">
        <x:v>0.5314993318323786</x:v>
      </x:c>
      <x:c r="C331" t="n">
        <x:f>LOOKUP(B331,$E$4:$E$9,$A$4:$A$9)</x:f>
        <x:v>3</x:v>
      </x:c>
    </x:row>
    <x:row r="332">
      <x:c r="A332" t="n">
        <x:v>318</x:v>
      </x:c>
      <x:c r="B332" s="40" t="n">
        <x:v>0.7064897186006882</x:v>
      </x:c>
      <x:c r="C332" t="n">
        <x:f>LOOKUP(B332,$E$4:$E$9,$A$4:$A$9)</x:f>
        <x:v>3</x:v>
      </x:c>
    </x:row>
    <x:row r="333">
      <x:c r="A333" t="n">
        <x:v>319</x:v>
      </x:c>
      <x:c r="B333" s="40" t="n">
        <x:v>0.48874049933643726</x:v>
      </x:c>
      <x:c r="C333" t="n">
        <x:f>LOOKUP(B333,$E$4:$E$9,$A$4:$A$9)</x:f>
        <x:v>2</x:v>
      </x:c>
    </x:row>
    <x:row r="334">
      <x:c r="A334" t="n">
        <x:v>320</x:v>
      </x:c>
      <x:c r="B334" s="40" t="n">
        <x:v>0.6003263920177168</x:v>
      </x:c>
      <x:c r="C334" t="n">
        <x:f>LOOKUP(B334,$E$4:$E$9,$A$4:$A$9)</x:f>
        <x:v>3</x:v>
      </x:c>
    </x:row>
    <x:row r="335">
      <x:c r="A335" t="n">
        <x:v>321</x:v>
      </x:c>
      <x:c r="B335" s="40" t="n">
        <x:v>0.2309010194113772</x:v>
      </x:c>
      <x:c r="C335" t="n">
        <x:f>LOOKUP(B335,$E$4:$E$9,$A$4:$A$9)</x:f>
        <x:v>1</x:v>
      </x:c>
    </x:row>
    <x:row r="336">
      <x:c r="A336" t="n">
        <x:v>322</x:v>
      </x:c>
      <x:c r="B336" s="40" t="n">
        <x:v>0.3785065964886303</x:v>
      </x:c>
      <x:c r="C336" t="n">
        <x:f>LOOKUP(B336,$E$4:$E$9,$A$4:$A$9)</x:f>
        <x:v>2</x:v>
      </x:c>
    </x:row>
    <x:row r="337">
      <x:c r="A337" t="n">
        <x:v>323</x:v>
      </x:c>
      <x:c r="B337" s="40" t="n">
        <x:v>0.865240350071502</x:v>
      </x:c>
      <x:c r="C337" t="n">
        <x:f>LOOKUP(B337,$E$4:$E$9,$A$4:$A$9)</x:f>
        <x:v>4</x:v>
      </x:c>
    </x:row>
    <x:row r="338">
      <x:c r="A338" t="n">
        <x:v>324</x:v>
      </x:c>
      <x:c r="B338" s="40" t="n">
        <x:v>0.1099025116483856</x:v>
      </x:c>
      <x:c r="C338" t="n">
        <x:f>LOOKUP(B338,$E$4:$E$9,$A$4:$A$9)</x:f>
        <x:v>1</x:v>
      </x:c>
    </x:row>
    <x:row r="339">
      <x:c r="A339" t="n">
        <x:v>325</x:v>
      </x:c>
      <x:c r="B339" s="40" t="n">
        <x:v>0.5975752609336399</x:v>
      </x:c>
      <x:c r="C339" t="n">
        <x:f>LOOKUP(B339,$E$4:$E$9,$A$4:$A$9)</x:f>
        <x:v>3</x:v>
      </x:c>
    </x:row>
    <x:row r="340">
      <x:c r="A340" t="n">
        <x:v>326</x:v>
      </x:c>
      <x:c r="B340" s="40" t="n">
        <x:v>0.18428706223489022</x:v>
      </x:c>
      <x:c r="C340" t="n">
        <x:f>LOOKUP(B340,$E$4:$E$9,$A$4:$A$9)</x:f>
        <x:v>1</x:v>
      </x:c>
    </x:row>
    <x:row r="341">
      <x:c r="A341" t="n">
        <x:v>327</x:v>
      </x:c>
      <x:c r="B341" s="40" t="n">
        <x:v>0.846539597923372</x:v>
      </x:c>
      <x:c r="C341" t="n">
        <x:f>LOOKUP(B341,$E$4:$E$9,$A$4:$A$9)</x:f>
        <x:v>4</x:v>
      </x:c>
    </x:row>
    <x:row r="342">
      <x:c r="A342" t="n">
        <x:v>328</x:v>
      </x:c>
      <x:c r="B342" s="40" t="n">
        <x:v>0.5790439538535498</x:v>
      </x:c>
      <x:c r="C342" t="n">
        <x:f>LOOKUP(B342,$E$4:$E$9,$A$4:$A$9)</x:f>
        <x:v>3</x:v>
      </x:c>
    </x:row>
    <x:row r="343">
      <x:c r="A343" t="n">
        <x:v>329</x:v>
      </x:c>
      <x:c r="B343" s="40" t="n">
        <x:v>0.4030487826702711</x:v>
      </x:c>
      <x:c r="C343" t="n">
        <x:f>LOOKUP(B343,$E$4:$E$9,$A$4:$A$9)</x:f>
        <x:v>2</x:v>
      </x:c>
    </x:row>
    <x:row r="344">
      <x:c r="A344" t="n">
        <x:v>330</x:v>
      </x:c>
      <x:c r="B344" s="40" t="n">
        <x:v>0.24982467365181793</x:v>
      </x:c>
      <x:c r="C344" t="n">
        <x:f>LOOKUP(B344,$E$4:$E$9,$A$4:$A$9)</x:f>
        <x:v>1</x:v>
      </x:c>
    </x:row>
    <x:row r="345">
      <x:c r="A345" t="n">
        <x:v>331</x:v>
      </x:c>
      <x:c r="B345" s="40" t="n">
        <x:v>0.4368446991896344</x:v>
      </x:c>
      <x:c r="C345" t="n">
        <x:f>LOOKUP(B345,$E$4:$E$9,$A$4:$A$9)</x:f>
        <x:v>2</x:v>
      </x:c>
    </x:row>
    <x:row r="346">
      <x:c r="A346" t="n">
        <x:v>332</x:v>
      </x:c>
      <x:c r="B346" s="40" t="n">
        <x:v>0.9576123259217423</x:v>
      </x:c>
      <x:c r="C346" t="n">
        <x:f>LOOKUP(B346,$E$4:$E$9,$A$4:$A$9)</x:f>
        <x:v>5</x:v>
      </x:c>
    </x:row>
    <x:row r="347">
      <x:c r="A347" t="n">
        <x:v>333</x:v>
      </x:c>
      <x:c r="B347" s="40" t="n">
        <x:v>0.5092092897436206</x:v>
      </x:c>
      <x:c r="C347" t="n">
        <x:f>LOOKUP(B347,$E$4:$E$9,$A$4:$A$9)</x:f>
        <x:v>3</x:v>
      </x:c>
    </x:row>
    <x:row r="348">
      <x:c r="A348" t="n">
        <x:v>334</x:v>
      </x:c>
      <x:c r="B348" s="40" t="n">
        <x:v>0.4694895316998602</x:v>
      </x:c>
      <x:c r="C348" t="n">
        <x:f>LOOKUP(B348,$E$4:$E$9,$A$4:$A$9)</x:f>
        <x:v>2</x:v>
      </x:c>
    </x:row>
    <x:row r="349">
      <x:c r="A349" t="n">
        <x:v>335</x:v>
      </x:c>
      <x:c r="B349" s="40" t="n">
        <x:v>0.7462738135003091</x:v>
      </x:c>
      <x:c r="C349" t="n">
        <x:f>LOOKUP(B349,$E$4:$E$9,$A$4:$A$9)</x:f>
        <x:v>4</x:v>
      </x:c>
    </x:row>
    <x:row r="350">
      <x:c r="A350" t="n">
        <x:v>336</x:v>
      </x:c>
      <x:c r="B350" s="40" t="n">
        <x:v>0.3790470708319067</x:v>
      </x:c>
      <x:c r="C350" t="n">
        <x:f>LOOKUP(B350,$E$4:$E$9,$A$4:$A$9)</x:f>
        <x:v>2</x:v>
      </x:c>
    </x:row>
    <x:row r="351">
      <x:c r="A351" t="n">
        <x:v>337</x:v>
      </x:c>
      <x:c r="B351" s="40" t="n">
        <x:v>0.427423949880794</x:v>
      </x:c>
      <x:c r="C351" t="n">
        <x:f>LOOKUP(B351,$E$4:$E$9,$A$4:$A$9)</x:f>
        <x:v>2</x:v>
      </x:c>
    </x:row>
    <x:row r="352">
      <x:c r="A352" t="n">
        <x:v>338</x:v>
      </x:c>
      <x:c r="B352" s="40" t="n">
        <x:v>0.33694773157161906</x:v>
      </x:c>
      <x:c r="C352" t="n">
        <x:f>LOOKUP(B352,$E$4:$E$9,$A$4:$A$9)</x:f>
        <x:v>2</x:v>
      </x:c>
    </x:row>
    <x:row r="353">
      <x:c r="A353" t="n">
        <x:v>339</x:v>
      </x:c>
      <x:c r="B353" s="40" t="n">
        <x:v>0.1509197553293914</x:v>
      </x:c>
      <x:c r="C353" t="n">
        <x:f>LOOKUP(B353,$E$4:$E$9,$A$4:$A$9)</x:f>
        <x:v>1</x:v>
      </x:c>
    </x:row>
    <x:row r="354">
      <x:c r="A354" t="n">
        <x:v>340</x:v>
      </x:c>
      <x:c r="B354" s="40" t="n">
        <x:v>0.7138092142026506</x:v>
      </x:c>
      <x:c r="C354" t="n">
        <x:f>LOOKUP(B354,$E$4:$E$9,$A$4:$A$9)</x:f>
        <x:v>3</x:v>
      </x:c>
    </x:row>
    <x:row r="355">
      <x:c r="A355" t="n">
        <x:v>341</x:v>
      </x:c>
      <x:c r="B355" s="40" t="n">
        <x:v>0.8730309138836237</x:v>
      </x:c>
      <x:c r="C355" t="n">
        <x:f>LOOKUP(B355,$E$4:$E$9,$A$4:$A$9)</x:f>
        <x:v>4</x:v>
      </x:c>
    </x:row>
    <x:row r="356">
      <x:c r="A356" t="n">
        <x:v>342</x:v>
      </x:c>
      <x:c r="B356" s="40" t="n">
        <x:v>0.9055926492427656</x:v>
      </x:c>
      <x:c r="C356" t="n">
        <x:f>LOOKUP(B356,$E$4:$E$9,$A$4:$A$9)</x:f>
        <x:v>5</x:v>
      </x:c>
    </x:row>
    <x:row r="357">
      <x:c r="A357" t="n">
        <x:v>343</x:v>
      </x:c>
      <x:c r="B357" s="40" t="n">
        <x:v>0.8808029380377796</x:v>
      </x:c>
      <x:c r="C357" t="n">
        <x:f>LOOKUP(B357,$E$4:$E$9,$A$4:$A$9)</x:f>
        <x:v>4</x:v>
      </x:c>
    </x:row>
    <x:row r="358">
      <x:c r="A358" t="n">
        <x:v>344</x:v>
      </x:c>
      <x:c r="B358" s="40" t="n">
        <x:v>0.4517838024379929</x:v>
      </x:c>
      <x:c r="C358" t="n">
        <x:f>LOOKUP(B358,$E$4:$E$9,$A$4:$A$9)</x:f>
        <x:v>2</x:v>
      </x:c>
    </x:row>
    <x:row r="359">
      <x:c r="A359" t="n">
        <x:v>345</x:v>
      </x:c>
      <x:c r="B359" s="40" t="n">
        <x:v>0.2840661922031963</x:v>
      </x:c>
      <x:c r="C359" t="n">
        <x:f>LOOKUP(B359,$E$4:$E$9,$A$4:$A$9)</x:f>
        <x:v>2</x:v>
      </x:c>
    </x:row>
    <x:row r="360">
      <x:c r="A360" t="n">
        <x:v>346</x:v>
      </x:c>
      <x:c r="B360" s="40" t="n">
        <x:v>0.6379237496008234</x:v>
      </x:c>
      <x:c r="C360" t="n">
        <x:f>LOOKUP(B360,$E$4:$E$9,$A$4:$A$9)</x:f>
        <x:v>3</x:v>
      </x:c>
    </x:row>
    <x:row r="361">
      <x:c r="A361" t="n">
        <x:v>347</x:v>
      </x:c>
      <x:c r="B361" s="40" t="n">
        <x:v>0.9547049119060317</x:v>
      </x:c>
      <x:c r="C361" t="n">
        <x:f>LOOKUP(B361,$E$4:$E$9,$A$4:$A$9)</x:f>
        <x:v>5</x:v>
      </x:c>
    </x:row>
    <x:row r="362">
      <x:c r="A362" t="n">
        <x:v>348</x:v>
      </x:c>
      <x:c r="B362" s="40" t="n">
        <x:v>0.727050648168605</x:v>
      </x:c>
      <x:c r="C362" t="n">
        <x:f>LOOKUP(B362,$E$4:$E$9,$A$4:$A$9)</x:f>
        <x:v>3</x:v>
      </x:c>
    </x:row>
    <x:row r="363">
      <x:c r="A363" t="n">
        <x:v>349</x:v>
      </x:c>
      <x:c r="B363" s="40" t="n">
        <x:v>0.49484856159015655</x:v>
      </x:c>
      <x:c r="C363" t="n">
        <x:f>LOOKUP(B363,$E$4:$E$9,$A$4:$A$9)</x:f>
        <x:v>2</x:v>
      </x:c>
    </x:row>
    <x:row r="364">
      <x:c r="A364" t="n">
        <x:v>350</x:v>
      </x:c>
      <x:c r="B364" s="40" t="n">
        <x:v>0.6888085745134482</x:v>
      </x:c>
      <x:c r="C364" t="n">
        <x:f>LOOKUP(B364,$E$4:$E$9,$A$4:$A$9)</x:f>
        <x:v>3</x:v>
      </x:c>
    </x:row>
    <x:row r="365">
      <x:c r="A365" t="n">
        <x:v>351</x:v>
      </x:c>
      <x:c r="B365" s="40" t="n">
        <x:v>0.772537912454397</x:v>
      </x:c>
      <x:c r="C365" t="n">
        <x:f>LOOKUP(B365,$E$4:$E$9,$A$4:$A$9)</x:f>
        <x:v>4</x:v>
      </x:c>
    </x:row>
    <x:row r="366">
      <x:c r="A366" t="n">
        <x:v>352</x:v>
      </x:c>
      <x:c r="B366" s="40" t="n">
        <x:v>0.9192692613280707</x:v>
      </x:c>
      <x:c r="C366" t="n">
        <x:f>LOOKUP(B366,$E$4:$E$9,$A$4:$A$9)</x:f>
        <x:v>5</x:v>
      </x:c>
    </x:row>
    <x:row r="367">
      <x:c r="A367" t="n">
        <x:v>353</x:v>
      </x:c>
      <x:c r="B367" s="40" t="n">
        <x:v>0.7632157539721541</x:v>
      </x:c>
      <x:c r="C367" t="n">
        <x:f>LOOKUP(B367,$E$4:$E$9,$A$4:$A$9)</x:f>
        <x:v>4</x:v>
      </x:c>
    </x:row>
    <x:row r="368">
      <x:c r="A368" t="n">
        <x:v>354</x:v>
      </x:c>
      <x:c r="B368" s="40" t="n">
        <x:v>0.4331905556359056</x:v>
      </x:c>
      <x:c r="C368" t="n">
        <x:f>LOOKUP(B368,$E$4:$E$9,$A$4:$A$9)</x:f>
        <x:v>2</x:v>
      </x:c>
    </x:row>
    <x:row r="369">
      <x:c r="A369" t="n">
        <x:v>355</x:v>
      </x:c>
      <x:c r="B369" s="40" t="n">
        <x:v>0.2736065184654841</x:v>
      </x:c>
      <x:c r="C369" t="n">
        <x:f>LOOKUP(B369,$E$4:$E$9,$A$4:$A$9)</x:f>
        <x:v>2</x:v>
      </x:c>
    </x:row>
    <x:row r="370">
      <x:c r="A370" t="n">
        <x:v>356</x:v>
      </x:c>
      <x:c r="B370" s="40" t="n">
        <x:v>0.4998816647295913</x:v>
      </x:c>
      <x:c r="C370" t="n">
        <x:f>LOOKUP(B370,$E$4:$E$9,$A$4:$A$9)</x:f>
        <x:v>2</x:v>
      </x:c>
    </x:row>
    <x:row r="371">
      <x:c r="A371" t="n">
        <x:v>357</x:v>
      </x:c>
      <x:c r="B371" s="40" t="n">
        <x:v>0.3281779446054718</x:v>
      </x:c>
      <x:c r="C371" t="n">
        <x:f>LOOKUP(B371,$E$4:$E$9,$A$4:$A$9)</x:f>
        <x:v>2</x:v>
      </x:c>
    </x:row>
    <x:row r="372">
      <x:c r="A372" t="n">
        <x:v>358</x:v>
      </x:c>
      <x:c r="B372" s="40" t="n">
        <x:v>0.942764592687814</x:v>
      </x:c>
      <x:c r="C372" t="n">
        <x:f>LOOKUP(B372,$E$4:$E$9,$A$4:$A$9)</x:f>
        <x:v>5</x:v>
      </x:c>
    </x:row>
    <x:row r="373">
      <x:c r="A373" t="n">
        <x:v>359</x:v>
      </x:c>
      <x:c r="B373" s="40" t="n">
        <x:v>0.5079658434499622</x:v>
      </x:c>
      <x:c r="C373" t="n">
        <x:f>LOOKUP(B373,$E$4:$E$9,$A$4:$A$9)</x:f>
        <x:v>3</x:v>
      </x:c>
    </x:row>
    <x:row r="374">
      <x:c r="A374" t="n">
        <x:v>360</x:v>
      </x:c>
      <x:c r="B374" s="40" t="n">
        <x:v>0.4720563359640083</x:v>
      </x:c>
      <x:c r="C374" t="n">
        <x:f>LOOKUP(B374,$E$4:$E$9,$A$4:$A$9)</x:f>
        <x:v>2</x:v>
      </x:c>
    </x:row>
    <x:row r="375">
      <x:c r="A375" t="n">
        <x:v>361</x:v>
      </x:c>
      <x:c r="B375" s="40" t="n">
        <x:v>0.3481962181548629</x:v>
      </x:c>
      <x:c r="C375" t="n">
        <x:f>LOOKUP(B375,$E$4:$E$9,$A$4:$A$9)</x:f>
        <x:v>2</x:v>
      </x:c>
    </x:row>
    <x:row r="376">
      <x:c r="A376" t="n">
        <x:v>362</x:v>
      </x:c>
      <x:c r="B376" s="40" t="n">
        <x:v>0.6394069902916003</x:v>
      </x:c>
      <x:c r="C376" t="n">
        <x:f>LOOKUP(B376,$E$4:$E$9,$A$4:$A$9)</x:f>
        <x:v>3</x:v>
      </x:c>
    </x:row>
    <x:row r="377">
      <x:c r="A377" t="n">
        <x:v>363</x:v>
      </x:c>
      <x:c r="B377" s="40" t="n">
        <x:v>0.5200512786209478</x:v>
      </x:c>
      <x:c r="C377" t="n">
        <x:f>LOOKUP(B377,$E$4:$E$9,$A$4:$A$9)</x:f>
        <x:v>3</x:v>
      </x:c>
    </x:row>
    <x:row r="378">
      <x:c r="A378" t="n">
        <x:v>364</x:v>
      </x:c>
      <x:c r="B378" s="40" t="n">
        <x:v>0.12904892289825654</x:v>
      </x:c>
      <x:c r="C378" t="n">
        <x:f>LOOKUP(B378,$E$4:$E$9,$A$4:$A$9)</x:f>
        <x:v>1</x:v>
      </x:c>
    </x:row>
    <x:row r="379">
      <x:c r="A379" t="n">
        <x:v>365</x:v>
      </x:c>
      <x:c r="B379" s="40" t="n">
        <x:v>0.8692078108304946</x:v>
      </x:c>
      <x:c r="C379" t="n">
        <x:f>LOOKUP(B379,$E$4:$E$9,$A$4:$A$9)</x:f>
        <x:v>4</x:v>
      </x:c>
    </x:row>
    <x:row r="380">
      <x:c r="A380" t="n">
        <x:v>366</x:v>
      </x:c>
      <x:c r="B380" s="40" t="n">
        <x:v>0.3590128321437984</x:v>
      </x:c>
      <x:c r="C380" t="n">
        <x:f>LOOKUP(B380,$E$4:$E$9,$A$4:$A$9)</x:f>
        <x:v>2</x:v>
      </x:c>
    </x:row>
    <x:row r="381">
      <x:c r="A381" t="n">
        <x:v>367</x:v>
      </x:c>
      <x:c r="B381" s="40" t="n">
        <x:v>0.4325784299581542</x:v>
      </x:c>
      <x:c r="C381" t="n">
        <x:f>LOOKUP(B381,$E$4:$E$9,$A$4:$A$9)</x:f>
        <x:v>2</x:v>
      </x:c>
    </x:row>
    <x:row r="382">
      <x:c r="A382" t="n">
        <x:v>368</x:v>
      </x:c>
      <x:c r="B382" s="40" t="n">
        <x:v>0.2056670566635791</x:v>
      </x:c>
      <x:c r="C382" t="n">
        <x:f>LOOKUP(B382,$E$4:$E$9,$A$4:$A$9)</x:f>
        <x:v>1</x:v>
      </x:c>
    </x:row>
    <x:row r="383">
      <x:c r="A383" t="n">
        <x:v>369</x:v>
      </x:c>
      <x:c r="B383" s="40" t="n">
        <x:v>0.5533982076178892</x:v>
      </x:c>
      <x:c r="C383" t="n">
        <x:f>LOOKUP(B383,$E$4:$E$9,$A$4:$A$9)</x:f>
        <x:v>3</x:v>
      </x:c>
    </x:row>
    <x:row r="384">
      <x:c r="A384" t="n">
        <x:v>370</x:v>
      </x:c>
      <x:c r="B384" s="40" t="n">
        <x:v>0.702055062428583</x:v>
      </x:c>
      <x:c r="C384" t="n">
        <x:f>LOOKUP(B384,$E$4:$E$9,$A$4:$A$9)</x:f>
        <x:v>3</x:v>
      </x:c>
    </x:row>
    <x:row r="385">
      <x:c r="A385" t="n">
        <x:v>371</x:v>
      </x:c>
      <x:c r="B385" s="40" t="n">
        <x:v>0.8811653206259396</x:v>
      </x:c>
      <x:c r="C385" t="n">
        <x:f>LOOKUP(B385,$E$4:$E$9,$A$4:$A$9)</x:f>
        <x:v>4</x:v>
      </x:c>
    </x:row>
    <x:row r="386">
      <x:c r="A386" t="n">
        <x:v>372</x:v>
      </x:c>
      <x:c r="B386" s="40" t="n">
        <x:v>0.05160766497226266</x:v>
      </x:c>
      <x:c r="C386" t="n">
        <x:f>LOOKUP(B386,$E$4:$E$9,$A$4:$A$9)</x:f>
        <x:v>0</x:v>
      </x:c>
    </x:row>
    <x:row r="387">
      <x:c r="A387" t="n">
        <x:v>373</x:v>
      </x:c>
      <x:c r="B387" s="40" t="n">
        <x:v>0.9733319096993783</x:v>
      </x:c>
      <x:c r="C387" t="n">
        <x:f>LOOKUP(B387,$E$4:$E$9,$A$4:$A$9)</x:f>
        <x:v>5</x:v>
      </x:c>
    </x:row>
    <x:row r="388">
      <x:c r="A388" t="n">
        <x:v>374</x:v>
      </x:c>
      <x:c r="B388" s="40" t="n">
        <x:v>0.7038177420203567</x:v>
      </x:c>
      <x:c r="C388" t="n">
        <x:f>LOOKUP(B388,$E$4:$E$9,$A$4:$A$9)</x:f>
        <x:v>3</x:v>
      </x:c>
    </x:row>
    <x:row r="389">
      <x:c r="A389" t="n">
        <x:v>375</x:v>
      </x:c>
      <x:c r="B389" s="40" t="n">
        <x:v>0.2842986844115174</x:v>
      </x:c>
      <x:c r="C389" t="n">
        <x:f>LOOKUP(B389,$E$4:$E$9,$A$4:$A$9)</x:f>
        <x:v>2</x:v>
      </x:c>
    </x:row>
    <x:row r="390">
      <x:c r="A390" t="n">
        <x:v>376</x:v>
      </x:c>
      <x:c r="B390" s="40" t="n">
        <x:v>0.20447475501396606</x:v>
      </x:c>
      <x:c r="C390" t="n">
        <x:f>LOOKUP(B390,$E$4:$E$9,$A$4:$A$9)</x:f>
        <x:v>1</x:v>
      </x:c>
    </x:row>
    <x:row r="391">
      <x:c r="A391" t="n">
        <x:v>377</x:v>
      </x:c>
      <x:c r="B391" s="40" t="n">
        <x:v>0.29608791865459794</x:v>
      </x:c>
      <x:c r="C391" t="n">
        <x:f>LOOKUP(B391,$E$4:$E$9,$A$4:$A$9)</x:f>
        <x:v>2</x:v>
      </x:c>
    </x:row>
    <x:row r="392">
      <x:c r="A392" t="n">
        <x:v>378</x:v>
      </x:c>
      <x:c r="B392" s="40" t="n">
        <x:v>0.8757257516664424</x:v>
      </x:c>
      <x:c r="C392" t="n">
        <x:f>LOOKUP(B392,$E$4:$E$9,$A$4:$A$9)</x:f>
        <x:v>4</x:v>
      </x:c>
    </x:row>
    <x:row r="393">
      <x:c r="A393" t="n">
        <x:v>379</x:v>
      </x:c>
      <x:c r="B393" s="40" t="n">
        <x:v>0.2913901731959504</x:v>
      </x:c>
      <x:c r="C393" t="n">
        <x:f>LOOKUP(B393,$E$4:$E$9,$A$4:$A$9)</x:f>
        <x:v>2</x:v>
      </x:c>
    </x:row>
    <x:row r="394">
      <x:c r="A394" t="n">
        <x:v>380</x:v>
      </x:c>
      <x:c r="B394" s="40" t="n">
        <x:v>0.4628211345572357</x:v>
      </x:c>
      <x:c r="C394" t="n">
        <x:f>LOOKUP(B394,$E$4:$E$9,$A$4:$A$9)</x:f>
        <x:v>2</x:v>
      </x:c>
    </x:row>
    <x:row r="395">
      <x:c r="A395" t="n">
        <x:v>381</x:v>
      </x:c>
      <x:c r="B395" s="40" t="n">
        <x:v>0.7057380542422326</x:v>
      </x:c>
      <x:c r="C395" t="n">
        <x:f>LOOKUP(B395,$E$4:$E$9,$A$4:$A$9)</x:f>
        <x:v>3</x:v>
      </x:c>
    </x:row>
    <x:row r="396">
      <x:c r="A396" t="n">
        <x:v>382</x:v>
      </x:c>
      <x:c r="B396" s="40" t="n">
        <x:v>0.8719898637238855</x:v>
      </x:c>
      <x:c r="C396" t="n">
        <x:f>LOOKUP(B396,$E$4:$E$9,$A$4:$A$9)</x:f>
        <x:v>4</x:v>
      </x:c>
    </x:row>
    <x:row r="397">
      <x:c r="A397" t="n">
        <x:v>383</x:v>
      </x:c>
      <x:c r="B397" s="40" t="n">
        <x:v>0.6585711623461041</x:v>
      </x:c>
      <x:c r="C397" t="n">
        <x:f>LOOKUP(B397,$E$4:$E$9,$A$4:$A$9)</x:f>
        <x:v>3</x:v>
      </x:c>
    </x:row>
    <x:row r="398">
      <x:c r="A398" t="n">
        <x:v>384</x:v>
      </x:c>
      <x:c r="B398" s="40" t="n">
        <x:v>0.7531091965344227</x:v>
      </x:c>
      <x:c r="C398" t="n">
        <x:f>LOOKUP(B398,$E$4:$E$9,$A$4:$A$9)</x:f>
        <x:v>4</x:v>
      </x:c>
    </x:row>
    <x:row r="399">
      <x:c r="A399" t="n">
        <x:v>385</x:v>
      </x:c>
      <x:c r="B399" s="40" t="n">
        <x:v>0.1733267962959556</x:v>
      </x:c>
      <x:c r="C399" t="n">
        <x:f>LOOKUP(B399,$E$4:$E$9,$A$4:$A$9)</x:f>
        <x:v>1</x:v>
      </x:c>
    </x:row>
    <x:row r="400">
      <x:c r="A400" t="n">
        <x:v>386</x:v>
      </x:c>
      <x:c r="B400" s="40" t="n">
        <x:v>0.8774078276911388</x:v>
      </x:c>
      <x:c r="C400" t="n">
        <x:f>LOOKUP(B400,$E$4:$E$9,$A$4:$A$9)</x:f>
        <x:v>4</x:v>
      </x:c>
    </x:row>
    <x:row r="401">
      <x:c r="A401" t="n">
        <x:v>387</x:v>
      </x:c>
      <x:c r="B401" s="40" t="n">
        <x:v>0.27571918361811065</x:v>
      </x:c>
      <x:c r="C401" t="n">
        <x:f>LOOKUP(B401,$E$4:$E$9,$A$4:$A$9)</x:f>
        <x:v>2</x:v>
      </x:c>
    </x:row>
    <x:row r="402">
      <x:c r="A402" t="n">
        <x:v>388</x:v>
      </x:c>
      <x:c r="B402" s="40" t="n">
        <x:v>0.1283781640565157</x:v>
      </x:c>
      <x:c r="C402" t="n">
        <x:f>LOOKUP(B402,$E$4:$E$9,$A$4:$A$9)</x:f>
        <x:v>1</x:v>
      </x:c>
    </x:row>
    <x:row r="403">
      <x:c r="A403" t="n">
        <x:v>389</x:v>
      </x:c>
      <x:c r="B403" s="40" t="n">
        <x:v>0.9762442903406693</x:v>
      </x:c>
      <x:c r="C403" t="n">
        <x:f>LOOKUP(B403,$E$4:$E$9,$A$4:$A$9)</x:f>
        <x:v>5</x:v>
      </x:c>
    </x:row>
    <x:row r="404">
      <x:c r="A404" t="n">
        <x:v>390</x:v>
      </x:c>
      <x:c r="B404" s="40" t="n">
        <x:v>0.20163992545416098</x:v>
      </x:c>
      <x:c r="C404" t="n">
        <x:f>LOOKUP(B404,$E$4:$E$9,$A$4:$A$9)</x:f>
        <x:v>1</x:v>
      </x:c>
    </x:row>
    <x:row r="405">
      <x:c r="A405" t="n">
        <x:v>391</x:v>
      </x:c>
      <x:c r="B405" s="40" t="n">
        <x:v>0.13665197007797647</x:v>
      </x:c>
      <x:c r="C405" t="n">
        <x:f>LOOKUP(B405,$E$4:$E$9,$A$4:$A$9)</x:f>
        <x:v>1</x:v>
      </x:c>
    </x:row>
    <x:row r="406">
      <x:c r="A406" t="n">
        <x:v>392</x:v>
      </x:c>
      <x:c r="B406" s="40" t="n">
        <x:v>0.6260209001017866</x:v>
      </x:c>
      <x:c r="C406" t="n">
        <x:f>LOOKUP(B406,$E$4:$E$9,$A$4:$A$9)</x:f>
        <x:v>3</x:v>
      </x:c>
    </x:row>
    <x:row r="407">
      <x:c r="A407" t="n">
        <x:v>393</x:v>
      </x:c>
      <x:c r="B407" s="40" t="n">
        <x:v>0.3188631494960953</x:v>
      </x:c>
      <x:c r="C407" t="n">
        <x:f>LOOKUP(B407,$E$4:$E$9,$A$4:$A$9)</x:f>
        <x:v>2</x:v>
      </x:c>
    </x:row>
    <x:row r="408">
      <x:c r="A408" t="n">
        <x:v>394</x:v>
      </x:c>
      <x:c r="B408" s="40" t="n">
        <x:v>0.1333492051804933</x:v>
      </x:c>
      <x:c r="C408" t="n">
        <x:f>LOOKUP(B408,$E$4:$E$9,$A$4:$A$9)</x:f>
        <x:v>1</x:v>
      </x:c>
    </x:row>
    <x:row r="409">
      <x:c r="A409" t="n">
        <x:v>395</x:v>
      </x:c>
      <x:c r="B409" s="40" t="n">
        <x:v>0.601121117215876</x:v>
      </x:c>
      <x:c r="C409" t="n">
        <x:f>LOOKUP(B409,$E$4:$E$9,$A$4:$A$9)</x:f>
        <x:v>3</x:v>
      </x:c>
    </x:row>
    <x:row r="410">
      <x:c r="A410" t="n">
        <x:v>396</x:v>
      </x:c>
      <x:c r="B410" s="40" t="n">
        <x:v>0.7589852272222355</x:v>
      </x:c>
      <x:c r="C410" t="n">
        <x:f>LOOKUP(B410,$E$4:$E$9,$A$4:$A$9)</x:f>
        <x:v>4</x:v>
      </x:c>
    </x:row>
    <x:row r="411">
      <x:c r="A411" t="n">
        <x:v>397</x:v>
      </x:c>
      <x:c r="B411" s="40" t="n">
        <x:v>0.7931983742071566</x:v>
      </x:c>
      <x:c r="C411" t="n">
        <x:f>LOOKUP(B411,$E$4:$E$9,$A$4:$A$9)</x:f>
        <x:v>4</x:v>
      </x:c>
    </x:row>
    <x:row r="412">
      <x:c r="A412" t="n">
        <x:v>398</x:v>
      </x:c>
      <x:c r="B412" s="40" t="n">
        <x:v>0.15551260101227238</x:v>
      </x:c>
      <x:c r="C412" t="n">
        <x:f>LOOKUP(B412,$E$4:$E$9,$A$4:$A$9)</x:f>
        <x:v>1</x:v>
      </x:c>
    </x:row>
    <x:row r="413">
      <x:c r="A413" t="n">
        <x:v>399</x:v>
      </x:c>
      <x:c r="B413" s="40" t="n">
        <x:v>0.5568670679399422</x:v>
      </x:c>
      <x:c r="C413" t="n">
        <x:f>LOOKUP(B413,$E$4:$E$9,$A$4:$A$9)</x:f>
        <x:v>3</x:v>
      </x:c>
    </x:row>
    <x:row r="414">
      <x:c r="A414" t="n">
        <x:v>400</x:v>
      </x:c>
      <x:c r="B414" s="40" t="n">
        <x:v>0.8136783706814606</x:v>
      </x:c>
      <x:c r="C414" t="n">
        <x:f>LOOKUP(B414,$E$4:$E$9,$A$4:$A$9)</x:f>
        <x:v>4</x:v>
      </x:c>
    </x:row>
    <x:row r="415">
      <x:c r="A415" t="n">
        <x:v>401</x:v>
      </x:c>
      <x:c r="B415" s="40" t="n">
        <x:v>0.16108701142418524</x:v>
      </x:c>
      <x:c r="C415" t="n">
        <x:f>LOOKUP(B415,$E$4:$E$9,$A$4:$A$9)</x:f>
        <x:v>1</x:v>
      </x:c>
    </x:row>
    <x:row r="416">
      <x:c r="A416" t="n">
        <x:v>402</x:v>
      </x:c>
      <x:c r="B416" s="40" t="n">
        <x:v>0.2076822517706749</x:v>
      </x:c>
      <x:c r="C416" t="n">
        <x:f>LOOKUP(B416,$E$4:$E$9,$A$4:$A$9)</x:f>
        <x:v>1</x:v>
      </x:c>
    </x:row>
    <x:row r="417">
      <x:c r="A417" t="n">
        <x:v>403</x:v>
      </x:c>
      <x:c r="B417" s="40" t="n">
        <x:v>0.00241139743167762</x:v>
      </x:c>
      <x:c r="C417" t="n">
        <x:f>LOOKUP(B417,$E$4:$E$9,$A$4:$A$9)</x:f>
        <x:v>0</x:v>
      </x:c>
    </x:row>
    <x:row r="418">
      <x:c r="A418" t="n">
        <x:v>404</x:v>
      </x:c>
      <x:c r="B418" s="40" t="n">
        <x:v>0.5246341563952881</x:v>
      </x:c>
      <x:c r="C418" t="n">
        <x:f>LOOKUP(B418,$E$4:$E$9,$A$4:$A$9)</x:f>
        <x:v>3</x:v>
      </x:c>
    </x:row>
    <x:row r="419">
      <x:c r="A419" t="n">
        <x:v>405</x:v>
      </x:c>
      <x:c r="B419" s="40" t="n">
        <x:v>0.19468169686195091</x:v>
      </x:c>
      <x:c r="C419" t="n">
        <x:f>LOOKUP(B419,$E$4:$E$9,$A$4:$A$9)</x:f>
        <x:v>1</x:v>
      </x:c>
    </x:row>
    <x:row r="420">
      <x:c r="A420" t="n">
        <x:v>406</x:v>
      </x:c>
      <x:c r="B420" s="40" t="n">
        <x:v>0.7242425757268991</x:v>
      </x:c>
      <x:c r="C420" t="n">
        <x:f>LOOKUP(B420,$E$4:$E$9,$A$4:$A$9)</x:f>
        <x:v>3</x:v>
      </x:c>
    </x:row>
    <x:row r="421">
      <x:c r="A421" t="n">
        <x:v>407</x:v>
      </x:c>
      <x:c r="B421" s="40" t="n">
        <x:v>0.9622138556176058</x:v>
      </x:c>
      <x:c r="C421" t="n">
        <x:f>LOOKUP(B421,$E$4:$E$9,$A$4:$A$9)</x:f>
        <x:v>5</x:v>
      </x:c>
    </x:row>
    <x:row r="422">
      <x:c r="A422" t="n">
        <x:v>408</x:v>
      </x:c>
      <x:c r="B422" s="40" t="n">
        <x:v>0.20875548899907026</x:v>
      </x:c>
      <x:c r="C422" t="n">
        <x:f>LOOKUP(B422,$E$4:$E$9,$A$4:$A$9)</x:f>
        <x:v>1</x:v>
      </x:c>
    </x:row>
    <x:row r="423">
      <x:c r="A423" t="n">
        <x:v>409</x:v>
      </x:c>
      <x:c r="B423" s="40" t="n">
        <x:v>0.6490970117635326</x:v>
      </x:c>
      <x:c r="C423" t="n">
        <x:f>LOOKUP(B423,$E$4:$E$9,$A$4:$A$9)</x:f>
        <x:v>3</x:v>
      </x:c>
    </x:row>
    <x:row r="424">
      <x:c r="A424" t="n">
        <x:v>410</x:v>
      </x:c>
      <x:c r="B424" s="40" t="n">
        <x:v>0.21183446145851137</x:v>
      </x:c>
      <x:c r="C424" t="n">
        <x:f>LOOKUP(B424,$E$4:$E$9,$A$4:$A$9)</x:f>
        <x:v>1</x:v>
      </x:c>
    </x:row>
    <x:row r="425">
      <x:c r="A425" t="n">
        <x:v>411</x:v>
      </x:c>
      <x:c r="B425" s="40" t="n">
        <x:v>0.018006858979704</x:v>
      </x:c>
      <x:c r="C425" t="n">
        <x:f>LOOKUP(B425,$E$4:$E$9,$A$4:$A$9)</x:f>
        <x:v>0</x:v>
      </x:c>
    </x:row>
    <x:row r="426">
      <x:c r="A426" t="n">
        <x:v>412</x:v>
      </x:c>
      <x:c r="B426" s="40" t="n">
        <x:v>0.7585541942145848</x:v>
      </x:c>
      <x:c r="C426" t="n">
        <x:f>LOOKUP(B426,$E$4:$E$9,$A$4:$A$9)</x:f>
        <x:v>4</x:v>
      </x:c>
    </x:row>
    <x:row r="427">
      <x:c r="A427" t="n">
        <x:v>413</x:v>
      </x:c>
      <x:c r="B427" s="40" t="n">
        <x:v>0.4340046766508928</x:v>
      </x:c>
      <x:c r="C427" t="n">
        <x:f>LOOKUP(B427,$E$4:$E$9,$A$4:$A$9)</x:f>
        <x:v>2</x:v>
      </x:c>
    </x:row>
    <x:row r="428">
      <x:c r="A428" t="n">
        <x:v>414</x:v>
      </x:c>
      <x:c r="B428" s="40" t="n">
        <x:v>0.9467868615146531</x:v>
      </x:c>
      <x:c r="C428" t="n">
        <x:f>LOOKUP(B428,$E$4:$E$9,$A$4:$A$9)</x:f>
        <x:v>5</x:v>
      </x:c>
    </x:row>
    <x:row r="429">
      <x:c r="A429" t="n">
        <x:v>415</x:v>
      </x:c>
      <x:c r="B429" s="40" t="n">
        <x:v>0.5342858821434056</x:v>
      </x:c>
      <x:c r="C429" t="n">
        <x:f>LOOKUP(B429,$E$4:$E$9,$A$4:$A$9)</x:f>
        <x:v>3</x:v>
      </x:c>
    </x:row>
    <x:row r="430">
      <x:c r="A430" t="n">
        <x:v>416</x:v>
      </x:c>
      <x:c r="B430" s="40" t="n">
        <x:v>0.15748286897568398</x:v>
      </x:c>
      <x:c r="C430" t="n">
        <x:f>LOOKUP(B430,$E$4:$E$9,$A$4:$A$9)</x:f>
        <x:v>1</x:v>
      </x:c>
    </x:row>
    <x:row r="431">
      <x:c r="A431" t="n">
        <x:v>417</x:v>
      </x:c>
      <x:c r="B431" s="40" t="n">
        <x:v>0.4497744417972779</x:v>
      </x:c>
      <x:c r="C431" t="n">
        <x:f>LOOKUP(B431,$E$4:$E$9,$A$4:$A$9)</x:f>
        <x:v>2</x:v>
      </x:c>
    </x:row>
    <x:row r="432">
      <x:c r="A432" t="n">
        <x:v>418</x:v>
      </x:c>
      <x:c r="B432" s="40" t="n">
        <x:v>0.2028917948060165</x:v>
      </x:c>
      <x:c r="C432" t="n">
        <x:f>LOOKUP(B432,$E$4:$E$9,$A$4:$A$9)</x:f>
        <x:v>1</x:v>
      </x:c>
    </x:row>
    <x:row r="433">
      <x:c r="A433" t="n">
        <x:v>419</x:v>
      </x:c>
      <x:c r="B433" s="40" t="n">
        <x:v>0.8780292726865745</x:v>
      </x:c>
      <x:c r="C433" t="n">
        <x:f>LOOKUP(B433,$E$4:$E$9,$A$4:$A$9)</x:f>
        <x:v>4</x:v>
      </x:c>
    </x:row>
    <x:row r="434">
      <x:c r="A434" t="n">
        <x:v>420</x:v>
      </x:c>
      <x:c r="B434" s="40" t="n">
        <x:v>0.6909031808875248</x:v>
      </x:c>
      <x:c r="C434" t="n">
        <x:f>LOOKUP(B434,$E$4:$E$9,$A$4:$A$9)</x:f>
        <x:v>3</x:v>
      </x:c>
    </x:row>
    <x:row r="435">
      <x:c r="A435" t="n">
        <x:v>421</x:v>
      </x:c>
      <x:c r="B435" s="40" t="n">
        <x:v>0.3412388046547036</x:v>
      </x:c>
      <x:c r="C435" t="n">
        <x:f>LOOKUP(B435,$E$4:$E$9,$A$4:$A$9)</x:f>
        <x:v>2</x:v>
      </x:c>
    </x:row>
    <x:row r="436">
      <x:c r="A436" t="n">
        <x:v>422</x:v>
      </x:c>
      <x:c r="B436" s="40" t="n">
        <x:v>0.5278203228071404</x:v>
      </x:c>
      <x:c r="C436" t="n">
        <x:f>LOOKUP(B436,$E$4:$E$9,$A$4:$A$9)</x:f>
        <x:v>3</x:v>
      </x:c>
    </x:row>
    <x:row r="437">
      <x:c r="A437" t="n">
        <x:v>423</x:v>
      </x:c>
      <x:c r="B437" s="40" t="n">
        <x:v>0.6694801882130285</x:v>
      </x:c>
      <x:c r="C437" t="n">
        <x:f>LOOKUP(B437,$E$4:$E$9,$A$4:$A$9)</x:f>
        <x:v>3</x:v>
      </x:c>
    </x:row>
    <x:row r="438">
      <x:c r="A438" t="n">
        <x:v>424</x:v>
      </x:c>
      <x:c r="B438" s="40" t="n">
        <x:v>0.7828577166454253</x:v>
      </x:c>
      <x:c r="C438" t="n">
        <x:f>LOOKUP(B438,$E$4:$E$9,$A$4:$A$9)</x:f>
        <x:v>4</x:v>
      </x:c>
    </x:row>
    <x:row r="439">
      <x:c r="A439" t="n">
        <x:v>425</x:v>
      </x:c>
      <x:c r="B439" s="40" t="n">
        <x:v>0.08014720987054169</x:v>
      </x:c>
      <x:c r="C439" t="n">
        <x:f>LOOKUP(B439,$E$4:$E$9,$A$4:$A$9)</x:f>
        <x:v>0</x:v>
      </x:c>
    </x:row>
    <x:row r="440">
      <x:c r="A440" t="n">
        <x:v>426</x:v>
      </x:c>
      <x:c r="B440" s="40" t="n">
        <x:v>0.022518841995246786</x:v>
      </x:c>
      <x:c r="C440" t="n">
        <x:f>LOOKUP(B440,$E$4:$E$9,$A$4:$A$9)</x:f>
        <x:v>0</x:v>
      </x:c>
    </x:row>
    <x:row r="441">
      <x:c r="A441" t="n">
        <x:v>427</x:v>
      </x:c>
      <x:c r="B441" s="40" t="n">
        <x:v>0.11445269716988982</x:v>
      </x:c>
      <x:c r="C441" t="n">
        <x:f>LOOKUP(B441,$E$4:$E$9,$A$4:$A$9)</x:f>
        <x:v>1</x:v>
      </x:c>
    </x:row>
    <x:row r="442">
      <x:c r="A442" t="n">
        <x:v>428</x:v>
      </x:c>
      <x:c r="B442" s="40" t="n">
        <x:v>0.394996310172563</x:v>
      </x:c>
      <x:c r="C442" t="n">
        <x:f>LOOKUP(B442,$E$4:$E$9,$A$4:$A$9)</x:f>
        <x:v>2</x:v>
      </x:c>
    </x:row>
    <x:row r="443">
      <x:c r="A443" t="n">
        <x:v>429</x:v>
      </x:c>
      <x:c r="B443" s="40" t="n">
        <x:v>0.466706610082092</x:v>
      </x:c>
      <x:c r="C443" t="n">
        <x:f>LOOKUP(B443,$E$4:$E$9,$A$4:$A$9)</x:f>
        <x:v>2</x:v>
      </x:c>
    </x:row>
    <x:row r="444">
      <x:c r="A444" t="n">
        <x:v>430</x:v>
      </x:c>
      <x:c r="B444" s="40" t="n">
        <x:v>0.13646163021384838</x:v>
      </x:c>
      <x:c r="C444" t="n">
        <x:f>LOOKUP(B444,$E$4:$E$9,$A$4:$A$9)</x:f>
        <x:v>1</x:v>
      </x:c>
    </x:row>
    <x:row r="445">
      <x:c r="A445" t="n">
        <x:v>431</x:v>
      </x:c>
      <x:c r="B445" s="40" t="n">
        <x:v>0.4111531378996053</x:v>
      </x:c>
      <x:c r="C445" t="n">
        <x:f>LOOKUP(B445,$E$4:$E$9,$A$4:$A$9)</x:f>
        <x:v>2</x:v>
      </x:c>
    </x:row>
    <x:row r="446">
      <x:c r="A446" t="n">
        <x:v>432</x:v>
      </x:c>
      <x:c r="B446" s="40" t="n">
        <x:v>0.4416227863618305</x:v>
      </x:c>
      <x:c r="C446" t="n">
        <x:f>LOOKUP(B446,$E$4:$E$9,$A$4:$A$9)</x:f>
        <x:v>2</x:v>
      </x:c>
    </x:row>
    <x:row r="447">
      <x:c r="A447" t="n">
        <x:v>433</x:v>
      </x:c>
      <x:c r="B447" s="40" t="n">
        <x:v>0.10908996367748669</x:v>
      </x:c>
      <x:c r="C447" t="n">
        <x:f>LOOKUP(B447,$E$4:$E$9,$A$4:$A$9)</x:f>
        <x:v>1</x:v>
      </x:c>
    </x:row>
    <x:row r="448">
      <x:c r="A448" t="n">
        <x:v>434</x:v>
      </x:c>
      <x:c r="B448" s="40" t="n">
        <x:v>0.916659960195734</x:v>
      </x:c>
      <x:c r="C448" t="n">
        <x:f>LOOKUP(B448,$E$4:$E$9,$A$4:$A$9)</x:f>
        <x:v>5</x:v>
      </x:c>
    </x:row>
    <x:row r="449">
      <x:c r="A449" t="n">
        <x:v>435</x:v>
      </x:c>
      <x:c r="B449" s="40" t="n">
        <x:v>0.5991459275877076</x:v>
      </x:c>
      <x:c r="C449" t="n">
        <x:f>LOOKUP(B449,$E$4:$E$9,$A$4:$A$9)</x:f>
        <x:v>3</x:v>
      </x:c>
    </x:row>
    <x:row r="450">
      <x:c r="A450" t="n">
        <x:v>436</x:v>
      </x:c>
      <x:c r="B450" s="40" t="n">
        <x:v>0.3885355304562821</x:v>
      </x:c>
      <x:c r="C450" t="n">
        <x:f>LOOKUP(B450,$E$4:$E$9,$A$4:$A$9)</x:f>
        <x:v>2</x:v>
      </x:c>
    </x:row>
    <x:row r="451">
      <x:c r="A451" t="n">
        <x:v>437</x:v>
      </x:c>
      <x:c r="B451" s="40" t="n">
        <x:v>0.5069071834722066</x:v>
      </x:c>
      <x:c r="C451" t="n">
        <x:f>LOOKUP(B451,$E$4:$E$9,$A$4:$A$9)</x:f>
        <x:v>3</x:v>
      </x:c>
    </x:row>
    <x:row r="452">
      <x:c r="A452" t="n">
        <x:v>438</x:v>
      </x:c>
      <x:c r="B452" s="40" t="n">
        <x:v>0.31419748646880674</x:v>
      </x:c>
      <x:c r="C452" t="n">
        <x:f>LOOKUP(B452,$E$4:$E$9,$A$4:$A$9)</x:f>
        <x:v>2</x:v>
      </x:c>
    </x:row>
    <x:row r="453">
      <x:c r="A453" t="n">
        <x:v>439</x:v>
      </x:c>
      <x:c r="B453" s="40" t="n">
        <x:v>0.854331031644593</x:v>
      </x:c>
      <x:c r="C453" t="n">
        <x:f>LOOKUP(B453,$E$4:$E$9,$A$4:$A$9)</x:f>
        <x:v>4</x:v>
      </x:c>
    </x:row>
    <x:row r="454">
      <x:c r="A454" t="n">
        <x:v>440</x:v>
      </x:c>
      <x:c r="B454" s="40" t="n">
        <x:v>0.5750150415685037</x:v>
      </x:c>
      <x:c r="C454" t="n">
        <x:f>LOOKUP(B454,$E$4:$E$9,$A$4:$A$9)</x:f>
        <x:v>3</x:v>
      </x:c>
    </x:row>
    <x:row r="455">
      <x:c r="A455" t="n">
        <x:v>441</x:v>
      </x:c>
      <x:c r="B455" s="40" t="n">
        <x:v>0.49489581439354347</x:v>
      </x:c>
      <x:c r="C455" t="n">
        <x:f>LOOKUP(B455,$E$4:$E$9,$A$4:$A$9)</x:f>
        <x:v>2</x:v>
      </x:c>
    </x:row>
    <x:row r="456">
      <x:c r="A456" t="n">
        <x:v>442</x:v>
      </x:c>
      <x:c r="B456" s="40" t="n">
        <x:v>0.9108854030955976</x:v>
      </x:c>
      <x:c r="C456" t="n">
        <x:f>LOOKUP(B456,$E$4:$E$9,$A$4:$A$9)</x:f>
        <x:v>5</x:v>
      </x:c>
    </x:row>
    <x:row r="457">
      <x:c r="A457" t="n">
        <x:v>443</x:v>
      </x:c>
      <x:c r="B457" s="40" t="n">
        <x:v>0.8379796982340677</x:v>
      </x:c>
      <x:c r="C457" t="n">
        <x:f>LOOKUP(B457,$E$4:$E$9,$A$4:$A$9)</x:f>
        <x:v>4</x:v>
      </x:c>
    </x:row>
    <x:row r="458">
      <x:c r="A458" t="n">
        <x:v>444</x:v>
      </x:c>
      <x:c r="B458" s="40" t="n">
        <x:v>0.8128018914258494</x:v>
      </x:c>
      <x:c r="C458" t="n">
        <x:f>LOOKUP(B458,$E$4:$E$9,$A$4:$A$9)</x:f>
        <x:v>4</x:v>
      </x:c>
    </x:row>
    <x:row r="459">
      <x:c r="A459" t="n">
        <x:v>445</x:v>
      </x:c>
      <x:c r="B459" s="40" t="n">
        <x:v>0.22560920423184416</x:v>
      </x:c>
      <x:c r="C459" t="n">
        <x:f>LOOKUP(B459,$E$4:$E$9,$A$4:$A$9)</x:f>
        <x:v>1</x:v>
      </x:c>
    </x:row>
    <x:row r="460">
      <x:c r="A460" t="n">
        <x:v>446</x:v>
      </x:c>
      <x:c r="B460" s="40" t="n">
        <x:v>0.15312311146835678</x:v>
      </x:c>
      <x:c r="C460" t="n">
        <x:f>LOOKUP(B460,$E$4:$E$9,$A$4:$A$9)</x:f>
        <x:v>1</x:v>
      </x:c>
    </x:row>
    <x:row r="461">
      <x:c r="A461" t="n">
        <x:v>447</x:v>
      </x:c>
      <x:c r="B461" s="40" t="n">
        <x:v>0.6900965197127477</x:v>
      </x:c>
      <x:c r="C461" t="n">
        <x:f>LOOKUP(B461,$E$4:$E$9,$A$4:$A$9)</x:f>
        <x:v>3</x:v>
      </x:c>
    </x:row>
    <x:row r="462">
      <x:c r="A462" t="n">
        <x:v>448</x:v>
      </x:c>
      <x:c r="B462" s="40" t="n">
        <x:v>0.4686422563413959</x:v>
      </x:c>
      <x:c r="C462" t="n">
        <x:f>LOOKUP(B462,$E$4:$E$9,$A$4:$A$9)</x:f>
        <x:v>2</x:v>
      </x:c>
    </x:row>
    <x:row r="463">
      <x:c r="A463" t="n">
        <x:v>449</x:v>
      </x:c>
      <x:c r="B463" s="40" t="n">
        <x:v>0.6837127129568435</x:v>
      </x:c>
      <x:c r="C463" t="n">
        <x:f>LOOKUP(B463,$E$4:$E$9,$A$4:$A$9)</x:f>
        <x:v>3</x:v>
      </x:c>
    </x:row>
    <x:row r="464">
      <x:c r="A464" t="n">
        <x:v>450</x:v>
      </x:c>
      <x:c r="B464" s="40" t="n">
        <x:v>0.7606272321111164</x:v>
      </x:c>
      <x:c r="C464" t="n">
        <x:f>LOOKUP(B464,$E$4:$E$9,$A$4:$A$9)</x:f>
        <x:v>4</x:v>
      </x:c>
    </x:row>
    <x:row r="465">
      <x:c r="A465" t="n">
        <x:v>451</x:v>
      </x:c>
      <x:c r="B465" s="40" t="n">
        <x:v>0.2953135073447509</x:v>
      </x:c>
      <x:c r="C465" t="n">
        <x:f>LOOKUP(B465,$E$4:$E$9,$A$4:$A$9)</x:f>
        <x:v>2</x:v>
      </x:c>
    </x:row>
    <x:row r="466">
      <x:c r="A466" t="n">
        <x:v>452</x:v>
      </x:c>
      <x:c r="B466" s="40" t="n">
        <x:v>0.2846504331228087</x:v>
      </x:c>
      <x:c r="C466" t="n">
        <x:f>LOOKUP(B466,$E$4:$E$9,$A$4:$A$9)</x:f>
        <x:v>2</x:v>
      </x:c>
    </x:row>
    <x:row r="467">
      <x:c r="A467" t="n">
        <x:v>453</x:v>
      </x:c>
      <x:c r="B467" s="40" t="n">
        <x:v>0.4908315662581837</x:v>
      </x:c>
      <x:c r="C467" t="n">
        <x:f>LOOKUP(B467,$E$4:$E$9,$A$4:$A$9)</x:f>
        <x:v>2</x:v>
      </x:c>
    </x:row>
    <x:row r="468">
      <x:c r="A468" t="n">
        <x:v>454</x:v>
      </x:c>
      <x:c r="B468" s="40" t="n">
        <x:v>0.27354931352649736</x:v>
      </x:c>
      <x:c r="C468" t="n">
        <x:f>LOOKUP(B468,$E$4:$E$9,$A$4:$A$9)</x:f>
        <x:v>2</x:v>
      </x:c>
    </x:row>
    <x:row r="469">
      <x:c r="A469" t="n">
        <x:v>455</x:v>
      </x:c>
      <x:c r="B469" s="40" t="n">
        <x:v>0.6672952760161995</x:v>
      </x:c>
      <x:c r="C469" t="n">
        <x:f>LOOKUP(B469,$E$4:$E$9,$A$4:$A$9)</x:f>
        <x:v>3</x:v>
      </x:c>
    </x:row>
    <x:row r="470">
      <x:c r="A470" t="n">
        <x:v>456</x:v>
      </x:c>
      <x:c r="B470" s="40" t="n">
        <x:v>0.7467304458807168</x:v>
      </x:c>
      <x:c r="C470" t="n">
        <x:f>LOOKUP(B470,$E$4:$E$9,$A$4:$A$9)</x:f>
        <x:v>4</x:v>
      </x:c>
    </x:row>
    <x:row r="471">
      <x:c r="A471" t="n">
        <x:v>457</x:v>
      </x:c>
      <x:c r="B471" s="40" t="n">
        <x:v>0.47203894605324437</x:v>
      </x:c>
      <x:c r="C471" t="n">
        <x:f>LOOKUP(B471,$E$4:$E$9,$A$4:$A$9)</x:f>
        <x:v>2</x:v>
      </x:c>
    </x:row>
    <x:row r="472">
      <x:c r="A472" t="n">
        <x:v>458</x:v>
      </x:c>
      <x:c r="B472" s="40" t="n">
        <x:v>0.7237997655986432</x:v>
      </x:c>
      <x:c r="C472" t="n">
        <x:f>LOOKUP(B472,$E$4:$E$9,$A$4:$A$9)</x:f>
        <x:v>3</x:v>
      </x:c>
    </x:row>
    <x:row r="473">
      <x:c r="A473" t="n">
        <x:v>459</x:v>
      </x:c>
      <x:c r="B473" s="40" t="n">
        <x:v>0.5104375690707762</x:v>
      </x:c>
      <x:c r="C473" t="n">
        <x:f>LOOKUP(B473,$E$4:$E$9,$A$4:$A$9)</x:f>
        <x:v>3</x:v>
      </x:c>
    </x:row>
    <x:row r="474">
      <x:c r="A474" t="n">
        <x:v>460</x:v>
      </x:c>
      <x:c r="B474" s="40" t="n">
        <x:v>0.7128717219670092</x:v>
      </x:c>
      <x:c r="C474" t="n">
        <x:f>LOOKUP(B474,$E$4:$E$9,$A$4:$A$9)</x:f>
        <x:v>3</x:v>
      </x:c>
    </x:row>
    <x:row r="475">
      <x:c r="A475" t="n">
        <x:v>461</x:v>
      </x:c>
      <x:c r="B475" s="40" t="n">
        <x:v>0.22496824779572533</x:v>
      </x:c>
      <x:c r="C475" t="n">
        <x:f>LOOKUP(B475,$E$4:$E$9,$A$4:$A$9)</x:f>
        <x:v>1</x:v>
      </x:c>
    </x:row>
    <x:row r="476">
      <x:c r="A476" t="n">
        <x:v>462</x:v>
      </x:c>
      <x:c r="B476" s="40" t="n">
        <x:v>0.738843045933042</x:v>
      </x:c>
      <x:c r="C476" t="n">
        <x:f>LOOKUP(B476,$E$4:$E$9,$A$4:$A$9)</x:f>
        <x:v>3</x:v>
      </x:c>
    </x:row>
    <x:row r="477">
      <x:c r="A477" t="n">
        <x:v>463</x:v>
      </x:c>
      <x:c r="B477" s="40" t="n">
        <x:v>0.7151240234570178</x:v>
      </x:c>
      <x:c r="C477" t="n">
        <x:f>LOOKUP(B477,$E$4:$E$9,$A$4:$A$9)</x:f>
        <x:v>3</x:v>
      </x:c>
    </x:row>
    <x:row r="478">
      <x:c r="A478" t="n">
        <x:v>464</x:v>
      </x:c>
      <x:c r="B478" s="40" t="n">
        <x:v>0.26660570704917763</x:v>
      </x:c>
      <x:c r="C478" t="n">
        <x:f>LOOKUP(B478,$E$4:$E$9,$A$4:$A$9)</x:f>
        <x:v>2</x:v>
      </x:c>
    </x:row>
    <x:row r="479">
      <x:c r="A479" t="n">
        <x:v>465</x:v>
      </x:c>
      <x:c r="B479" s="40" t="n">
        <x:v>0.555970991040175</x:v>
      </x:c>
      <x:c r="C479" t="n">
        <x:f>LOOKUP(B479,$E$4:$E$9,$A$4:$A$9)</x:f>
        <x:v>3</x:v>
      </x:c>
    </x:row>
    <x:row r="480">
      <x:c r="A480" t="n">
        <x:v>466</x:v>
      </x:c>
      <x:c r="B480" s="40" t="n">
        <x:v>0.8553116678744016</x:v>
      </x:c>
      <x:c r="C480" t="n">
        <x:f>LOOKUP(B480,$E$4:$E$9,$A$4:$A$9)</x:f>
        <x:v>4</x:v>
      </x:c>
    </x:row>
    <x:row r="481">
      <x:c r="A481" t="n">
        <x:v>467</x:v>
      </x:c>
      <x:c r="B481" s="40" t="n">
        <x:v>0.24952264697243898</x:v>
      </x:c>
      <x:c r="C481" t="n">
        <x:f>LOOKUP(B481,$E$4:$E$9,$A$4:$A$9)</x:f>
        <x:v>1</x:v>
      </x:c>
    </x:row>
    <x:row r="482">
      <x:c r="A482" t="n">
        <x:v>468</x:v>
      </x:c>
      <x:c r="B482" s="40" t="n">
        <x:v>0.7359797840146763</x:v>
      </x:c>
      <x:c r="C482" t="n">
        <x:f>LOOKUP(B482,$E$4:$E$9,$A$4:$A$9)</x:f>
        <x:v>3</x:v>
      </x:c>
    </x:row>
    <x:row r="483">
      <x:c r="A483" t="n">
        <x:v>469</x:v>
      </x:c>
      <x:c r="B483" s="40" t="n">
        <x:v>0.9539667171468871</x:v>
      </x:c>
      <x:c r="C483" t="n">
        <x:f>LOOKUP(B483,$E$4:$E$9,$A$4:$A$9)</x:f>
        <x:v>5</x:v>
      </x:c>
    </x:row>
    <x:row r="484">
      <x:c r="A484" t="n">
        <x:v>470</x:v>
      </x:c>
      <x:c r="B484" s="40" t="n">
        <x:v>0.8662419197575649</x:v>
      </x:c>
      <x:c r="C484" t="n">
        <x:f>LOOKUP(B484,$E$4:$E$9,$A$4:$A$9)</x:f>
        <x:v>4</x:v>
      </x:c>
    </x:row>
    <x:row r="485">
      <x:c r="A485" t="n">
        <x:v>471</x:v>
      </x:c>
      <x:c r="B485" s="40" t="n">
        <x:v>0.40152008268027617</x:v>
      </x:c>
      <x:c r="C485" t="n">
        <x:f>LOOKUP(B485,$E$4:$E$9,$A$4:$A$9)</x:f>
        <x:v>2</x:v>
      </x:c>
    </x:row>
    <x:row r="486">
      <x:c r="A486" t="n">
        <x:v>472</x:v>
      </x:c>
      <x:c r="B486" s="40" t="n">
        <x:v>0.6072077329881385</x:v>
      </x:c>
      <x:c r="C486" t="n">
        <x:f>LOOKUP(B486,$E$4:$E$9,$A$4:$A$9)</x:f>
        <x:v>3</x:v>
      </x:c>
    </x:row>
    <x:row r="487">
      <x:c r="A487" t="n">
        <x:v>473</x:v>
      </x:c>
      <x:c r="B487" s="40" t="n">
        <x:v>0.9917701342527039</x:v>
      </x:c>
      <x:c r="C487" t="n">
        <x:f>LOOKUP(B487,$E$4:$E$9,$A$4:$A$9)</x:f>
        <x:v>5</x:v>
      </x:c>
    </x:row>
    <x:row r="488">
      <x:c r="A488" t="n">
        <x:v>474</x:v>
      </x:c>
      <x:c r="B488" s="40" t="n">
        <x:v>0.5684374113757185</x:v>
      </x:c>
      <x:c r="C488" t="n">
        <x:f>LOOKUP(B488,$E$4:$E$9,$A$4:$A$9)</x:f>
        <x:v>3</x:v>
      </x:c>
    </x:row>
    <x:row r="489">
      <x:c r="A489" t="n">
        <x:v>475</x:v>
      </x:c>
      <x:c r="B489" s="40" t="n">
        <x:v>0.11502760243036658</x:v>
      </x:c>
      <x:c r="C489" t="n">
        <x:f>LOOKUP(B489,$E$4:$E$9,$A$4:$A$9)</x:f>
        <x:v>1</x:v>
      </x:c>
    </x:row>
    <x:row r="490">
      <x:c r="A490" t="n">
        <x:v>476</x:v>
      </x:c>
      <x:c r="B490" s="40" t="n">
        <x:v>0.04543075477876091</x:v>
      </x:c>
      <x:c r="C490" t="n">
        <x:f>LOOKUP(B490,$E$4:$E$9,$A$4:$A$9)</x:f>
        <x:v>0</x:v>
      </x:c>
    </x:row>
    <x:row r="491">
      <x:c r="A491" t="n">
        <x:v>477</x:v>
      </x:c>
      <x:c r="B491" s="40" t="n">
        <x:v>0.7903145097440284</x:v>
      </x:c>
      <x:c r="C491" t="n">
        <x:f>LOOKUP(B491,$E$4:$E$9,$A$4:$A$9)</x:f>
        <x:v>4</x:v>
      </x:c>
    </x:row>
    <x:row r="492">
      <x:c r="A492" t="n">
        <x:v>478</x:v>
      </x:c>
      <x:c r="B492" s="40" t="n">
        <x:v>0.42362832540184614</x:v>
      </x:c>
      <x:c r="C492" t="n">
        <x:f>LOOKUP(B492,$E$4:$E$9,$A$4:$A$9)</x:f>
        <x:v>2</x:v>
      </x:c>
    </x:row>
    <x:row r="493">
      <x:c r="A493" t="n">
        <x:v>479</x:v>
      </x:c>
      <x:c r="B493" s="40" t="n">
        <x:v>0.24681289062919443</x:v>
      </x:c>
      <x:c r="C493" t="n">
        <x:f>LOOKUP(B493,$E$4:$E$9,$A$4:$A$9)</x:f>
        <x:v>1</x:v>
      </x:c>
    </x:row>
    <x:row r="494">
      <x:c r="A494" t="n">
        <x:v>480</x:v>
      </x:c>
      <x:c r="B494" s="40" t="n">
        <x:v>0.347672030660947</x:v>
      </x:c>
      <x:c r="C494" t="n">
        <x:f>LOOKUP(B494,$E$4:$E$9,$A$4:$A$9)</x:f>
        <x:v>2</x:v>
      </x:c>
    </x:row>
    <x:row r="495">
      <x:c r="A495" t="n">
        <x:v>481</x:v>
      </x:c>
      <x:c r="B495" s="40" t="n">
        <x:v>0.7573728665464523</x:v>
      </x:c>
      <x:c r="C495" t="n">
        <x:f>LOOKUP(B495,$E$4:$E$9,$A$4:$A$9)</x:f>
        <x:v>4</x:v>
      </x:c>
    </x:row>
    <x:row r="496">
      <x:c r="A496" t="n">
        <x:v>482</x:v>
      </x:c>
      <x:c r="B496" s="40" t="n">
        <x:v>0.46524733563382914</x:v>
      </x:c>
      <x:c r="C496" t="n">
        <x:f>LOOKUP(B496,$E$4:$E$9,$A$4:$A$9)</x:f>
        <x:v>2</x:v>
      </x:c>
    </x:row>
    <x:row r="497">
      <x:c r="A497" t="n">
        <x:v>483</x:v>
      </x:c>
      <x:c r="B497" s="40" t="n">
        <x:v>0.8684994925258765</x:v>
      </x:c>
      <x:c r="C497" t="n">
        <x:f>LOOKUP(B497,$E$4:$E$9,$A$4:$A$9)</x:f>
        <x:v>4</x:v>
      </x:c>
    </x:row>
    <x:row r="498">
      <x:c r="A498" t="n">
        <x:v>484</x:v>
      </x:c>
      <x:c r="B498" s="40" t="n">
        <x:v>0.7349255887776993</x:v>
      </x:c>
      <x:c r="C498" t="n">
        <x:f>LOOKUP(B498,$E$4:$E$9,$A$4:$A$9)</x:f>
        <x:v>3</x:v>
      </x:c>
    </x:row>
    <x:row r="499">
      <x:c r="A499" t="n">
        <x:v>485</x:v>
      </x:c>
      <x:c r="B499" s="40" t="n">
        <x:v>0.974014150445425</x:v>
      </x:c>
      <x:c r="C499" t="n">
        <x:f>LOOKUP(B499,$E$4:$E$9,$A$4:$A$9)</x:f>
        <x:v>5</x:v>
      </x:c>
    </x:row>
    <x:row r="500">
      <x:c r="A500" t="n">
        <x:v>486</x:v>
      </x:c>
      <x:c r="B500" s="40" t="n">
        <x:v>0.8885037667898433</x:v>
      </x:c>
      <x:c r="C500" t="n">
        <x:f>LOOKUP(B500,$E$4:$E$9,$A$4:$A$9)</x:f>
        <x:v>4</x:v>
      </x:c>
    </x:row>
    <x:row r="501">
      <x:c r="A501" t="n">
        <x:v>487</x:v>
      </x:c>
      <x:c r="B501" s="40" t="n">
        <x:v>0.25454721178600914</x:v>
      </x:c>
      <x:c r="C501" t="n">
        <x:f>LOOKUP(B501,$E$4:$E$9,$A$4:$A$9)</x:f>
        <x:v>2</x:v>
      </x:c>
    </x:row>
    <x:row r="502">
      <x:c r="A502" t="n">
        <x:v>488</x:v>
      </x:c>
      <x:c r="B502" s="40" t="n">
        <x:v>0.6590592328025533</x:v>
      </x:c>
      <x:c r="C502" t="n">
        <x:f>LOOKUP(B502,$E$4:$E$9,$A$4:$A$9)</x:f>
        <x:v>3</x:v>
      </x:c>
    </x:row>
    <x:row r="503">
      <x:c r="A503" t="n">
        <x:v>489</x:v>
      </x:c>
      <x:c r="B503" s="40" t="n">
        <x:v>0.020543034528143878</x:v>
      </x:c>
      <x:c r="C503" t="n">
        <x:f>LOOKUP(B503,$E$4:$E$9,$A$4:$A$9)</x:f>
        <x:v>0</x:v>
      </x:c>
    </x:row>
    <x:row r="504">
      <x:c r="A504" t="n">
        <x:v>490</x:v>
      </x:c>
      <x:c r="B504" s="40" t="n">
        <x:v>0.9911067244295982</x:v>
      </x:c>
      <x:c r="C504" t="n">
        <x:f>LOOKUP(B504,$E$4:$E$9,$A$4:$A$9)</x:f>
        <x:v>5</x:v>
      </x:c>
    </x:row>
    <x:row r="505">
      <x:c r="A505" t="n">
        <x:v>491</x:v>
      </x:c>
      <x:c r="B505" s="40" t="n">
        <x:v>0.26100610880259656</x:v>
      </x:c>
      <x:c r="C505" t="n">
        <x:f>LOOKUP(B505,$E$4:$E$9,$A$4:$A$9)</x:f>
        <x:v>2</x:v>
      </x:c>
    </x:row>
    <x:row r="506">
      <x:c r="A506" t="n">
        <x:v>492</x:v>
      </x:c>
      <x:c r="B506" s="40" t="n">
        <x:v>0.664795093623584</x:v>
      </x:c>
      <x:c r="C506" t="n">
        <x:f>LOOKUP(B506,$E$4:$E$9,$A$4:$A$9)</x:f>
        <x:v>3</x:v>
      </x:c>
    </x:row>
    <x:row r="507">
      <x:c r="A507" t="n">
        <x:v>493</x:v>
      </x:c>
      <x:c r="B507" s="40" t="n">
        <x:v>0.8491536211995653</x:v>
      </x:c>
      <x:c r="C507" t="n">
        <x:f>LOOKUP(B507,$E$4:$E$9,$A$4:$A$9)</x:f>
        <x:v>4</x:v>
      </x:c>
    </x:row>
    <x:row r="508">
      <x:c r="A508" t="n">
        <x:v>494</x:v>
      </x:c>
      <x:c r="B508" s="40" t="n">
        <x:v>0.16046466272797144</x:v>
      </x:c>
      <x:c r="C508" t="n">
        <x:f>LOOKUP(B508,$E$4:$E$9,$A$4:$A$9)</x:f>
        <x:v>1</x:v>
      </x:c>
    </x:row>
    <x:row r="509">
      <x:c r="A509" t="n">
        <x:v>495</x:v>
      </x:c>
      <x:c r="B509" s="40" t="n">
        <x:v>0.8478793428104792</x:v>
      </x:c>
      <x:c r="C509" t="n">
        <x:f>LOOKUP(B509,$E$4:$E$9,$A$4:$A$9)</x:f>
        <x:v>4</x:v>
      </x:c>
    </x:row>
    <x:row r="510">
      <x:c r="A510" t="n">
        <x:v>496</x:v>
      </x:c>
      <x:c r="B510" s="40" t="n">
        <x:v>0.012245665790822424</x:v>
      </x:c>
      <x:c r="C510" t="n">
        <x:f>LOOKUP(B510,$E$4:$E$9,$A$4:$A$9)</x:f>
        <x:v>0</x:v>
      </x:c>
    </x:row>
    <x:row r="511">
      <x:c r="A511" t="n">
        <x:v>497</x:v>
      </x:c>
      <x:c r="B511" s="40" t="n">
        <x:v>0.4419771380854074</x:v>
      </x:c>
      <x:c r="C511" t="n">
        <x:f>LOOKUP(B511,$E$4:$E$9,$A$4:$A$9)</x:f>
        <x:v>2</x:v>
      </x:c>
    </x:row>
    <x:row r="512">
      <x:c r="A512" t="n">
        <x:v>498</x:v>
      </x:c>
      <x:c r="B512" s="40" t="n">
        <x:v>0.47203762253113846</x:v>
      </x:c>
      <x:c r="C512" t="n">
        <x:f>LOOKUP(B512,$E$4:$E$9,$A$4:$A$9)</x:f>
        <x:v>2</x:v>
      </x:c>
    </x:row>
    <x:row r="513">
      <x:c r="A513" t="n">
        <x:v>499</x:v>
      </x:c>
      <x:c r="B513" s="40" t="n">
        <x:v>0.3740907132587359</x:v>
      </x:c>
      <x:c r="C513" t="n">
        <x:f>LOOKUP(B513,$E$4:$E$9,$A$4:$A$9)</x:f>
        <x:v>2</x:v>
      </x:c>
    </x:row>
    <x:row r="514">
      <x:c r="A514" t="n">
        <x:v>500</x:v>
      </x:c>
      <x:c r="B514" s="40" t="n">
        <x:v>0.5863847463004997</x:v>
      </x:c>
      <x:c r="C514" t="n">
        <x:f>LOOKUP(B514,$E$4:$E$9,$A$4:$A$9)</x:f>
        <x:v>3</x:v>
      </x:c>
    </x:row>
    <x:row r="515">
      <x:c r="A515" t="n">
        <x:v>501</x:v>
      </x:c>
      <x:c r="B515" s="40" t="n">
        <x:v>0.914842348702632</x:v>
      </x:c>
      <x:c r="C515" t="n">
        <x:f>LOOKUP(B515,$E$4:$E$9,$A$4:$A$9)</x:f>
        <x:v>5</x:v>
      </x:c>
    </x:row>
    <x:row r="516">
      <x:c r="A516" t="n">
        <x:v>502</x:v>
      </x:c>
      <x:c r="B516" s="40" t="n">
        <x:v>0.3269891143002891</x:v>
      </x:c>
      <x:c r="C516" t="n">
        <x:f>LOOKUP(B516,$E$4:$E$9,$A$4:$A$9)</x:f>
        <x:v>2</x:v>
      </x:c>
    </x:row>
    <x:row r="517">
      <x:c r="A517" t="n">
        <x:v>503</x:v>
      </x:c>
      <x:c r="B517" s="40" t="n">
        <x:v>0.5792598871664242</x:v>
      </x:c>
      <x:c r="C517" t="n">
        <x:f>LOOKUP(B517,$E$4:$E$9,$A$4:$A$9)</x:f>
        <x:v>3</x:v>
      </x:c>
    </x:row>
    <x:row r="518">
      <x:c r="A518" t="n">
        <x:v>504</x:v>
      </x:c>
      <x:c r="B518" s="40" t="n">
        <x:v>0.8774625257433228</x:v>
      </x:c>
      <x:c r="C518" t="n">
        <x:f>LOOKUP(B518,$E$4:$E$9,$A$4:$A$9)</x:f>
        <x:v>4</x:v>
      </x:c>
    </x:row>
    <x:row r="519">
      <x:c r="A519" t="n">
        <x:v>505</x:v>
      </x:c>
      <x:c r="B519" s="40" t="n">
        <x:v>0.7729953951013782</x:v>
      </x:c>
      <x:c r="C519" t="n">
        <x:f>LOOKUP(B519,$E$4:$E$9,$A$4:$A$9)</x:f>
        <x:v>4</x:v>
      </x:c>
    </x:row>
    <x:row r="520">
      <x:c r="A520" t="n">
        <x:v>506</x:v>
      </x:c>
      <x:c r="B520" s="40" t="n">
        <x:v>0.040733264805495994</x:v>
      </x:c>
      <x:c r="C520" t="n">
        <x:f>LOOKUP(B520,$E$4:$E$9,$A$4:$A$9)</x:f>
        <x:v>0</x:v>
      </x:c>
    </x:row>
    <x:row r="521">
      <x:c r="A521" t="n">
        <x:v>507</x:v>
      </x:c>
      <x:c r="B521" s="40" t="n">
        <x:v>0.9427907641276623</x:v>
      </x:c>
      <x:c r="C521" t="n">
        <x:f>LOOKUP(B521,$E$4:$E$9,$A$4:$A$9)</x:f>
        <x:v>5</x:v>
      </x:c>
    </x:row>
    <x:row r="522">
      <x:c r="A522" t="n">
        <x:v>508</x:v>
      </x:c>
      <x:c r="B522" s="40" t="n">
        <x:v>0.04664690425861273</x:v>
      </x:c>
      <x:c r="C522" t="n">
        <x:f>LOOKUP(B522,$E$4:$E$9,$A$4:$A$9)</x:f>
        <x:v>0</x:v>
      </x:c>
    </x:row>
    <x:row r="523">
      <x:c r="A523" t="n">
        <x:v>509</x:v>
      </x:c>
      <x:c r="B523" s="40" t="n">
        <x:v>0.5887584743743296</x:v>
      </x:c>
      <x:c r="C523" t="n">
        <x:f>LOOKUP(B523,$E$4:$E$9,$A$4:$A$9)</x:f>
        <x:v>3</x:v>
      </x:c>
    </x:row>
    <x:row r="524">
      <x:c r="A524" t="n">
        <x:v>510</x:v>
      </x:c>
      <x:c r="B524" s="40" t="n">
        <x:v>0.5753536203151648</x:v>
      </x:c>
      <x:c r="C524" t="n">
        <x:f>LOOKUP(B524,$E$4:$E$9,$A$4:$A$9)</x:f>
        <x:v>3</x:v>
      </x:c>
    </x:row>
    <x:row r="525">
      <x:c r="A525" t="n">
        <x:v>511</x:v>
      </x:c>
      <x:c r="B525" s="40" t="n">
        <x:v>0.7863902307023161</x:v>
      </x:c>
      <x:c r="C525" t="n">
        <x:f>LOOKUP(B525,$E$4:$E$9,$A$4:$A$9)</x:f>
        <x:v>4</x:v>
      </x:c>
    </x:row>
    <x:row r="526">
      <x:c r="A526" t="n">
        <x:v>512</x:v>
      </x:c>
      <x:c r="B526" s="40" t="n">
        <x:v>0.14844305184897766</x:v>
      </x:c>
      <x:c r="C526" t="n">
        <x:f>LOOKUP(B526,$E$4:$E$9,$A$4:$A$9)</x:f>
        <x:v>1</x:v>
      </x:c>
    </x:row>
    <x:row r="527">
      <x:c r="A527" t="n">
        <x:v>513</x:v>
      </x:c>
      <x:c r="B527" s="40" t="n">
        <x:v>0.17937039206270378</x:v>
      </x:c>
      <x:c r="C527" t="n">
        <x:f>LOOKUP(B527,$E$4:$E$9,$A$4:$A$9)</x:f>
        <x:v>1</x:v>
      </x:c>
    </x:row>
    <x:row r="528">
      <x:c r="A528" t="n">
        <x:v>514</x:v>
      </x:c>
      <x:c r="B528" s="40" t="n">
        <x:v>0.7521069327383605</x:v>
      </x:c>
      <x:c r="C528" t="n">
        <x:f>LOOKUP(B528,$E$4:$E$9,$A$4:$A$9)</x:f>
        <x:v>4</x:v>
      </x:c>
    </x:row>
    <x:row r="529">
      <x:c r="A529" t="n">
        <x:v>515</x:v>
      </x:c>
      <x:c r="B529" s="40" t="n">
        <x:v>0.14950475241162509</x:v>
      </x:c>
      <x:c r="C529" t="n">
        <x:f>LOOKUP(B529,$E$4:$E$9,$A$4:$A$9)</x:f>
        <x:v>1</x:v>
      </x:c>
    </x:row>
    <x:row r="530">
      <x:c r="A530" t="n">
        <x:v>516</x:v>
      </x:c>
      <x:c r="B530" s="40" t="n">
        <x:v>0.46944512706563957</x:v>
      </x:c>
      <x:c r="C530" t="n">
        <x:f>LOOKUP(B530,$E$4:$E$9,$A$4:$A$9)</x:f>
        <x:v>2</x:v>
      </x:c>
    </x:row>
    <x:row r="531">
      <x:c r="A531" t="n">
        <x:v>517</x:v>
      </x:c>
      <x:c r="B531" s="40" t="n">
        <x:v>0.7316480902109319</x:v>
      </x:c>
      <x:c r="C531" t="n">
        <x:f>LOOKUP(B531,$E$4:$E$9,$A$4:$A$9)</x:f>
        <x:v>3</x:v>
      </x:c>
    </x:row>
    <x:row r="532">
      <x:c r="A532" t="n">
        <x:v>518</x:v>
      </x:c>
      <x:c r="B532" s="40" t="n">
        <x:v>0.6512419287826812</x:v>
      </x:c>
      <x:c r="C532" t="n">
        <x:f>LOOKUP(B532,$E$4:$E$9,$A$4:$A$9)</x:f>
        <x:v>3</x:v>
      </x:c>
    </x:row>
    <x:row r="533">
      <x:c r="A533" t="n">
        <x:v>519</x:v>
      </x:c>
      <x:c r="B533" s="40" t="n">
        <x:v>0.21060418611309517</x:v>
      </x:c>
      <x:c r="C533" t="n">
        <x:f>LOOKUP(B533,$E$4:$E$9,$A$4:$A$9)</x:f>
        <x:v>1</x:v>
      </x:c>
    </x:row>
    <x:row r="534">
      <x:c r="A534" t="n">
        <x:v>520</x:v>
      </x:c>
      <x:c r="B534" s="40" t="n">
        <x:v>0.30396025868608556</x:v>
      </x:c>
      <x:c r="C534" t="n">
        <x:f>LOOKUP(B534,$E$4:$E$9,$A$4:$A$9)</x:f>
        <x:v>2</x:v>
      </x:c>
    </x:row>
    <x:row r="535">
      <x:c r="A535" t="n">
        <x:v>521</x:v>
      </x:c>
      <x:c r="B535" s="40" t="n">
        <x:v>0.968974903241041</x:v>
      </x:c>
      <x:c r="C535" t="n">
        <x:f>LOOKUP(B535,$E$4:$E$9,$A$4:$A$9)</x:f>
        <x:v>5</x:v>
      </x:c>
    </x:row>
    <x:row r="536">
      <x:c r="A536" t="n">
        <x:v>522</x:v>
      </x:c>
      <x:c r="B536" s="40" t="n">
        <x:v>0.4486706201548839</x:v>
      </x:c>
      <x:c r="C536" t="n">
        <x:f>LOOKUP(B536,$E$4:$E$9,$A$4:$A$9)</x:f>
        <x:v>2</x:v>
      </x:c>
    </x:row>
    <x:row r="537">
      <x:c r="A537" t="n">
        <x:v>523</x:v>
      </x:c>
      <x:c r="B537" s="40" t="n">
        <x:v>0.04445747643638054</x:v>
      </x:c>
      <x:c r="C537" t="n">
        <x:f>LOOKUP(B537,$E$4:$E$9,$A$4:$A$9)</x:f>
        <x:v>0</x:v>
      </x:c>
    </x:row>
    <x:row r="538">
      <x:c r="A538" t="n">
        <x:v>524</x:v>
      </x:c>
      <x:c r="B538" s="40" t="n">
        <x:v>0.21958489946633264</x:v>
      </x:c>
      <x:c r="C538" t="n">
        <x:f>LOOKUP(B538,$E$4:$E$9,$A$4:$A$9)</x:f>
        <x:v>1</x:v>
      </x:c>
    </x:row>
    <x:row r="539">
      <x:c r="A539" t="n">
        <x:v>525</x:v>
      </x:c>
      <x:c r="B539" s="40" t="n">
        <x:v>0.34243508966183767</x:v>
      </x:c>
      <x:c r="C539" t="n">
        <x:f>LOOKUP(B539,$E$4:$E$9,$A$4:$A$9)</x:f>
        <x:v>2</x:v>
      </x:c>
    </x:row>
    <x:row r="540">
      <x:c r="A540" t="n">
        <x:v>526</x:v>
      </x:c>
      <x:c r="B540" s="40" t="n">
        <x:v>0.9994894042945859</x:v>
      </x:c>
      <x:c r="C540" t="n">
        <x:f>LOOKUP(B540,$E$4:$E$9,$A$4:$A$9)</x:f>
        <x:v>5</x:v>
      </x:c>
    </x:row>
    <x:row r="541">
      <x:c r="A541" t="n">
        <x:v>527</x:v>
      </x:c>
      <x:c r="B541" s="40" t="n">
        <x:v>0.3026915474769186</x:v>
      </x:c>
      <x:c r="C541" t="n">
        <x:f>LOOKUP(B541,$E$4:$E$9,$A$4:$A$9)</x:f>
        <x:v>2</x:v>
      </x:c>
    </x:row>
    <x:row r="542">
      <x:c r="A542" t="n">
        <x:v>528</x:v>
      </x:c>
      <x:c r="B542" s="40" t="n">
        <x:v>0.026395848782544973</x:v>
      </x:c>
      <x:c r="C542" t="n">
        <x:f>LOOKUP(B542,$E$4:$E$9,$A$4:$A$9)</x:f>
        <x:v>0</x:v>
      </x:c>
    </x:row>
    <x:row r="543">
      <x:c r="A543" t="n">
        <x:v>529</x:v>
      </x:c>
      <x:c r="B543" s="40" t="n">
        <x:v>0.512921577555336</x:v>
      </x:c>
      <x:c r="C543" t="n">
        <x:f>LOOKUP(B543,$E$4:$E$9,$A$4:$A$9)</x:f>
        <x:v>3</x:v>
      </x:c>
    </x:row>
    <x:row r="544">
      <x:c r="A544" t="n">
        <x:v>530</x:v>
      </x:c>
      <x:c r="B544" s="40" t="n">
        <x:v>0.08360538497397707</x:v>
      </x:c>
      <x:c r="C544" t="n">
        <x:f>LOOKUP(B544,$E$4:$E$9,$A$4:$A$9)</x:f>
        <x:v>0</x:v>
      </x:c>
    </x:row>
    <x:row r="545">
      <x:c r="A545" t="n">
        <x:v>531</x:v>
      </x:c>
      <x:c r="B545" s="40" t="n">
        <x:v>0.27406759869572184</x:v>
      </x:c>
      <x:c r="C545" t="n">
        <x:f>LOOKUP(B545,$E$4:$E$9,$A$4:$A$9)</x:f>
        <x:v>2</x:v>
      </x:c>
    </x:row>
    <x:row r="546">
      <x:c r="A546" t="n">
        <x:v>532</x:v>
      </x:c>
      <x:c r="B546" s="40" t="n">
        <x:v>0.9923831760939391</x:v>
      </x:c>
      <x:c r="C546" t="n">
        <x:f>LOOKUP(B546,$E$4:$E$9,$A$4:$A$9)</x:f>
        <x:v>5</x:v>
      </x:c>
    </x:row>
    <x:row r="547">
      <x:c r="A547" t="n">
        <x:v>533</x:v>
      </x:c>
      <x:c r="B547" s="40" t="n">
        <x:v>0.7046385189301544</x:v>
      </x:c>
      <x:c r="C547" t="n">
        <x:f>LOOKUP(B547,$E$4:$E$9,$A$4:$A$9)</x:f>
        <x:v>3</x:v>
      </x:c>
    </x:row>
    <x:row r="548">
      <x:c r="A548" t="n">
        <x:v>534</x:v>
      </x:c>
      <x:c r="B548" s="40" t="n">
        <x:v>0.05066662928287036</x:v>
      </x:c>
      <x:c r="C548" t="n">
        <x:f>LOOKUP(B548,$E$4:$E$9,$A$4:$A$9)</x:f>
        <x:v>0</x:v>
      </x:c>
    </x:row>
    <x:row r="549">
      <x:c r="A549" t="n">
        <x:v>535</x:v>
      </x:c>
      <x:c r="B549" s="40" t="n">
        <x:v>0.448686718591796</x:v>
      </x:c>
      <x:c r="C549" t="n">
        <x:f>LOOKUP(B549,$E$4:$E$9,$A$4:$A$9)</x:f>
        <x:v>2</x:v>
      </x:c>
    </x:row>
    <x:row r="550">
      <x:c r="A550" t="n">
        <x:v>536</x:v>
      </x:c>
      <x:c r="B550" s="40" t="n">
        <x:v>0.1716375126288493</x:v>
      </x:c>
      <x:c r="C550" t="n">
        <x:f>LOOKUP(B550,$E$4:$E$9,$A$4:$A$9)</x:f>
        <x:v>1</x:v>
      </x:c>
    </x:row>
    <x:row r="551">
      <x:c r="A551" t="n">
        <x:v>537</x:v>
      </x:c>
      <x:c r="B551" s="40" t="n">
        <x:v>0.12294465640212127</x:v>
      </x:c>
      <x:c r="C551" t="n">
        <x:f>LOOKUP(B551,$E$4:$E$9,$A$4:$A$9)</x:f>
        <x:v>1</x:v>
      </x:c>
    </x:row>
    <x:row r="552">
      <x:c r="A552" t="n">
        <x:v>538</x:v>
      </x:c>
      <x:c r="B552" s="40" t="n">
        <x:v>0.587065413348802</x:v>
      </x:c>
      <x:c r="C552" t="n">
        <x:f>LOOKUP(B552,$E$4:$E$9,$A$4:$A$9)</x:f>
        <x:v>3</x:v>
      </x:c>
    </x:row>
    <x:row r="553">
      <x:c r="A553" t="n">
        <x:v>539</x:v>
      </x:c>
      <x:c r="B553" s="40" t="n">
        <x:v>0.5056558896402157</x:v>
      </x:c>
      <x:c r="C553" t="n">
        <x:f>LOOKUP(B553,$E$4:$E$9,$A$4:$A$9)</x:f>
        <x:v>3</x:v>
      </x:c>
    </x:row>
    <x:row r="554">
      <x:c r="A554" t="n">
        <x:v>540</x:v>
      </x:c>
      <x:c r="B554" s="40" t="n">
        <x:v>0.7428665843155082</x:v>
      </x:c>
      <x:c r="C554" t="n">
        <x:f>LOOKUP(B554,$E$4:$E$9,$A$4:$A$9)</x:f>
        <x:v>3</x:v>
      </x:c>
    </x:row>
    <x:row r="555">
      <x:c r="A555" t="n">
        <x:v>541</x:v>
      </x:c>
      <x:c r="B555" s="40" t="n">
        <x:v>0.8923062282318597</x:v>
      </x:c>
      <x:c r="C555" t="n">
        <x:f>LOOKUP(B555,$E$4:$E$9,$A$4:$A$9)</x:f>
        <x:v>5</x:v>
      </x:c>
    </x:row>
    <x:row r="556">
      <x:c r="A556" t="n">
        <x:v>542</x:v>
      </x:c>
      <x:c r="B556" s="40" t="n">
        <x:v>0.24668185743166193</x:v>
      </x:c>
      <x:c r="C556" t="n">
        <x:f>LOOKUP(B556,$E$4:$E$9,$A$4:$A$9)</x:f>
        <x:v>1</x:v>
      </x:c>
    </x:row>
    <x:row r="557">
      <x:c r="A557" t="n">
        <x:v>543</x:v>
      </x:c>
      <x:c r="B557" s="40" t="n">
        <x:v>0.9229919866553971</x:v>
      </x:c>
      <x:c r="C557" t="n">
        <x:f>LOOKUP(B557,$E$4:$E$9,$A$4:$A$9)</x:f>
        <x:v>5</x:v>
      </x:c>
    </x:row>
    <x:row r="558">
      <x:c r="A558" t="n">
        <x:v>544</x:v>
      </x:c>
      <x:c r="B558" s="40" t="n">
        <x:v>0.5179917725540955</x:v>
      </x:c>
      <x:c r="C558" t="n">
        <x:f>LOOKUP(B558,$E$4:$E$9,$A$4:$A$9)</x:f>
        <x:v>3</x:v>
      </x:c>
    </x:row>
    <x:row r="559">
      <x:c r="A559" t="n">
        <x:v>545</x:v>
      </x:c>
      <x:c r="B559" s="40" t="n">
        <x:v>0.25883491818511717</x:v>
      </x:c>
      <x:c r="C559" t="n">
        <x:f>LOOKUP(B559,$E$4:$E$9,$A$4:$A$9)</x:f>
        <x:v>2</x:v>
      </x:c>
    </x:row>
    <x:row r="560">
      <x:c r="A560" t="n">
        <x:v>546</x:v>
      </x:c>
      <x:c r="B560" s="40" t="n">
        <x:v>0.8457858381026093</x:v>
      </x:c>
      <x:c r="C560" t="n">
        <x:f>LOOKUP(B560,$E$4:$E$9,$A$4:$A$9)</x:f>
        <x:v>4</x:v>
      </x:c>
    </x:row>
    <x:row r="561">
      <x:c r="A561" t="n">
        <x:v>547</x:v>
      </x:c>
      <x:c r="B561" s="40" t="n">
        <x:v>0.0355299180290225</x:v>
      </x:c>
      <x:c r="C561" t="n">
        <x:f>LOOKUP(B561,$E$4:$E$9,$A$4:$A$9)</x:f>
        <x:v>0</x:v>
      </x:c>
    </x:row>
    <x:row r="562">
      <x:c r="A562" t="n">
        <x:v>548</x:v>
      </x:c>
      <x:c r="B562" s="40" t="n">
        <x:v>0.5595093774729606</x:v>
      </x:c>
      <x:c r="C562" t="n">
        <x:f>LOOKUP(B562,$E$4:$E$9,$A$4:$A$9)</x:f>
        <x:v>3</x:v>
      </x:c>
    </x:row>
    <x:row r="563">
      <x:c r="A563" t="n">
        <x:v>549</x:v>
      </x:c>
      <x:c r="B563" s="40" t="n">
        <x:v>0.7216215350299666</x:v>
      </x:c>
      <x:c r="C563" t="n">
        <x:f>LOOKUP(B563,$E$4:$E$9,$A$4:$A$9)</x:f>
        <x:v>3</x:v>
      </x:c>
    </x:row>
    <x:row r="564">
      <x:c r="A564" t="n">
        <x:v>550</x:v>
      </x:c>
      <x:c r="B564" s="40" t="n">
        <x:v>0.27997768715614324</x:v>
      </x:c>
      <x:c r="C564" t="n">
        <x:f>LOOKUP(B564,$E$4:$E$9,$A$4:$A$9)</x:f>
        <x:v>2</x:v>
      </x:c>
    </x:row>
    <x:row r="565">
      <x:c r="A565" t="n">
        <x:v>551</x:v>
      </x:c>
      <x:c r="B565" s="40" t="n">
        <x:v>0.8634919175632179</x:v>
      </x:c>
      <x:c r="C565" t="n">
        <x:f>LOOKUP(B565,$E$4:$E$9,$A$4:$A$9)</x:f>
        <x:v>4</x:v>
      </x:c>
    </x:row>
    <x:row r="566">
      <x:c r="A566" t="n">
        <x:v>552</x:v>
      </x:c>
      <x:c r="B566" s="40" t="n">
        <x:v>0.24028456335798487</x:v>
      </x:c>
      <x:c r="C566" t="n">
        <x:f>LOOKUP(B566,$E$4:$E$9,$A$4:$A$9)</x:f>
        <x:v>1</x:v>
      </x:c>
    </x:row>
    <x:row r="567">
      <x:c r="A567" t="n">
        <x:v>553</x:v>
      </x:c>
      <x:c r="B567" s="40" t="n">
        <x:v>0.8398742827317391</x:v>
      </x:c>
      <x:c r="C567" t="n">
        <x:f>LOOKUP(B567,$E$4:$E$9,$A$4:$A$9)</x:f>
        <x:v>4</x:v>
      </x:c>
    </x:row>
    <x:row r="568">
      <x:c r="A568" t="n">
        <x:v>554</x:v>
      </x:c>
      <x:c r="B568" s="40" t="n">
        <x:v>0.07854496383245724</x:v>
      </x:c>
      <x:c r="C568" t="n">
        <x:f>LOOKUP(B568,$E$4:$E$9,$A$4:$A$9)</x:f>
        <x:v>0</x:v>
      </x:c>
    </x:row>
    <x:row r="569">
      <x:c r="A569" t="n">
        <x:v>555</x:v>
      </x:c>
      <x:c r="B569" s="40" t="n">
        <x:v>0.1599275918684313</x:v>
      </x:c>
      <x:c r="C569" t="n">
        <x:f>LOOKUP(B569,$E$4:$E$9,$A$4:$A$9)</x:f>
        <x:v>1</x:v>
      </x:c>
    </x:row>
    <x:row r="570">
      <x:c r="A570" t="n">
        <x:v>556</x:v>
      </x:c>
      <x:c r="B570" s="40" t="n">
        <x:v>0.38098458390190815</x:v>
      </x:c>
      <x:c r="C570" t="n">
        <x:f>LOOKUP(B570,$E$4:$E$9,$A$4:$A$9)</x:f>
        <x:v>2</x:v>
      </x:c>
    </x:row>
    <x:row r="571">
      <x:c r="A571" t="n">
        <x:v>557</x:v>
      </x:c>
      <x:c r="B571" s="40" t="n">
        <x:v>0.8540555127981793</x:v>
      </x:c>
      <x:c r="C571" t="n">
        <x:f>LOOKUP(B571,$E$4:$E$9,$A$4:$A$9)</x:f>
        <x:v>4</x:v>
      </x:c>
    </x:row>
    <x:row r="572">
      <x:c r="A572" t="n">
        <x:v>558</x:v>
      </x:c>
      <x:c r="B572" s="40" t="n">
        <x:v>0.14458536512678244</x:v>
      </x:c>
      <x:c r="C572" t="n">
        <x:f>LOOKUP(B572,$E$4:$E$9,$A$4:$A$9)</x:f>
        <x:v>1</x:v>
      </x:c>
    </x:row>
    <x:row r="573">
      <x:c r="A573" t="n">
        <x:v>559</x:v>
      </x:c>
      <x:c r="B573" s="40" t="n">
        <x:v>0.8754382397942415</x:v>
      </x:c>
      <x:c r="C573" t="n">
        <x:f>LOOKUP(B573,$E$4:$E$9,$A$4:$A$9)</x:f>
        <x:v>4</x:v>
      </x:c>
    </x:row>
    <x:row r="574">
      <x:c r="A574" t="n">
        <x:v>560</x:v>
      </x:c>
      <x:c r="B574" s="40" t="n">
        <x:v>0.22973152661279372</x:v>
      </x:c>
      <x:c r="C574" t="n">
        <x:f>LOOKUP(B574,$E$4:$E$9,$A$4:$A$9)</x:f>
        <x:v>1</x:v>
      </x:c>
    </x:row>
    <x:row r="575">
      <x:c r="A575" t="n">
        <x:v>561</x:v>
      </x:c>
      <x:c r="B575" s="40" t="n">
        <x:v>0.45250839859452874</x:v>
      </x:c>
      <x:c r="C575" t="n">
        <x:f>LOOKUP(B575,$E$4:$E$9,$A$4:$A$9)</x:f>
        <x:v>2</x:v>
      </x:c>
    </x:row>
    <x:row r="576">
      <x:c r="A576" t="n">
        <x:v>562</x:v>
      </x:c>
      <x:c r="B576" s="40" t="n">
        <x:v>0.35273440426033775</x:v>
      </x:c>
      <x:c r="C576" t="n">
        <x:f>LOOKUP(B576,$E$4:$E$9,$A$4:$A$9)</x:f>
        <x:v>2</x:v>
      </x:c>
    </x:row>
    <x:row r="577">
      <x:c r="A577" t="n">
        <x:v>563</x:v>
      </x:c>
      <x:c r="B577" s="40" t="n">
        <x:v>0.11812622661452354</x:v>
      </x:c>
      <x:c r="C577" t="n">
        <x:f>LOOKUP(B577,$E$4:$E$9,$A$4:$A$9)</x:f>
        <x:v>1</x:v>
      </x:c>
    </x:row>
    <x:row r="578">
      <x:c r="A578" t="n">
        <x:v>564</x:v>
      </x:c>
      <x:c r="B578" s="40" t="n">
        <x:v>0.9443097395191401</x:v>
      </x:c>
      <x:c r="C578" t="n">
        <x:f>LOOKUP(B578,$E$4:$E$9,$A$4:$A$9)</x:f>
        <x:v>5</x:v>
      </x:c>
    </x:row>
    <x:row r="579">
      <x:c r="A579" t="n">
        <x:v>565</x:v>
      </x:c>
      <x:c r="B579" s="40" t="n">
        <x:v>0.4381782907522135</x:v>
      </x:c>
      <x:c r="C579" t="n">
        <x:f>LOOKUP(B579,$E$4:$E$9,$A$4:$A$9)</x:f>
        <x:v>2</x:v>
      </x:c>
    </x:row>
    <x:row r="580">
      <x:c r="A580" t="n">
        <x:v>566</x:v>
      </x:c>
      <x:c r="B580" s="40" t="n">
        <x:v>0.6903312613561945</x:v>
      </x:c>
      <x:c r="C580" t="n">
        <x:f>LOOKUP(B580,$E$4:$E$9,$A$4:$A$9)</x:f>
        <x:v>3</x:v>
      </x:c>
    </x:row>
    <x:row r="581">
      <x:c r="A581" t="n">
        <x:v>567</x:v>
      </x:c>
      <x:c r="B581" s="40" t="n">
        <x:v>0.5752676766640311</x:v>
      </x:c>
      <x:c r="C581" t="n">
        <x:f>LOOKUP(B581,$E$4:$E$9,$A$4:$A$9)</x:f>
        <x:v>3</x:v>
      </x:c>
    </x:row>
    <x:row r="582">
      <x:c r="A582" t="n">
        <x:v>568</x:v>
      </x:c>
      <x:c r="B582" s="40" t="n">
        <x:v>0.5017159168522074</x:v>
      </x:c>
      <x:c r="C582" t="n">
        <x:f>LOOKUP(B582,$E$4:$E$9,$A$4:$A$9)</x:f>
        <x:v>2</x:v>
      </x:c>
    </x:row>
    <x:row r="583">
      <x:c r="A583" t="n">
        <x:v>569</x:v>
      </x:c>
      <x:c r="B583" s="40" t="n">
        <x:v>0.616577623556849</x:v>
      </x:c>
      <x:c r="C583" t="n">
        <x:f>LOOKUP(B583,$E$4:$E$9,$A$4:$A$9)</x:f>
        <x:v>3</x:v>
      </x:c>
    </x:row>
    <x:row r="584">
      <x:c r="A584" t="n">
        <x:v>570</x:v>
      </x:c>
      <x:c r="B584" s="40" t="n">
        <x:v>0.8983423062024289</x:v>
      </x:c>
      <x:c r="C584" t="n">
        <x:f>LOOKUP(B584,$E$4:$E$9,$A$4:$A$9)</x:f>
        <x:v>5</x:v>
      </x:c>
    </x:row>
    <x:row r="585">
      <x:c r="A585" t="n">
        <x:v>571</x:v>
      </x:c>
      <x:c r="B585" s="40" t="n">
        <x:v>0.6993123756941095</x:v>
      </x:c>
      <x:c r="C585" t="n">
        <x:f>LOOKUP(B585,$E$4:$E$9,$A$4:$A$9)</x:f>
        <x:v>3</x:v>
      </x:c>
    </x:row>
    <x:row r="586">
      <x:c r="A586" t="n">
        <x:v>572</x:v>
      </x:c>
      <x:c r="B586" s="40" t="n">
        <x:v>0.5324800794552211</x:v>
      </x:c>
      <x:c r="C586" t="n">
        <x:f>LOOKUP(B586,$E$4:$E$9,$A$4:$A$9)</x:f>
        <x:v>3</x:v>
      </x:c>
    </x:row>
    <x:row r="587">
      <x:c r="A587" t="n">
        <x:v>573</x:v>
      </x:c>
      <x:c r="B587" s="40" t="n">
        <x:v>0.6451859606659763</x:v>
      </x:c>
      <x:c r="C587" t="n">
        <x:f>LOOKUP(B587,$E$4:$E$9,$A$4:$A$9)</x:f>
        <x:v>3</x:v>
      </x:c>
    </x:row>
    <x:row r="588">
      <x:c r="A588" t="n">
        <x:v>574</x:v>
      </x:c>
      <x:c r="B588" s="40" t="n">
        <x:v>0.6063942805090216</x:v>
      </x:c>
      <x:c r="C588" t="n">
        <x:f>LOOKUP(B588,$E$4:$E$9,$A$4:$A$9)</x:f>
        <x:v>3</x:v>
      </x:c>
    </x:row>
    <x:row r="589">
      <x:c r="A589" t="n">
        <x:v>575</x:v>
      </x:c>
      <x:c r="B589" s="40" t="n">
        <x:v>0.4331212074863131</x:v>
      </x:c>
      <x:c r="C589" t="n">
        <x:f>LOOKUP(B589,$E$4:$E$9,$A$4:$A$9)</x:f>
        <x:v>2</x:v>
      </x:c>
    </x:row>
    <x:row r="590">
      <x:c r="A590" t="n">
        <x:v>576</x:v>
      </x:c>
      <x:c r="B590" s="40" t="n">
        <x:v>0.6247640101304504</x:v>
      </x:c>
      <x:c r="C590" t="n">
        <x:f>LOOKUP(B590,$E$4:$E$9,$A$4:$A$9)</x:f>
        <x:v>3</x:v>
      </x:c>
    </x:row>
    <x:row r="591">
      <x:c r="A591" t="n">
        <x:v>577</x:v>
      </x:c>
      <x:c r="B591" s="40" t="n">
        <x:v>0.4435698001641636</x:v>
      </x:c>
      <x:c r="C591" t="n">
        <x:f>LOOKUP(B591,$E$4:$E$9,$A$4:$A$9)</x:f>
        <x:v>2</x:v>
      </x:c>
    </x:row>
    <x:row r="592">
      <x:c r="A592" t="n">
        <x:v>578</x:v>
      </x:c>
      <x:c r="B592" s="40" t="n">
        <x:v>0.7576143778719123</x:v>
      </x:c>
      <x:c r="C592" t="n">
        <x:f>LOOKUP(B592,$E$4:$E$9,$A$4:$A$9)</x:f>
        <x:v>4</x:v>
      </x:c>
    </x:row>
    <x:row r="593">
      <x:c r="A593" t="n">
        <x:v>579</x:v>
      </x:c>
      <x:c r="B593" s="40" t="n">
        <x:v>0.9689124835222855</x:v>
      </x:c>
      <x:c r="C593" t="n">
        <x:f>LOOKUP(B593,$E$4:$E$9,$A$4:$A$9)</x:f>
        <x:v>5</x:v>
      </x:c>
    </x:row>
    <x:row r="594">
      <x:c r="A594" t="n">
        <x:v>580</x:v>
      </x:c>
      <x:c r="B594" s="40" t="n">
        <x:v>0.9598653574972292</x:v>
      </x:c>
      <x:c r="C594" t="n">
        <x:f>LOOKUP(B594,$E$4:$E$9,$A$4:$A$9)</x:f>
        <x:v>5</x:v>
      </x:c>
    </x:row>
    <x:row r="595">
      <x:c r="A595" t="n">
        <x:v>581</x:v>
      </x:c>
      <x:c r="B595" s="40" t="n">
        <x:v>0.8207357864249805</x:v>
      </x:c>
      <x:c r="C595" t="n">
        <x:f>LOOKUP(B595,$E$4:$E$9,$A$4:$A$9)</x:f>
        <x:v>4</x:v>
      </x:c>
    </x:row>
    <x:row r="596">
      <x:c r="A596" t="n">
        <x:v>582</x:v>
      </x:c>
      <x:c r="B596" s="40" t="n">
        <x:v>0.6017588970594852</x:v>
      </x:c>
      <x:c r="C596" t="n">
        <x:f>LOOKUP(B596,$E$4:$E$9,$A$4:$A$9)</x:f>
        <x:v>3</x:v>
      </x:c>
    </x:row>
    <x:row r="597">
      <x:c r="A597" t="n">
        <x:v>583</x:v>
      </x:c>
      <x:c r="B597" s="40" t="n">
        <x:v>0.7493319880707405</x:v>
      </x:c>
      <x:c r="C597" t="n">
        <x:f>LOOKUP(B597,$E$4:$E$9,$A$4:$A$9)</x:f>
        <x:v>4</x:v>
      </x:c>
    </x:row>
    <x:row r="598">
      <x:c r="A598" t="n">
        <x:v>584</x:v>
      </x:c>
      <x:c r="B598" s="40" t="n">
        <x:v>0.1780482952575544</x:v>
      </x:c>
      <x:c r="C598" t="n">
        <x:f>LOOKUP(B598,$E$4:$E$9,$A$4:$A$9)</x:f>
        <x:v>1</x:v>
      </x:c>
    </x:row>
    <x:row r="599">
      <x:c r="A599" t="n">
        <x:v>585</x:v>
      </x:c>
      <x:c r="B599" s="40" t="n">
        <x:v>0.47901845731392256</x:v>
      </x:c>
      <x:c r="C599" t="n">
        <x:f>LOOKUP(B599,$E$4:$E$9,$A$4:$A$9)</x:f>
        <x:v>2</x:v>
      </x:c>
    </x:row>
    <x:row r="600">
      <x:c r="A600" t="n">
        <x:v>586</x:v>
      </x:c>
      <x:c r="B600" s="40" t="n">
        <x:v>0.25730476499136434</x:v>
      </x:c>
      <x:c r="C600" t="n">
        <x:f>LOOKUP(B600,$E$4:$E$9,$A$4:$A$9)</x:f>
        <x:v>2</x:v>
      </x:c>
    </x:row>
    <x:row r="601">
      <x:c r="A601" t="n">
        <x:v>587</x:v>
      </x:c>
      <x:c r="B601" s="40" t="n">
        <x:v>0.003494981109347095</x:v>
      </x:c>
      <x:c r="C601" t="n">
        <x:f>LOOKUP(B601,$E$4:$E$9,$A$4:$A$9)</x:f>
        <x:v>0</x:v>
      </x:c>
    </x:row>
    <x:row r="602">
      <x:c r="A602" t="n">
        <x:v>588</x:v>
      </x:c>
      <x:c r="B602" s="40" t="n">
        <x:v>0.966737574672076</x:v>
      </x:c>
      <x:c r="C602" t="n">
        <x:f>LOOKUP(B602,$E$4:$E$9,$A$4:$A$9)</x:f>
        <x:v>5</x:v>
      </x:c>
    </x:row>
    <x:row r="603">
      <x:c r="A603" t="n">
        <x:v>589</x:v>
      </x:c>
      <x:c r="B603" s="40" t="n">
        <x:v>0.8638485618518413</x:v>
      </x:c>
      <x:c r="C603" t="n">
        <x:f>LOOKUP(B603,$E$4:$E$9,$A$4:$A$9)</x:f>
        <x:v>4</x:v>
      </x:c>
    </x:row>
    <x:row r="604">
      <x:c r="A604" t="n">
        <x:v>590</x:v>
      </x:c>
      <x:c r="B604" s="40" t="n">
        <x:v>0.5136986184699268</x:v>
      </x:c>
      <x:c r="C604" t="n">
        <x:f>LOOKUP(B604,$E$4:$E$9,$A$4:$A$9)</x:f>
        <x:v>3</x:v>
      </x:c>
    </x:row>
    <x:row r="605">
      <x:c r="A605" t="n">
        <x:v>591</x:v>
      </x:c>
      <x:c r="B605" s="40" t="n">
        <x:v>0.2541522881190068</x:v>
      </x:c>
      <x:c r="C605" t="n">
        <x:f>LOOKUP(B605,$E$4:$E$9,$A$4:$A$9)</x:f>
        <x:v>2</x:v>
      </x:c>
    </x:row>
    <x:row r="606">
      <x:c r="A606" t="n">
        <x:v>592</x:v>
      </x:c>
      <x:c r="B606" s="40" t="n">
        <x:v>0.6929752101992367</x:v>
      </x:c>
      <x:c r="C606" t="n">
        <x:f>LOOKUP(B606,$E$4:$E$9,$A$4:$A$9)</x:f>
        <x:v>3</x:v>
      </x:c>
    </x:row>
    <x:row r="607">
      <x:c r="A607" t="n">
        <x:v>593</x:v>
      </x:c>
      <x:c r="B607" s="40" t="n">
        <x:v>0.4348010845499275</x:v>
      </x:c>
      <x:c r="C607" t="n">
        <x:f>LOOKUP(B607,$E$4:$E$9,$A$4:$A$9)</x:f>
        <x:v>2</x:v>
      </x:c>
    </x:row>
    <x:row r="608">
      <x:c r="A608" t="n">
        <x:v>594</x:v>
      </x:c>
      <x:c r="B608" s="40" t="n">
        <x:v>0.8033495334226994</x:v>
      </x:c>
      <x:c r="C608" t="n">
        <x:f>LOOKUP(B608,$E$4:$E$9,$A$4:$A$9)</x:f>
        <x:v>4</x:v>
      </x:c>
    </x:row>
    <x:row r="609">
      <x:c r="A609" t="n">
        <x:v>595</x:v>
      </x:c>
      <x:c r="B609" s="40" t="n">
        <x:v>0.9995181101809494</x:v>
      </x:c>
      <x:c r="C609" t="n">
        <x:f>LOOKUP(B609,$E$4:$E$9,$A$4:$A$9)</x:f>
        <x:v>5</x:v>
      </x:c>
    </x:row>
    <x:row r="610">
      <x:c r="A610" t="n">
        <x:v>596</x:v>
      </x:c>
      <x:c r="B610" s="40" t="n">
        <x:v>0.3490826074898701</x:v>
      </x:c>
      <x:c r="C610" t="n">
        <x:f>LOOKUP(B610,$E$4:$E$9,$A$4:$A$9)</x:f>
        <x:v>2</x:v>
      </x:c>
    </x:row>
    <x:row r="611">
      <x:c r="A611" t="n">
        <x:v>597</x:v>
      </x:c>
      <x:c r="B611" s="40" t="n">
        <x:v>0.24440304347804775</x:v>
      </x:c>
      <x:c r="C611" t="n">
        <x:f>LOOKUP(B611,$E$4:$E$9,$A$4:$A$9)</x:f>
        <x:v>1</x:v>
      </x:c>
    </x:row>
    <x:row r="612">
      <x:c r="A612" t="n">
        <x:v>598</x:v>
      </x:c>
      <x:c r="B612" s="40" t="n">
        <x:v>0.26738248879475823</x:v>
      </x:c>
      <x:c r="C612" t="n">
        <x:f>LOOKUP(B612,$E$4:$E$9,$A$4:$A$9)</x:f>
        <x:v>2</x:v>
      </x:c>
    </x:row>
    <x:row r="613">
      <x:c r="A613" t="n">
        <x:v>599</x:v>
      </x:c>
      <x:c r="B613" s="40" t="n">
        <x:v>0.09334624568067196</x:v>
      </x:c>
      <x:c r="C613" t="n">
        <x:f>LOOKUP(B613,$E$4:$E$9,$A$4:$A$9)</x:f>
        <x:v>1</x:v>
      </x:c>
    </x:row>
    <x:row r="614">
      <x:c r="A614" t="n">
        <x:v>600</x:v>
      </x:c>
      <x:c r="B614" s="40" t="n">
        <x:v>0.3940461965001554</x:v>
      </x:c>
      <x:c r="C614" t="n">
        <x:f>LOOKUP(B614,$E$4:$E$9,$A$4:$A$9)</x:f>
        <x:v>2</x:v>
      </x:c>
    </x:row>
    <x:row r="615">
      <x:c r="A615" t="n">
        <x:v>601</x:v>
      </x:c>
      <x:c r="B615" s="40" t="n">
        <x:v>0.017425052716909306</x:v>
      </x:c>
      <x:c r="C615" t="n">
        <x:f>LOOKUP(B615,$E$4:$E$9,$A$4:$A$9)</x:f>
        <x:v>0</x:v>
      </x:c>
    </x:row>
    <x:row r="616">
      <x:c r="A616" t="n">
        <x:v>602</x:v>
      </x:c>
      <x:c r="B616" s="40" t="n">
        <x:v>0.1143955574012756</x:v>
      </x:c>
      <x:c r="C616" t="n">
        <x:f>LOOKUP(B616,$E$4:$E$9,$A$4:$A$9)</x:f>
        <x:v>1</x:v>
      </x:c>
    </x:row>
    <x:row r="617">
      <x:c r="A617" t="n">
        <x:v>603</x:v>
      </x:c>
      <x:c r="B617" s="40" t="n">
        <x:v>0.2716957472726703</x:v>
      </x:c>
      <x:c r="C617" t="n">
        <x:f>LOOKUP(B617,$E$4:$E$9,$A$4:$A$9)</x:f>
        <x:v>2</x:v>
      </x:c>
    </x:row>
    <x:row r="618">
      <x:c r="A618" t="n">
        <x:v>604</x:v>
      </x:c>
      <x:c r="B618" s="40" t="n">
        <x:v>0.15986277590948073</x:v>
      </x:c>
      <x:c r="C618" t="n">
        <x:f>LOOKUP(B618,$E$4:$E$9,$A$4:$A$9)</x:f>
        <x:v>1</x:v>
      </x:c>
    </x:row>
    <x:row r="619">
      <x:c r="A619" t="n">
        <x:v>605</x:v>
      </x:c>
      <x:c r="B619" s="40" t="n">
        <x:v>0.7321590995007252</x:v>
      </x:c>
      <x:c r="C619" t="n">
        <x:f>LOOKUP(B619,$E$4:$E$9,$A$4:$A$9)</x:f>
        <x:v>3</x:v>
      </x:c>
    </x:row>
    <x:row r="620">
      <x:c r="A620" t="n">
        <x:v>606</x:v>
      </x:c>
      <x:c r="B620" s="40" t="n">
        <x:v>0.10560479086790031</x:v>
      </x:c>
      <x:c r="C620" t="n">
        <x:f>LOOKUP(B620,$E$4:$E$9,$A$4:$A$9)</x:f>
        <x:v>1</x:v>
      </x:c>
    </x:row>
    <x:row r="621">
      <x:c r="A621" t="n">
        <x:v>607</x:v>
      </x:c>
      <x:c r="B621" s="40" t="n">
        <x:v>0.8659941050245247</x:v>
      </x:c>
      <x:c r="C621" t="n">
        <x:f>LOOKUP(B621,$E$4:$E$9,$A$4:$A$9)</x:f>
        <x:v>4</x:v>
      </x:c>
    </x:row>
    <x:row r="622">
      <x:c r="A622" t="n">
        <x:v>608</x:v>
      </x:c>
      <x:c r="B622" s="40" t="n">
        <x:v>0.22111450371095287</x:v>
      </x:c>
      <x:c r="C622" t="n">
        <x:f>LOOKUP(B622,$E$4:$E$9,$A$4:$A$9)</x:f>
        <x:v>1</x:v>
      </x:c>
    </x:row>
    <x:row r="623">
      <x:c r="A623" t="n">
        <x:v>609</x:v>
      </x:c>
      <x:c r="B623" s="40" t="n">
        <x:v>0.10859061697156769</x:v>
      </x:c>
      <x:c r="C623" t="n">
        <x:f>LOOKUP(B623,$E$4:$E$9,$A$4:$A$9)</x:f>
        <x:v>1</x:v>
      </x:c>
    </x:row>
    <x:row r="624">
      <x:c r="A624" t="n">
        <x:v>610</x:v>
      </x:c>
      <x:c r="B624" s="40" t="n">
        <x:v>0.010106644431258527</x:v>
      </x:c>
      <x:c r="C624" t="n">
        <x:f>LOOKUP(B624,$E$4:$E$9,$A$4:$A$9)</x:f>
        <x:v>0</x:v>
      </x:c>
    </x:row>
    <x:row r="625">
      <x:c r="A625" t="n">
        <x:v>611</x:v>
      </x:c>
      <x:c r="B625" s="40" t="n">
        <x:v>0.7152050043221464</x:v>
      </x:c>
      <x:c r="C625" t="n">
        <x:f>LOOKUP(B625,$E$4:$E$9,$A$4:$A$9)</x:f>
        <x:v>3</x:v>
      </x:c>
    </x:row>
    <x:row r="626">
      <x:c r="A626" t="n">
        <x:v>612</x:v>
      </x:c>
      <x:c r="B626" s="40" t="n">
        <x:v>0.256616745938542</x:v>
      </x:c>
      <x:c r="C626" t="n">
        <x:f>LOOKUP(B626,$E$4:$E$9,$A$4:$A$9)</x:f>
        <x:v>2</x:v>
      </x:c>
    </x:row>
    <x:row r="627">
      <x:c r="A627" t="n">
        <x:v>613</x:v>
      </x:c>
      <x:c r="B627" s="40" t="n">
        <x:v>0.5094986051377748</x:v>
      </x:c>
      <x:c r="C627" t="n">
        <x:f>LOOKUP(B627,$E$4:$E$9,$A$4:$A$9)</x:f>
        <x:v>3</x:v>
      </x:c>
    </x:row>
    <x:row r="628">
      <x:c r="A628" t="n">
        <x:v>614</x:v>
      </x:c>
      <x:c r="B628" s="40" t="n">
        <x:v>0.11161604667215574</x:v>
      </x:c>
      <x:c r="C628" t="n">
        <x:f>LOOKUP(B628,$E$4:$E$9,$A$4:$A$9)</x:f>
        <x:v>1</x:v>
      </x:c>
    </x:row>
    <x:row r="629">
      <x:c r="A629" t="n">
        <x:v>615</x:v>
      </x:c>
      <x:c r="B629" s="40" t="n">
        <x:v>0.9852959232362493</x:v>
      </x:c>
      <x:c r="C629" t="n">
        <x:f>LOOKUP(B629,$E$4:$E$9,$A$4:$A$9)</x:f>
        <x:v>5</x:v>
      </x:c>
    </x:row>
    <x:row r="630">
      <x:c r="A630" t="n">
        <x:v>616</x:v>
      </x:c>
      <x:c r="B630" s="40" t="n">
        <x:v>0.1253847390699553</x:v>
      </x:c>
      <x:c r="C630" t="n">
        <x:f>LOOKUP(B630,$E$4:$E$9,$A$4:$A$9)</x:f>
        <x:v>1</x:v>
      </x:c>
    </x:row>
    <x:row r="631">
      <x:c r="A631" t="n">
        <x:v>617</x:v>
      </x:c>
      <x:c r="B631" s="40" t="n">
        <x:v>0.4119259266418782</x:v>
      </x:c>
      <x:c r="C631" t="n">
        <x:f>LOOKUP(B631,$E$4:$E$9,$A$4:$A$9)</x:f>
        <x:v>2</x:v>
      </x:c>
    </x:row>
    <x:row r="632">
      <x:c r="A632" t="n">
        <x:v>618</x:v>
      </x:c>
      <x:c r="B632" s="40" t="n">
        <x:v>0.8516495023344659</x:v>
      </x:c>
      <x:c r="C632" t="n">
        <x:f>LOOKUP(B632,$E$4:$E$9,$A$4:$A$9)</x:f>
        <x:v>4</x:v>
      </x:c>
    </x:row>
    <x:row r="633">
      <x:c r="A633" t="n">
        <x:v>619</x:v>
      </x:c>
      <x:c r="B633" s="40" t="n">
        <x:v>0.24488694848040682</x:v>
      </x:c>
      <x:c r="C633" t="n">
        <x:f>LOOKUP(B633,$E$4:$E$9,$A$4:$A$9)</x:f>
        <x:v>1</x:v>
      </x:c>
    </x:row>
    <x:row r="634">
      <x:c r="A634" t="n">
        <x:v>620</x:v>
      </x:c>
      <x:c r="B634" s="40" t="n">
        <x:v>0.2669717853461734</x:v>
      </x:c>
      <x:c r="C634" t="n">
        <x:f>LOOKUP(B634,$E$4:$E$9,$A$4:$A$9)</x:f>
        <x:v>2</x:v>
      </x:c>
    </x:row>
    <x:row r="635">
      <x:c r="A635" t="n">
        <x:v>621</x:v>
      </x:c>
      <x:c r="B635" s="40" t="n">
        <x:v>0.8084995158907329</x:v>
      </x:c>
      <x:c r="C635" t="n">
        <x:f>LOOKUP(B635,$E$4:$E$9,$A$4:$A$9)</x:f>
        <x:v>4</x:v>
      </x:c>
    </x:row>
    <x:row r="636">
      <x:c r="A636" t="n">
        <x:v>622</x:v>
      </x:c>
      <x:c r="B636" s="40" t="n">
        <x:v>0.2733396571920127</x:v>
      </x:c>
      <x:c r="C636" t="n">
        <x:f>LOOKUP(B636,$E$4:$E$9,$A$4:$A$9)</x:f>
        <x:v>2</x:v>
      </x:c>
    </x:row>
    <x:row r="637">
      <x:c r="A637" t="n">
        <x:v>623</x:v>
      </x:c>
      <x:c r="B637" s="40" t="n">
        <x:v>0.0028713110948129783</x:v>
      </x:c>
      <x:c r="C637" t="n">
        <x:f>LOOKUP(B637,$E$4:$E$9,$A$4:$A$9)</x:f>
        <x:v>0</x:v>
      </x:c>
    </x:row>
    <x:row r="638">
      <x:c r="A638" t="n">
        <x:v>624</x:v>
      </x:c>
      <x:c r="B638" s="40" t="n">
        <x:v>0.4279137204899498</x:v>
      </x:c>
      <x:c r="C638" t="n">
        <x:f>LOOKUP(B638,$E$4:$E$9,$A$4:$A$9)</x:f>
        <x:v>2</x:v>
      </x:c>
    </x:row>
    <x:row r="639">
      <x:c r="A639" t="n">
        <x:v>625</x:v>
      </x:c>
      <x:c r="B639" s="40" t="n">
        <x:v>0.01253520967847499</x:v>
      </x:c>
      <x:c r="C639" t="n">
        <x:f>LOOKUP(B639,$E$4:$E$9,$A$4:$A$9)</x:f>
        <x:v>0</x:v>
      </x:c>
    </x:row>
    <x:row r="640">
      <x:c r="A640" t="n">
        <x:v>626</x:v>
      </x:c>
      <x:c r="B640" s="40" t="n">
        <x:v>0.9097922838293668</x:v>
      </x:c>
      <x:c r="C640" t="n">
        <x:f>LOOKUP(B640,$E$4:$E$9,$A$4:$A$9)</x:f>
        <x:v>5</x:v>
      </x:c>
    </x:row>
    <x:row r="641">
      <x:c r="A641" t="n">
        <x:v>627</x:v>
      </x:c>
      <x:c r="B641" s="40" t="n">
        <x:v>0.6418132241792209</x:v>
      </x:c>
      <x:c r="C641" t="n">
        <x:f>LOOKUP(B641,$E$4:$E$9,$A$4:$A$9)</x:f>
        <x:v>3</x:v>
      </x:c>
    </x:row>
    <x:row r="642">
      <x:c r="A642" t="n">
        <x:v>628</x:v>
      </x:c>
      <x:c r="B642" s="40" t="n">
        <x:v>0.5830142662212422</x:v>
      </x:c>
      <x:c r="C642" t="n">
        <x:f>LOOKUP(B642,$E$4:$E$9,$A$4:$A$9)</x:f>
        <x:v>3</x:v>
      </x:c>
    </x:row>
    <x:row r="643">
      <x:c r="A643" t="n">
        <x:v>629</x:v>
      </x:c>
      <x:c r="B643" s="40" t="n">
        <x:v>0.2015895108623631</x:v>
      </x:c>
      <x:c r="C643" t="n">
        <x:f>LOOKUP(B643,$E$4:$E$9,$A$4:$A$9)</x:f>
        <x:v>1</x:v>
      </x:c>
    </x:row>
    <x:row r="644">
      <x:c r="A644" t="n">
        <x:v>630</x:v>
      </x:c>
      <x:c r="B644" s="40" t="n">
        <x:v>0.6999461854286363</x:v>
      </x:c>
      <x:c r="C644" t="n">
        <x:f>LOOKUP(B644,$E$4:$E$9,$A$4:$A$9)</x:f>
        <x:v>3</x:v>
      </x:c>
    </x:row>
    <x:row r="645">
      <x:c r="A645" t="n">
        <x:v>631</x:v>
      </x:c>
      <x:c r="B645" s="40" t="n">
        <x:v>0.6772546436783458</x:v>
      </x:c>
      <x:c r="C645" t="n">
        <x:f>LOOKUP(B645,$E$4:$E$9,$A$4:$A$9)</x:f>
        <x:v>3</x:v>
      </x:c>
    </x:row>
    <x:row r="646">
      <x:c r="A646" t="n">
        <x:v>632</x:v>
      </x:c>
      <x:c r="B646" s="40" t="n">
        <x:v>0.060463573925364944</x:v>
      </x:c>
      <x:c r="C646" t="n">
        <x:f>LOOKUP(B646,$E$4:$E$9,$A$4:$A$9)</x:f>
        <x:v>0</x:v>
      </x:c>
    </x:row>
    <x:row r="647">
      <x:c r="A647" t="n">
        <x:v>633</x:v>
      </x:c>
      <x:c r="B647" s="40" t="n">
        <x:v>0.8808465308105725</x:v>
      </x:c>
      <x:c r="C647" t="n">
        <x:f>LOOKUP(B647,$E$4:$E$9,$A$4:$A$9)</x:f>
        <x:v>4</x:v>
      </x:c>
    </x:row>
    <x:row r="648">
      <x:c r="A648" t="n">
        <x:v>634</x:v>
      </x:c>
      <x:c r="B648" s="40" t="n">
        <x:v>0.5794133629298055</x:v>
      </x:c>
      <x:c r="C648" t="n">
        <x:f>LOOKUP(B648,$E$4:$E$9,$A$4:$A$9)</x:f>
        <x:v>3</x:v>
      </x:c>
    </x:row>
    <x:row r="649">
      <x:c r="A649" t="n">
        <x:v>635</x:v>
      </x:c>
      <x:c r="B649" s="40" t="n">
        <x:v>0.7924668810386102</x:v>
      </x:c>
      <x:c r="C649" t="n">
        <x:f>LOOKUP(B649,$E$4:$E$9,$A$4:$A$9)</x:f>
        <x:v>4</x:v>
      </x:c>
    </x:row>
    <x:row r="650">
      <x:c r="A650" t="n">
        <x:v>636</x:v>
      </x:c>
      <x:c r="B650" s="40" t="n">
        <x:v>0.2629140721288442</x:v>
      </x:c>
      <x:c r="C650" t="n">
        <x:f>LOOKUP(B650,$E$4:$E$9,$A$4:$A$9)</x:f>
        <x:v>2</x:v>
      </x:c>
    </x:row>
    <x:row r="651">
      <x:c r="A651" t="n">
        <x:v>637</x:v>
      </x:c>
      <x:c r="B651" s="40" t="n">
        <x:v>0.12204779975345414</x:v>
      </x:c>
      <x:c r="C651" t="n">
        <x:f>LOOKUP(B651,$E$4:$E$9,$A$4:$A$9)</x:f>
        <x:v>1</x:v>
      </x:c>
    </x:row>
    <x:row r="652">
      <x:c r="A652" t="n">
        <x:v>638</x:v>
      </x:c>
      <x:c r="B652" s="40" t="n">
        <x:v>0.7024495731867846</x:v>
      </x:c>
      <x:c r="C652" t="n">
        <x:f>LOOKUP(B652,$E$4:$E$9,$A$4:$A$9)</x:f>
        <x:v>3</x:v>
      </x:c>
    </x:row>
    <x:row r="653">
      <x:c r="A653" t="n">
        <x:v>639</x:v>
      </x:c>
      <x:c r="B653" s="40" t="n">
        <x:v>0.7938826862551621</x:v>
      </x:c>
      <x:c r="C653" t="n">
        <x:f>LOOKUP(B653,$E$4:$E$9,$A$4:$A$9)</x:f>
        <x:v>4</x:v>
      </x:c>
    </x:row>
    <x:row r="654">
      <x:c r="A654" t="n">
        <x:v>640</x:v>
      </x:c>
      <x:c r="B654" s="40" t="n">
        <x:v>0.3860335336192914</x:v>
      </x:c>
      <x:c r="C654" t="n">
        <x:f>LOOKUP(B654,$E$4:$E$9,$A$4:$A$9)</x:f>
        <x:v>2</x:v>
      </x:c>
    </x:row>
    <x:row r="655">
      <x:c r="A655" t="n">
        <x:v>641</x:v>
      </x:c>
      <x:c r="B655" s="40" t="n">
        <x:v>0.02369227531631124</x:v>
      </x:c>
      <x:c r="C655" t="n">
        <x:f>LOOKUP(B655,$E$4:$E$9,$A$4:$A$9)</x:f>
        <x:v>0</x:v>
      </x:c>
    </x:row>
    <x:row r="656">
      <x:c r="A656" t="n">
        <x:v>642</x:v>
      </x:c>
      <x:c r="B656" s="40" t="n">
        <x:v>0.8182540246538645</x:v>
      </x:c>
      <x:c r="C656" t="n">
        <x:f>LOOKUP(B656,$E$4:$E$9,$A$4:$A$9)</x:f>
        <x:v>4</x:v>
      </x:c>
    </x:row>
    <x:row r="657">
      <x:c r="A657" t="n">
        <x:v>643</x:v>
      </x:c>
      <x:c r="B657" s="40" t="n">
        <x:v>0.20609390633044067</x:v>
      </x:c>
      <x:c r="C657" t="n">
        <x:f>LOOKUP(B657,$E$4:$E$9,$A$4:$A$9)</x:f>
        <x:v>1</x:v>
      </x:c>
    </x:row>
    <x:row r="658">
      <x:c r="A658" t="n">
        <x:v>644</x:v>
      </x:c>
      <x:c r="B658" s="40" t="n">
        <x:v>0.3390319418974882</x:v>
      </x:c>
      <x:c r="C658" t="n">
        <x:f>LOOKUP(B658,$E$4:$E$9,$A$4:$A$9)</x:f>
        <x:v>2</x:v>
      </x:c>
    </x:row>
    <x:row r="659">
      <x:c r="A659" t="n">
        <x:v>645</x:v>
      </x:c>
      <x:c r="B659" s="40" t="n">
        <x:v>0.6282310077771303</x:v>
      </x:c>
      <x:c r="C659" t="n">
        <x:f>LOOKUP(B659,$E$4:$E$9,$A$4:$A$9)</x:f>
        <x:v>3</x:v>
      </x:c>
    </x:row>
    <x:row r="660">
      <x:c r="A660" t="n">
        <x:v>646</x:v>
      </x:c>
      <x:c r="B660" s="40" t="n">
        <x:v>0.09995471921130272</x:v>
      </x:c>
      <x:c r="C660" t="n">
        <x:f>LOOKUP(B660,$E$4:$E$9,$A$4:$A$9)</x:f>
        <x:v>1</x:v>
      </x:c>
    </x:row>
    <x:row r="661">
      <x:c r="A661" t="n">
        <x:v>647</x:v>
      </x:c>
      <x:c r="B661" s="40" t="n">
        <x:v>0.07199576613846315</x:v>
      </x:c>
      <x:c r="C661" t="n">
        <x:f>LOOKUP(B661,$E$4:$E$9,$A$4:$A$9)</x:f>
        <x:v>0</x:v>
      </x:c>
    </x:row>
    <x:row r="662">
      <x:c r="A662" t="n">
        <x:v>648</x:v>
      </x:c>
      <x:c r="B662" s="40" t="n">
        <x:v>0.02570377157527426</x:v>
      </x:c>
      <x:c r="C662" t="n">
        <x:f>LOOKUP(B662,$E$4:$E$9,$A$4:$A$9)</x:f>
        <x:v>0</x:v>
      </x:c>
    </x:row>
    <x:row r="663">
      <x:c r="A663" t="n">
        <x:v>649</x:v>
      </x:c>
      <x:c r="B663" s="40" t="n">
        <x:v>0.9166398602394554</x:v>
      </x:c>
      <x:c r="C663" t="n">
        <x:f>LOOKUP(B663,$E$4:$E$9,$A$4:$A$9)</x:f>
        <x:v>5</x:v>
      </x:c>
    </x:row>
    <x:row r="664">
      <x:c r="A664" t="n">
        <x:v>650</x:v>
      </x:c>
      <x:c r="B664" s="40" t="n">
        <x:v>0.31138274426865564</x:v>
      </x:c>
      <x:c r="C664" t="n">
        <x:f>LOOKUP(B664,$E$4:$E$9,$A$4:$A$9)</x:f>
        <x:v>2</x:v>
      </x:c>
    </x:row>
    <x:row r="665">
      <x:c r="A665" t="n">
        <x:v>651</x:v>
      </x:c>
      <x:c r="B665" s="40" t="n">
        <x:v>0.6606588151171319</x:v>
      </x:c>
      <x:c r="C665" t="n">
        <x:f>LOOKUP(B665,$E$4:$E$9,$A$4:$A$9)</x:f>
        <x:v>3</x:v>
      </x:c>
    </x:row>
    <x:row r="666">
      <x:c r="A666" t="n">
        <x:v>652</x:v>
      </x:c>
      <x:c r="B666" s="40" t="n">
        <x:v>0.9892352490177422</x:v>
      </x:c>
      <x:c r="C666" t="n">
        <x:f>LOOKUP(B666,$E$4:$E$9,$A$4:$A$9)</x:f>
        <x:v>5</x:v>
      </x:c>
    </x:row>
    <x:row r="667">
      <x:c r="A667" t="n">
        <x:v>653</x:v>
      </x:c>
      <x:c r="B667" s="40" t="n">
        <x:v>0.6694507935619435</x:v>
      </x:c>
      <x:c r="C667" t="n">
        <x:f>LOOKUP(B667,$E$4:$E$9,$A$4:$A$9)</x:f>
        <x:v>3</x:v>
      </x:c>
    </x:row>
    <x:row r="668">
      <x:c r="A668" t="n">
        <x:v>654</x:v>
      </x:c>
      <x:c r="B668" s="40" t="n">
        <x:v>0.52509479585618</x:v>
      </x:c>
      <x:c r="C668" t="n">
        <x:f>LOOKUP(B668,$E$4:$E$9,$A$4:$A$9)</x:f>
        <x:v>3</x:v>
      </x:c>
    </x:row>
    <x:row r="669">
      <x:c r="A669" t="n">
        <x:v>655</x:v>
      </x:c>
      <x:c r="B669" s="40" t="n">
        <x:v>0.5209199335172385</x:v>
      </x:c>
      <x:c r="C669" t="n">
        <x:f>LOOKUP(B669,$E$4:$E$9,$A$4:$A$9)</x:f>
        <x:v>3</x:v>
      </x:c>
    </x:row>
    <x:row r="670">
      <x:c r="A670" t="n">
        <x:v>656</x:v>
      </x:c>
      <x:c r="B670" s="40" t="n">
        <x:v>0.3769171484555517</x:v>
      </x:c>
      <x:c r="C670" t="n">
        <x:f>LOOKUP(B670,$E$4:$E$9,$A$4:$A$9)</x:f>
        <x:v>2</x:v>
      </x:c>
    </x:row>
    <x:row r="671">
      <x:c r="A671" t="n">
        <x:v>657</x:v>
      </x:c>
      <x:c r="B671" s="40" t="n">
        <x:v>0.5997796559550853</x:v>
      </x:c>
      <x:c r="C671" t="n">
        <x:f>LOOKUP(B671,$E$4:$E$9,$A$4:$A$9)</x:f>
        <x:v>3</x:v>
      </x:c>
    </x:row>
    <x:row r="672">
      <x:c r="A672" t="n">
        <x:v>658</x:v>
      </x:c>
      <x:c r="B672" s="40" t="n">
        <x:v>0.9587913895457043</x:v>
      </x:c>
      <x:c r="C672" t="n">
        <x:f>LOOKUP(B672,$E$4:$E$9,$A$4:$A$9)</x:f>
        <x:v>5</x:v>
      </x:c>
    </x:row>
    <x:row r="673">
      <x:c r="A673" t="n">
        <x:v>659</x:v>
      </x:c>
      <x:c r="B673" s="40" t="n">
        <x:v>0.7880440336983101</x:v>
      </x:c>
      <x:c r="C673" t="n">
        <x:f>LOOKUP(B673,$E$4:$E$9,$A$4:$A$9)</x:f>
        <x:v>4</x:v>
      </x:c>
    </x:row>
    <x:row r="674">
      <x:c r="A674" t="n">
        <x:v>660</x:v>
      </x:c>
      <x:c r="B674" s="40" t="n">
        <x:v>0.4242266170332375</x:v>
      </x:c>
      <x:c r="C674" t="n">
        <x:f>LOOKUP(B674,$E$4:$E$9,$A$4:$A$9)</x:f>
        <x:v>2</x:v>
      </x:c>
    </x:row>
    <x:row r="675">
      <x:c r="A675" t="n">
        <x:v>661</x:v>
      </x:c>
      <x:c r="B675" s="40" t="n">
        <x:v>0.33244482903253325</x:v>
      </x:c>
      <x:c r="C675" t="n">
        <x:f>LOOKUP(B675,$E$4:$E$9,$A$4:$A$9)</x:f>
        <x:v>2</x:v>
      </x:c>
    </x:row>
    <x:row r="676">
      <x:c r="A676" t="n">
        <x:v>662</x:v>
      </x:c>
      <x:c r="B676" s="40" t="n">
        <x:v>0.8835315296231214</x:v>
      </x:c>
      <x:c r="C676" t="n">
        <x:f>LOOKUP(B676,$E$4:$E$9,$A$4:$A$9)</x:f>
        <x:v>4</x:v>
      </x:c>
    </x:row>
    <x:row r="677">
      <x:c r="A677" t="n">
        <x:v>663</x:v>
      </x:c>
      <x:c r="B677" s="40" t="n">
        <x:v>0.1357858256265938</x:v>
      </x:c>
      <x:c r="C677" t="n">
        <x:f>LOOKUP(B677,$E$4:$E$9,$A$4:$A$9)</x:f>
        <x:v>1</x:v>
      </x:c>
    </x:row>
    <x:row r="678">
      <x:c r="A678" t="n">
        <x:v>664</x:v>
      </x:c>
      <x:c r="B678" s="40" t="n">
        <x:v>0.8495852569643018</x:v>
      </x:c>
      <x:c r="C678" t="n">
        <x:f>LOOKUP(B678,$E$4:$E$9,$A$4:$A$9)</x:f>
        <x:v>4</x:v>
      </x:c>
    </x:row>
    <x:row r="679">
      <x:c r="A679" t="n">
        <x:v>665</x:v>
      </x:c>
      <x:c r="B679" s="40" t="n">
        <x:v>0.25507676134233237</x:v>
      </x:c>
      <x:c r="C679" t="n">
        <x:f>LOOKUP(B679,$E$4:$E$9,$A$4:$A$9)</x:f>
        <x:v>2</x:v>
      </x:c>
    </x:row>
    <x:row r="680">
      <x:c r="A680" t="n">
        <x:v>666</x:v>
      </x:c>
      <x:c r="B680" s="40" t="n">
        <x:v>0.7156292357759177</x:v>
      </x:c>
      <x:c r="C680" t="n">
        <x:f>LOOKUP(B680,$E$4:$E$9,$A$4:$A$9)</x:f>
        <x:v>3</x:v>
      </x:c>
    </x:row>
    <x:row r="681">
      <x:c r="A681" t="n">
        <x:v>667</x:v>
      </x:c>
      <x:c r="B681" s="40" t="n">
        <x:v>0.80622058077483</x:v>
      </x:c>
      <x:c r="C681" t="n">
        <x:f>LOOKUP(B681,$E$4:$E$9,$A$4:$A$9)</x:f>
        <x:v>4</x:v>
      </x:c>
    </x:row>
    <x:row r="682">
      <x:c r="A682" t="n">
        <x:v>668</x:v>
      </x:c>
      <x:c r="B682" s="40" t="n">
        <x:v>0.4769965172634726</x:v>
      </x:c>
      <x:c r="C682" t="n">
        <x:f>LOOKUP(B682,$E$4:$E$9,$A$4:$A$9)</x:f>
        <x:v>2</x:v>
      </x:c>
    </x:row>
    <x:row r="683">
      <x:c r="A683" t="n">
        <x:v>669</x:v>
      </x:c>
      <x:c r="B683" s="40" t="n">
        <x:v>0.19228397614227433</x:v>
      </x:c>
      <x:c r="C683" t="n">
        <x:f>LOOKUP(B683,$E$4:$E$9,$A$4:$A$9)</x:f>
        <x:v>1</x:v>
      </x:c>
    </x:row>
    <x:row r="684">
      <x:c r="A684" t="n">
        <x:v>670</x:v>
      </x:c>
      <x:c r="B684" s="40" t="n">
        <x:v>0.8447677434623754</x:v>
      </x:c>
      <x:c r="C684" t="n">
        <x:f>LOOKUP(B684,$E$4:$E$9,$A$4:$A$9)</x:f>
        <x:v>4</x:v>
      </x:c>
    </x:row>
    <x:row r="685">
      <x:c r="A685" t="n">
        <x:v>671</x:v>
      </x:c>
      <x:c r="B685" s="40" t="n">
        <x:v>0.36750834505331476</x:v>
      </x:c>
      <x:c r="C685" t="n">
        <x:f>LOOKUP(B685,$E$4:$E$9,$A$4:$A$9)</x:f>
        <x:v>2</x:v>
      </x:c>
    </x:row>
    <x:row r="686">
      <x:c r="A686" t="n">
        <x:v>672</x:v>
      </x:c>
      <x:c r="B686" s="40" t="n">
        <x:v>0.3206802604825193</x:v>
      </x:c>
      <x:c r="C686" t="n">
        <x:f>LOOKUP(B686,$E$4:$E$9,$A$4:$A$9)</x:f>
        <x:v>2</x:v>
      </x:c>
    </x:row>
    <x:row r="687">
      <x:c r="A687" t="n">
        <x:v>673</x:v>
      </x:c>
      <x:c r="B687" s="40" t="n">
        <x:v>0.5100161823534396</x:v>
      </x:c>
      <x:c r="C687" t="n">
        <x:f>LOOKUP(B687,$E$4:$E$9,$A$4:$A$9)</x:f>
        <x:v>3</x:v>
      </x:c>
    </x:row>
    <x:row r="688">
      <x:c r="A688" t="n">
        <x:v>674</x:v>
      </x:c>
      <x:c r="B688" s="40" t="n">
        <x:v>0.4350862411039177</x:v>
      </x:c>
      <x:c r="C688" t="n">
        <x:f>LOOKUP(B688,$E$4:$E$9,$A$4:$A$9)</x:f>
        <x:v>2</x:v>
      </x:c>
    </x:row>
    <x:row r="689">
      <x:c r="A689" t="n">
        <x:v>675</x:v>
      </x:c>
      <x:c r="B689" s="40" t="n">
        <x:v>0.6830522170387242</x:v>
      </x:c>
      <x:c r="C689" t="n">
        <x:f>LOOKUP(B689,$E$4:$E$9,$A$4:$A$9)</x:f>
        <x:v>3</x:v>
      </x:c>
    </x:row>
    <x:row r="690">
      <x:c r="A690" t="n">
        <x:v>676</x:v>
      </x:c>
      <x:c r="B690" s="40" t="n">
        <x:v>0.13719780837266538</x:v>
      </x:c>
      <x:c r="C690" t="n">
        <x:f>LOOKUP(B690,$E$4:$E$9,$A$4:$A$9)</x:f>
        <x:v>1</x:v>
      </x:c>
    </x:row>
    <x:row r="691">
      <x:c r="A691" t="n">
        <x:v>677</x:v>
      </x:c>
      <x:c r="B691" s="40" t="n">
        <x:v>0.43568965404787297</x:v>
      </x:c>
      <x:c r="C691" t="n">
        <x:f>LOOKUP(B691,$E$4:$E$9,$A$4:$A$9)</x:f>
        <x:v>2</x:v>
      </x:c>
    </x:row>
    <x:row r="692">
      <x:c r="A692" t="n">
        <x:v>678</x:v>
      </x:c>
      <x:c r="B692" s="40" t="n">
        <x:v>0.891701811225204</x:v>
      </x:c>
      <x:c r="C692" t="n">
        <x:f>LOOKUP(B692,$E$4:$E$9,$A$4:$A$9)</x:f>
        <x:v>5</x:v>
      </x:c>
    </x:row>
    <x:row r="693">
      <x:c r="A693" t="n">
        <x:v>679</x:v>
      </x:c>
      <x:c r="B693" s="40" t="n">
        <x:v>0.03606270943972545</x:v>
      </x:c>
      <x:c r="C693" t="n">
        <x:f>LOOKUP(B693,$E$4:$E$9,$A$4:$A$9)</x:f>
        <x:v>0</x:v>
      </x:c>
    </x:row>
    <x:row r="694">
      <x:c r="A694" t="n">
        <x:v>680</x:v>
      </x:c>
      <x:c r="B694" s="40" t="n">
        <x:v>0.4573383331533264</x:v>
      </x:c>
      <x:c r="C694" t="n">
        <x:f>LOOKUP(B694,$E$4:$E$9,$A$4:$A$9)</x:f>
        <x:v>2</x:v>
      </x:c>
    </x:row>
    <x:row r="695">
      <x:c r="A695" t="n">
        <x:v>681</x:v>
      </x:c>
      <x:c r="B695" s="40" t="n">
        <x:v>0.6605319663852102</x:v>
      </x:c>
      <x:c r="C695" t="n">
        <x:f>LOOKUP(B695,$E$4:$E$9,$A$4:$A$9)</x:f>
        <x:v>3</x:v>
      </x:c>
    </x:row>
    <x:row r="696">
      <x:c r="A696" t="n">
        <x:v>682</x:v>
      </x:c>
      <x:c r="B696" s="40" t="n">
        <x:v>0.8877110870419853</x:v>
      </x:c>
      <x:c r="C696" t="n">
        <x:f>LOOKUP(B696,$E$4:$E$9,$A$4:$A$9)</x:f>
        <x:v>4</x:v>
      </x:c>
    </x:row>
    <x:row r="697">
      <x:c r="A697" t="n">
        <x:v>683</x:v>
      </x:c>
      <x:c r="B697" s="40" t="n">
        <x:v>0.5937862269331757</x:v>
      </x:c>
      <x:c r="C697" t="n">
        <x:f>LOOKUP(B697,$E$4:$E$9,$A$4:$A$9)</x:f>
        <x:v>3</x:v>
      </x:c>
    </x:row>
    <x:row r="698">
      <x:c r="A698" t="n">
        <x:v>684</x:v>
      </x:c>
      <x:c r="B698" s="40" t="n">
        <x:v>0.8244842712393285</x:v>
      </x:c>
      <x:c r="C698" t="n">
        <x:f>LOOKUP(B698,$E$4:$E$9,$A$4:$A$9)</x:f>
        <x:v>4</x:v>
      </x:c>
    </x:row>
    <x:row r="699">
      <x:c r="A699" t="n">
        <x:v>685</x:v>
      </x:c>
      <x:c r="B699" s="40" t="n">
        <x:v>0.22269101895928645</x:v>
      </x:c>
      <x:c r="C699" t="n">
        <x:f>LOOKUP(B699,$E$4:$E$9,$A$4:$A$9)</x:f>
        <x:v>1</x:v>
      </x:c>
    </x:row>
    <x:row r="700">
      <x:c r="A700" t="n">
        <x:v>686</x:v>
      </x:c>
      <x:c r="B700" s="40" t="n">
        <x:v>0.35280943622785954</x:v>
      </x:c>
      <x:c r="C700" t="n">
        <x:f>LOOKUP(B700,$E$4:$E$9,$A$4:$A$9)</x:f>
        <x:v>2</x:v>
      </x:c>
    </x:row>
    <x:row r="701">
      <x:c r="A701" t="n">
        <x:v>687</x:v>
      </x:c>
      <x:c r="B701" s="40" t="n">
        <x:v>0.9421322739280427</x:v>
      </x:c>
      <x:c r="C701" t="n">
        <x:f>LOOKUP(B701,$E$4:$E$9,$A$4:$A$9)</x:f>
        <x:v>5</x:v>
      </x:c>
    </x:row>
    <x:row r="702">
      <x:c r="A702" t="n">
        <x:v>688</x:v>
      </x:c>
      <x:c r="B702" s="40" t="n">
        <x:v>0.8859751130926863</x:v>
      </x:c>
      <x:c r="C702" t="n">
        <x:f>LOOKUP(B702,$E$4:$E$9,$A$4:$A$9)</x:f>
        <x:v>4</x:v>
      </x:c>
    </x:row>
    <x:row r="703">
      <x:c r="A703" t="n">
        <x:v>689</x:v>
      </x:c>
      <x:c r="B703" s="40" t="n">
        <x:v>0.5579529826887045</x:v>
      </x:c>
      <x:c r="C703" t="n">
        <x:f>LOOKUP(B703,$E$4:$E$9,$A$4:$A$9)</x:f>
        <x:v>3</x:v>
      </x:c>
    </x:row>
    <x:row r="704">
      <x:c r="A704" t="n">
        <x:v>690</x:v>
      </x:c>
      <x:c r="B704" s="40" t="n">
        <x:v>0.47548833779484523</x:v>
      </x:c>
      <x:c r="C704" t="n">
        <x:f>LOOKUP(B704,$E$4:$E$9,$A$4:$A$9)</x:f>
        <x:v>2</x:v>
      </x:c>
    </x:row>
    <x:row r="705">
      <x:c r="A705" t="n">
        <x:v>691</x:v>
      </x:c>
      <x:c r="B705" s="40" t="n">
        <x:v>0.4510673914544585</x:v>
      </x:c>
      <x:c r="C705" t="n">
        <x:f>LOOKUP(B705,$E$4:$E$9,$A$4:$A$9)</x:f>
        <x:v>2</x:v>
      </x:c>
    </x:row>
    <x:row r="706">
      <x:c r="A706" t="n">
        <x:v>692</x:v>
      </x:c>
      <x:c r="B706" s="40" t="n">
        <x:v>0.05878966156701604</x:v>
      </x:c>
      <x:c r="C706" t="n">
        <x:f>LOOKUP(B706,$E$4:$E$9,$A$4:$A$9)</x:f>
        <x:v>0</x:v>
      </x:c>
    </x:row>
    <x:row r="707">
      <x:c r="A707" t="n">
        <x:v>693</x:v>
      </x:c>
      <x:c r="B707" s="40" t="n">
        <x:v>0.8923771039565669</x:v>
      </x:c>
      <x:c r="C707" t="n">
        <x:f>LOOKUP(B707,$E$4:$E$9,$A$4:$A$9)</x:f>
        <x:v>5</x:v>
      </x:c>
    </x:row>
    <x:row r="708">
      <x:c r="A708" t="n">
        <x:v>694</x:v>
      </x:c>
      <x:c r="B708" s="40" t="n">
        <x:v>0.8181495084153355</x:v>
      </x:c>
      <x:c r="C708" t="n">
        <x:f>LOOKUP(B708,$E$4:$E$9,$A$4:$A$9)</x:f>
        <x:v>4</x:v>
      </x:c>
    </x:row>
    <x:row r="709">
      <x:c r="A709" t="n">
        <x:v>695</x:v>
      </x:c>
      <x:c r="B709" s="40" t="n">
        <x:v>0.4562511447278671</x:v>
      </x:c>
      <x:c r="C709" t="n">
        <x:f>LOOKUP(B709,$E$4:$E$9,$A$4:$A$9)</x:f>
        <x:v>2</x:v>
      </x:c>
    </x:row>
    <x:row r="710">
      <x:c r="A710" t="n">
        <x:v>696</x:v>
      </x:c>
      <x:c r="B710" s="40" t="n">
        <x:v>0.2794399727194734</x:v>
      </x:c>
      <x:c r="C710" t="n">
        <x:f>LOOKUP(B710,$E$4:$E$9,$A$4:$A$9)</x:f>
        <x:v>2</x:v>
      </x:c>
    </x:row>
    <x:row r="711">
      <x:c r="A711" t="n">
        <x:v>697</x:v>
      </x:c>
      <x:c r="B711" s="40" t="n">
        <x:v>0.34292060642653055</x:v>
      </x:c>
      <x:c r="C711" t="n">
        <x:f>LOOKUP(B711,$E$4:$E$9,$A$4:$A$9)</x:f>
        <x:v>2</x:v>
      </x:c>
    </x:row>
    <x:row r="712">
      <x:c r="A712" t="n">
        <x:v>698</x:v>
      </x:c>
      <x:c r="B712" s="40" t="n">
        <x:v>0.12316058587288947</x:v>
      </x:c>
      <x:c r="C712" t="n">
        <x:f>LOOKUP(B712,$E$4:$E$9,$A$4:$A$9)</x:f>
        <x:v>1</x:v>
      </x:c>
    </x:row>
    <x:row r="713">
      <x:c r="A713" t="n">
        <x:v>699</x:v>
      </x:c>
      <x:c r="B713" s="40" t="n">
        <x:v>0.7217897413057226</x:v>
      </x:c>
      <x:c r="C713" t="n">
        <x:f>LOOKUP(B713,$E$4:$E$9,$A$4:$A$9)</x:f>
        <x:v>3</x:v>
      </x:c>
    </x:row>
    <x:row r="714">
      <x:c r="A714" t="n">
        <x:v>700</x:v>
      </x:c>
      <x:c r="B714" s="40" t="n">
        <x:v>0.5566698565548577</x:v>
      </x:c>
      <x:c r="C714" t="n">
        <x:f>LOOKUP(B714,$E$4:$E$9,$A$4:$A$9)</x:f>
        <x:v>3</x:v>
      </x:c>
    </x:row>
    <x:row r="715">
      <x:c r="A715" t="n">
        <x:v>701</x:v>
      </x:c>
      <x:c r="B715" s="40" t="n">
        <x:v>0.23410342282489494</x:v>
      </x:c>
      <x:c r="C715" t="n">
        <x:f>LOOKUP(B715,$E$4:$E$9,$A$4:$A$9)</x:f>
        <x:v>1</x:v>
      </x:c>
    </x:row>
    <x:row r="716">
      <x:c r="A716" t="n">
        <x:v>702</x:v>
      </x:c>
      <x:c r="B716" s="40" t="n">
        <x:v>0.6230055720776897</x:v>
      </x:c>
      <x:c r="C716" t="n">
        <x:f>LOOKUP(B716,$E$4:$E$9,$A$4:$A$9)</x:f>
        <x:v>3</x:v>
      </x:c>
    </x:row>
    <x:row r="717">
      <x:c r="A717" t="n">
        <x:v>703</x:v>
      </x:c>
      <x:c r="B717" s="40" t="n">
        <x:v>0.9792302142549747</x:v>
      </x:c>
      <x:c r="C717" t="n">
        <x:f>LOOKUP(B717,$E$4:$E$9,$A$4:$A$9)</x:f>
        <x:v>5</x:v>
      </x:c>
    </x:row>
    <x:row r="718">
      <x:c r="A718" t="n">
        <x:v>704</x:v>
      </x:c>
      <x:c r="B718" s="40" t="n">
        <x:v>0.1223951354761792</x:v>
      </x:c>
      <x:c r="C718" t="n">
        <x:f>LOOKUP(B718,$E$4:$E$9,$A$4:$A$9)</x:f>
        <x:v>1</x:v>
      </x:c>
    </x:row>
    <x:row r="719">
      <x:c r="A719" t="n">
        <x:v>705</x:v>
      </x:c>
      <x:c r="B719" s="40" t="n">
        <x:v>0.45848501062532776</x:v>
      </x:c>
      <x:c r="C719" t="n">
        <x:f>LOOKUP(B719,$E$4:$E$9,$A$4:$A$9)</x:f>
        <x:v>2</x:v>
      </x:c>
    </x:row>
    <x:row r="720">
      <x:c r="A720" t="n">
        <x:v>706</x:v>
      </x:c>
      <x:c r="B720" s="40" t="n">
        <x:v>0.4941588209221267</x:v>
      </x:c>
      <x:c r="C720" t="n">
        <x:f>LOOKUP(B720,$E$4:$E$9,$A$4:$A$9)</x:f>
        <x:v>2</x:v>
      </x:c>
    </x:row>
    <x:row r="721">
      <x:c r="A721" t="n">
        <x:v>707</x:v>
      </x:c>
      <x:c r="B721" s="40" t="n">
        <x:v>0.16679721382380241</x:v>
      </x:c>
      <x:c r="C721" t="n">
        <x:f>LOOKUP(B721,$E$4:$E$9,$A$4:$A$9)</x:f>
        <x:v>1</x:v>
      </x:c>
    </x:row>
    <x:row r="722">
      <x:c r="A722" t="n">
        <x:v>708</x:v>
      </x:c>
      <x:c r="B722" s="40" t="n">
        <x:v>0.5315802109973148</x:v>
      </x:c>
      <x:c r="C722" t="n">
        <x:f>LOOKUP(B722,$E$4:$E$9,$A$4:$A$9)</x:f>
        <x:v>3</x:v>
      </x:c>
    </x:row>
    <x:row r="723">
      <x:c r="A723" t="n">
        <x:v>709</x:v>
      </x:c>
      <x:c r="B723" s="40" t="n">
        <x:v>0.60597725854809</x:v>
      </x:c>
      <x:c r="C723" t="n">
        <x:f>LOOKUP(B723,$E$4:$E$9,$A$4:$A$9)</x:f>
        <x:v>3</x:v>
      </x:c>
    </x:row>
    <x:row r="724">
      <x:c r="A724" t="n">
        <x:v>710</x:v>
      </x:c>
      <x:c r="B724" s="40" t="n">
        <x:v>0.1573445388184953</x:v>
      </x:c>
      <x:c r="C724" t="n">
        <x:f>LOOKUP(B724,$E$4:$E$9,$A$4:$A$9)</x:f>
        <x:v>1</x:v>
      </x:c>
    </x:row>
    <x:row r="725">
      <x:c r="A725" t="n">
        <x:v>711</x:v>
      </x:c>
      <x:c r="B725" s="40" t="n">
        <x:v>0.1547238990088764</x:v>
      </x:c>
      <x:c r="C725" t="n">
        <x:f>LOOKUP(B725,$E$4:$E$9,$A$4:$A$9)</x:f>
        <x:v>1</x:v>
      </x:c>
    </x:row>
    <x:row r="726">
      <x:c r="A726" t="n">
        <x:v>712</x:v>
      </x:c>
      <x:c r="B726" s="40" t="n">
        <x:v>0.856348715633756</x:v>
      </x:c>
      <x:c r="C726" t="n">
        <x:f>LOOKUP(B726,$E$4:$E$9,$A$4:$A$9)</x:f>
        <x:v>4</x:v>
      </x:c>
    </x:row>
    <x:row r="727">
      <x:c r="A727" t="n">
        <x:v>713</x:v>
      </x:c>
      <x:c r="B727" s="40" t="n">
        <x:v>0.31138743667004487</x:v>
      </x:c>
      <x:c r="C727" t="n">
        <x:f>LOOKUP(B727,$E$4:$E$9,$A$4:$A$9)</x:f>
        <x:v>2</x:v>
      </x:c>
    </x:row>
    <x:row r="728">
      <x:c r="A728" t="n">
        <x:v>714</x:v>
      </x:c>
      <x:c r="B728" s="40" t="n">
        <x:v>0.630333387078631</x:v>
      </x:c>
      <x:c r="C728" t="n">
        <x:f>LOOKUP(B728,$E$4:$E$9,$A$4:$A$9)</x:f>
        <x:v>3</x:v>
      </x:c>
    </x:row>
    <x:row r="729">
      <x:c r="A729" t="n">
        <x:v>715</x:v>
      </x:c>
      <x:c r="B729" s="40" t="n">
        <x:v>0.6267730756752141</x:v>
      </x:c>
      <x:c r="C729" t="n">
        <x:f>LOOKUP(B729,$E$4:$E$9,$A$4:$A$9)</x:f>
        <x:v>3</x:v>
      </x:c>
    </x:row>
    <x:row r="730">
      <x:c r="A730" t="n">
        <x:v>716</x:v>
      </x:c>
      <x:c r="B730" s="40" t="n">
        <x:v>0.839170875582635</x:v>
      </x:c>
      <x:c r="C730" t="n">
        <x:f>LOOKUP(B730,$E$4:$E$9,$A$4:$A$9)</x:f>
        <x:v>4</x:v>
      </x:c>
    </x:row>
    <x:row r="731">
      <x:c r="A731" t="n">
        <x:v>717</x:v>
      </x:c>
      <x:c r="B731" s="40" t="n">
        <x:v>0.7398946312315234</x:v>
      </x:c>
      <x:c r="C731" t="n">
        <x:f>LOOKUP(B731,$E$4:$E$9,$A$4:$A$9)</x:f>
        <x:v>3</x:v>
      </x:c>
    </x:row>
    <x:row r="732">
      <x:c r="A732" t="n">
        <x:v>718</x:v>
      </x:c>
      <x:c r="B732" s="40" t="n">
        <x:v>0.8405764334382778</x:v>
      </x:c>
      <x:c r="C732" t="n">
        <x:f>LOOKUP(B732,$E$4:$E$9,$A$4:$A$9)</x:f>
        <x:v>4</x:v>
      </x:c>
    </x:row>
    <x:row r="733">
      <x:c r="A733" t="n">
        <x:v>719</x:v>
      </x:c>
      <x:c r="B733" s="40" t="n">
        <x:v>0.6252147896506657</x:v>
      </x:c>
      <x:c r="C733" t="n">
        <x:f>LOOKUP(B733,$E$4:$E$9,$A$4:$A$9)</x:f>
        <x:v>3</x:v>
      </x:c>
    </x:row>
    <x:row r="734">
      <x:c r="A734" t="n">
        <x:v>720</x:v>
      </x:c>
      <x:c r="B734" s="40" t="n">
        <x:v>0.449457160513994</x:v>
      </x:c>
      <x:c r="C734" t="n">
        <x:f>LOOKUP(B734,$E$4:$E$9,$A$4:$A$9)</x:f>
        <x:v>2</x:v>
      </x:c>
    </x:row>
    <x:row r="735">
      <x:c r="A735" t="n">
        <x:v>721</x:v>
      </x:c>
      <x:c r="B735" s="40" t="n">
        <x:v>0.3935665213130747</x:v>
      </x:c>
      <x:c r="C735" t="n">
        <x:f>LOOKUP(B735,$E$4:$E$9,$A$4:$A$9)</x:f>
        <x:v>2</x:v>
      </x:c>
    </x:row>
    <x:row r="736">
      <x:c r="A736" t="n">
        <x:v>722</x:v>
      </x:c>
      <x:c r="B736" s="40" t="n">
        <x:v>0.37902976666143584</x:v>
      </x:c>
      <x:c r="C736" t="n">
        <x:f>LOOKUP(B736,$E$4:$E$9,$A$4:$A$9)</x:f>
        <x:v>2</x:v>
      </x:c>
    </x:row>
    <x:row r="737">
      <x:c r="A737" t="n">
        <x:v>723</x:v>
      </x:c>
      <x:c r="B737" s="40" t="n">
        <x:v>0.4183930979091578</x:v>
      </x:c>
      <x:c r="C737" t="n">
        <x:f>LOOKUP(B737,$E$4:$E$9,$A$4:$A$9)</x:f>
        <x:v>2</x:v>
      </x:c>
    </x:row>
    <x:row r="738">
      <x:c r="A738" t="n">
        <x:v>724</x:v>
      </x:c>
      <x:c r="B738" s="40" t="n">
        <x:v>0.12930925215377032</x:v>
      </x:c>
      <x:c r="C738" t="n">
        <x:f>LOOKUP(B738,$E$4:$E$9,$A$4:$A$9)</x:f>
        <x:v>1</x:v>
      </x:c>
    </x:row>
    <x:row r="739">
      <x:c r="A739" t="n">
        <x:v>725</x:v>
      </x:c>
      <x:c r="B739" s="40" t="n">
        <x:v>0.423958371003167</x:v>
      </x:c>
      <x:c r="C739" t="n">
        <x:f>LOOKUP(B739,$E$4:$E$9,$A$4:$A$9)</x:f>
        <x:v>2</x:v>
      </x:c>
    </x:row>
    <x:row r="740">
      <x:c r="A740" t="n">
        <x:v>726</x:v>
      </x:c>
      <x:c r="B740" s="40" t="n">
        <x:v>0.38944490720262115</x:v>
      </x:c>
      <x:c r="C740" t="n">
        <x:f>LOOKUP(B740,$E$4:$E$9,$A$4:$A$9)</x:f>
        <x:v>2</x:v>
      </x:c>
    </x:row>
    <x:row r="741">
      <x:c r="A741" t="n">
        <x:v>727</x:v>
      </x:c>
      <x:c r="B741" s="40" t="n">
        <x:v>0.03457166331823147</x:v>
      </x:c>
      <x:c r="C741" t="n">
        <x:f>LOOKUP(B741,$E$4:$E$9,$A$4:$A$9)</x:f>
        <x:v>0</x:v>
      </x:c>
    </x:row>
    <x:row r="742">
      <x:c r="A742" t="n">
        <x:v>728</x:v>
      </x:c>
      <x:c r="B742" s="40" t="n">
        <x:v>0.27513075532634</x:v>
      </x:c>
      <x:c r="C742" t="n">
        <x:f>LOOKUP(B742,$E$4:$E$9,$A$4:$A$9)</x:f>
        <x:v>2</x:v>
      </x:c>
    </x:row>
    <x:row r="743">
      <x:c r="A743" t="n">
        <x:v>729</x:v>
      </x:c>
      <x:c r="B743" s="40" t="n">
        <x:v>0.7519069747402168</x:v>
      </x:c>
      <x:c r="C743" t="n">
        <x:f>LOOKUP(B743,$E$4:$E$9,$A$4:$A$9)</x:f>
        <x:v>4</x:v>
      </x:c>
    </x:row>
    <x:row r="744">
      <x:c r="A744" t="n">
        <x:v>730</x:v>
      </x:c>
      <x:c r="B744" s="40" t="n">
        <x:v>0.5779455714096253</x:v>
      </x:c>
      <x:c r="C744" t="n">
        <x:f>LOOKUP(B744,$E$4:$E$9,$A$4:$A$9)</x:f>
        <x:v>3</x:v>
      </x:c>
    </x:row>
    <x:row r="745">
      <x:c r="A745" t="n">
        <x:v>731</x:v>
      </x:c>
      <x:c r="B745" s="40" t="n">
        <x:v>0.8061674967560302</x:v>
      </x:c>
      <x:c r="C745" t="n">
        <x:f>LOOKUP(B745,$E$4:$E$9,$A$4:$A$9)</x:f>
        <x:v>4</x:v>
      </x:c>
    </x:row>
    <x:row r="746">
      <x:c r="A746" t="n">
        <x:v>732</x:v>
      </x:c>
      <x:c r="B746" s="40" t="n">
        <x:v>0.5426880443807649</x:v>
      </x:c>
      <x:c r="C746" t="n">
        <x:f>LOOKUP(B746,$E$4:$E$9,$A$4:$A$9)</x:f>
        <x:v>3</x:v>
      </x:c>
    </x:row>
    <x:row r="747">
      <x:c r="A747" t="n">
        <x:v>733</x:v>
      </x:c>
      <x:c r="B747" s="40" t="n">
        <x:v>0.8540837654752674</x:v>
      </x:c>
      <x:c r="C747" t="n">
        <x:f>LOOKUP(B747,$E$4:$E$9,$A$4:$A$9)</x:f>
        <x:v>4</x:v>
      </x:c>
    </x:row>
    <x:row r="748">
      <x:c r="A748" t="n">
        <x:v>734</x:v>
      </x:c>
      <x:c r="B748" s="40" t="n">
        <x:v>0.7960670996017167</x:v>
      </x:c>
      <x:c r="C748" t="n">
        <x:f>LOOKUP(B748,$E$4:$E$9,$A$4:$A$9)</x:f>
        <x:v>4</x:v>
      </x:c>
    </x:row>
    <x:row r="749">
      <x:c r="A749" t="n">
        <x:v>735</x:v>
      </x:c>
      <x:c r="B749" s="40" t="n">
        <x:v>0.09828457014224712</x:v>
      </x:c>
      <x:c r="C749" t="n">
        <x:f>LOOKUP(B749,$E$4:$E$9,$A$4:$A$9)</x:f>
        <x:v>1</x:v>
      </x:c>
    </x:row>
    <x:row r="750">
      <x:c r="A750" t="n">
        <x:v>736</x:v>
      </x:c>
      <x:c r="B750" s="40" t="n">
        <x:v>0.9770063680159924</x:v>
      </x:c>
      <x:c r="C750" t="n">
        <x:f>LOOKUP(B750,$E$4:$E$9,$A$4:$A$9)</x:f>
        <x:v>5</x:v>
      </x:c>
    </x:row>
    <x:row r="751">
      <x:c r="A751" t="n">
        <x:v>737</x:v>
      </x:c>
      <x:c r="B751" s="40" t="n">
        <x:v>0.014747446901328787</x:v>
      </x:c>
      <x:c r="C751" t="n">
        <x:f>LOOKUP(B751,$E$4:$E$9,$A$4:$A$9)</x:f>
        <x:v>0</x:v>
      </x:c>
    </x:row>
    <x:row r="752">
      <x:c r="A752" t="n">
        <x:v>738</x:v>
      </x:c>
      <x:c r="B752" s="40" t="n">
        <x:v>0.5968380379296185</x:v>
      </x:c>
      <x:c r="C752" t="n">
        <x:f>LOOKUP(B752,$E$4:$E$9,$A$4:$A$9)</x:f>
        <x:v>3</x:v>
      </x:c>
    </x:row>
    <x:row r="753">
      <x:c r="A753" t="n">
        <x:v>739</x:v>
      </x:c>
      <x:c r="B753" s="40" t="n">
        <x:v>0.7925115093167623</x:v>
      </x:c>
      <x:c r="C753" t="n">
        <x:f>LOOKUP(B753,$E$4:$E$9,$A$4:$A$9)</x:f>
        <x:v>4</x:v>
      </x:c>
    </x:row>
    <x:row r="754">
      <x:c r="A754" t="n">
        <x:v>740</x:v>
      </x:c>
      <x:c r="B754" s="40" t="n">
        <x:v>0.33189413985090344</x:v>
      </x:c>
      <x:c r="C754" t="n">
        <x:f>LOOKUP(B754,$E$4:$E$9,$A$4:$A$9)</x:f>
        <x:v>2</x:v>
      </x:c>
    </x:row>
    <x:row r="755">
      <x:c r="A755" t="n">
        <x:v>741</x:v>
      </x:c>
      <x:c r="B755" s="40" t="n">
        <x:v>0.5985697922971579</x:v>
      </x:c>
      <x:c r="C755" t="n">
        <x:f>LOOKUP(B755,$E$4:$E$9,$A$4:$A$9)</x:f>
        <x:v>3</x:v>
      </x:c>
    </x:row>
    <x:row r="756">
      <x:c r="A756" t="n">
        <x:v>742</x:v>
      </x:c>
      <x:c r="B756" s="40" t="n">
        <x:v>0.3621225308474483</x:v>
      </x:c>
      <x:c r="C756" t="n">
        <x:f>LOOKUP(B756,$E$4:$E$9,$A$4:$A$9)</x:f>
        <x:v>2</x:v>
      </x:c>
    </x:row>
    <x:row r="757">
      <x:c r="A757" t="n">
        <x:v>743</x:v>
      </x:c>
      <x:c r="B757" s="40" t="n">
        <x:v>0.0606149750075019</x:v>
      </x:c>
      <x:c r="C757" t="n">
        <x:f>LOOKUP(B757,$E$4:$E$9,$A$4:$A$9)</x:f>
        <x:v>0</x:v>
      </x:c>
    </x:row>
    <x:row r="758">
      <x:c r="A758" t="n">
        <x:v>744</x:v>
      </x:c>
      <x:c r="B758" s="40" t="n">
        <x:v>0.008461519089330904</x:v>
      </x:c>
      <x:c r="C758" t="n">
        <x:f>LOOKUP(B758,$E$4:$E$9,$A$4:$A$9)</x:f>
        <x:v>0</x:v>
      </x:c>
    </x:row>
    <x:row r="759">
      <x:c r="A759" t="n">
        <x:v>745</x:v>
      </x:c>
      <x:c r="B759" s="40" t="n">
        <x:v>0.09486203011118832</x:v>
      </x:c>
      <x:c r="C759" t="n">
        <x:f>LOOKUP(B759,$E$4:$E$9,$A$4:$A$9)</x:f>
        <x:v>1</x:v>
      </x:c>
    </x:row>
    <x:row r="760">
      <x:c r="A760" t="n">
        <x:v>746</x:v>
      </x:c>
      <x:c r="B760" s="40" t="n">
        <x:v>0.0984095941200468</x:v>
      </x:c>
      <x:c r="C760" t="n">
        <x:f>LOOKUP(B760,$E$4:$E$9,$A$4:$A$9)</x:f>
        <x:v>1</x:v>
      </x:c>
    </x:row>
    <x:row r="761">
      <x:c r="A761" t="n">
        <x:v>747</x:v>
      </x:c>
      <x:c r="B761" s="40" t="n">
        <x:v>0.6108897773937499</x:v>
      </x:c>
      <x:c r="C761" t="n">
        <x:f>LOOKUP(B761,$E$4:$E$9,$A$4:$A$9)</x:f>
        <x:v>3</x:v>
      </x:c>
    </x:row>
    <x:row r="762">
      <x:c r="A762" t="n">
        <x:v>748</x:v>
      </x:c>
      <x:c r="B762" s="40" t="n">
        <x:v>0.5258652309625133</x:v>
      </x:c>
      <x:c r="C762" t="n">
        <x:f>LOOKUP(B762,$E$4:$E$9,$A$4:$A$9)</x:f>
        <x:v>3</x:v>
      </x:c>
    </x:row>
    <x:row r="763">
      <x:c r="A763" t="n">
        <x:v>749</x:v>
      </x:c>
      <x:c r="B763" s="40" t="n">
        <x:v>0.45546330017314207</x:v>
      </x:c>
      <x:c r="C763" t="n">
        <x:f>LOOKUP(B763,$E$4:$E$9,$A$4:$A$9)</x:f>
        <x:v>2</x:v>
      </x:c>
    </x:row>
    <x:row r="764">
      <x:c r="A764" t="n">
        <x:v>750</x:v>
      </x:c>
      <x:c r="B764" s="40" t="n">
        <x:v>0.6919214756024176</x:v>
      </x:c>
      <x:c r="C764" t="n">
        <x:f>LOOKUP(B764,$E$4:$E$9,$A$4:$A$9)</x:f>
        <x:v>3</x:v>
      </x:c>
    </x:row>
    <x:row r="765">
      <x:c r="A765" t="n">
        <x:v>751</x:v>
      </x:c>
      <x:c r="B765" s="40" t="n">
        <x:v>0.016826137012448394</x:v>
      </x:c>
      <x:c r="C765" t="n">
        <x:f>LOOKUP(B765,$E$4:$E$9,$A$4:$A$9)</x:f>
        <x:v>0</x:v>
      </x:c>
    </x:row>
    <x:row r="766">
      <x:c r="A766" t="n">
        <x:v>752</x:v>
      </x:c>
      <x:c r="B766" s="40" t="n">
        <x:v>0.2709834814157309</x:v>
      </x:c>
      <x:c r="C766" t="n">
        <x:f>LOOKUP(B766,$E$4:$E$9,$A$4:$A$9)</x:f>
        <x:v>2</x:v>
      </x:c>
    </x:row>
    <x:row r="767">
      <x:c r="A767" t="n">
        <x:v>753</x:v>
      </x:c>
      <x:c r="B767" s="40" t="n">
        <x:v>0.7773927312876279</x:v>
      </x:c>
      <x:c r="C767" t="n">
        <x:f>LOOKUP(B767,$E$4:$E$9,$A$4:$A$9)</x:f>
        <x:v>4</x:v>
      </x:c>
    </x:row>
    <x:row r="768">
      <x:c r="A768" t="n">
        <x:v>754</x:v>
      </x:c>
      <x:c r="B768" s="40" t="n">
        <x:v>0.9099771065171185</x:v>
      </x:c>
      <x:c r="C768" t="n">
        <x:f>LOOKUP(B768,$E$4:$E$9,$A$4:$A$9)</x:f>
        <x:v>5</x:v>
      </x:c>
    </x:row>
    <x:row r="769">
      <x:c r="A769" t="n">
        <x:v>755</x:v>
      </x:c>
      <x:c r="B769" s="40" t="n">
        <x:v>0.4383365962375816</x:v>
      </x:c>
      <x:c r="C769" t="n">
        <x:f>LOOKUP(B769,$E$4:$E$9,$A$4:$A$9)</x:f>
        <x:v>2</x:v>
      </x:c>
    </x:row>
    <x:row r="770">
      <x:c r="A770" t="n">
        <x:v>756</x:v>
      </x:c>
      <x:c r="B770" s="40" t="n">
        <x:v>0.08148398013846636</x:v>
      </x:c>
      <x:c r="C770" t="n">
        <x:f>LOOKUP(B770,$E$4:$E$9,$A$4:$A$9)</x:f>
        <x:v>0</x:v>
      </x:c>
    </x:row>
    <x:row r="771">
      <x:c r="A771" t="n">
        <x:v>757</x:v>
      </x:c>
      <x:c r="B771" s="40" t="n">
        <x:v>0.798728739228488</x:v>
      </x:c>
      <x:c r="C771" t="n">
        <x:f>LOOKUP(B771,$E$4:$E$9,$A$4:$A$9)</x:f>
        <x:v>4</x:v>
      </x:c>
    </x:row>
    <x:row r="772">
      <x:c r="A772" t="n">
        <x:v>758</x:v>
      </x:c>
      <x:c r="B772" s="40" t="n">
        <x:v>0.8851704332727336</x:v>
      </x:c>
      <x:c r="C772" t="n">
        <x:f>LOOKUP(B772,$E$4:$E$9,$A$4:$A$9)</x:f>
        <x:v>4</x:v>
      </x:c>
    </x:row>
    <x:row r="773">
      <x:c r="A773" t="n">
        <x:v>759</x:v>
      </x:c>
      <x:c r="B773" s="40" t="n">
        <x:v>0.41366027069371947</x:v>
      </x:c>
      <x:c r="C773" t="n">
        <x:f>LOOKUP(B773,$E$4:$E$9,$A$4:$A$9)</x:f>
        <x:v>2</x:v>
      </x:c>
    </x:row>
    <x:row r="774">
      <x:c r="A774" t="n">
        <x:v>760</x:v>
      </x:c>
      <x:c r="B774" s="40" t="n">
        <x:v>0.24335525392027701</x:v>
      </x:c>
      <x:c r="C774" t="n">
        <x:f>LOOKUP(B774,$E$4:$E$9,$A$4:$A$9)</x:f>
        <x:v>1</x:v>
      </x:c>
    </x:row>
    <x:row r="775">
      <x:c r="A775" t="n">
        <x:v>761</x:v>
      </x:c>
      <x:c r="B775" s="40" t="n">
        <x:v>0.04397166822294529</x:v>
      </x:c>
      <x:c r="C775" t="n">
        <x:f>LOOKUP(B775,$E$4:$E$9,$A$4:$A$9)</x:f>
        <x:v>0</x:v>
      </x:c>
    </x:row>
    <x:row r="776">
      <x:c r="A776" t="n">
        <x:v>762</x:v>
      </x:c>
      <x:c r="B776" s="40" t="n">
        <x:v>0.591082821894856</x:v>
      </x:c>
      <x:c r="C776" t="n">
        <x:f>LOOKUP(B776,$E$4:$E$9,$A$4:$A$9)</x:f>
        <x:v>3</x:v>
      </x:c>
    </x:row>
    <x:row r="777">
      <x:c r="A777" t="n">
        <x:v>763</x:v>
      </x:c>
      <x:c r="B777" s="40" t="n">
        <x:v>0.9098694905624992</x:v>
      </x:c>
      <x:c r="C777" t="n">
        <x:f>LOOKUP(B777,$E$4:$E$9,$A$4:$A$9)</x:f>
        <x:v>5</x:v>
      </x:c>
    </x:row>
    <x:row r="778">
      <x:c r="A778" t="n">
        <x:v>764</x:v>
      </x:c>
      <x:c r="B778" s="40" t="n">
        <x:v>0.6778880255203257</x:v>
      </x:c>
      <x:c r="C778" t="n">
        <x:f>LOOKUP(B778,$E$4:$E$9,$A$4:$A$9)</x:f>
        <x:v>3</x:v>
      </x:c>
    </x:row>
    <x:row r="779">
      <x:c r="A779" t="n">
        <x:v>765</x:v>
      </x:c>
      <x:c r="B779" s="40" t="n">
        <x:v>0.31724859789473436</x:v>
      </x:c>
      <x:c r="C779" t="n">
        <x:f>LOOKUP(B779,$E$4:$E$9,$A$4:$A$9)</x:f>
        <x:v>2</x:v>
      </x:c>
    </x:row>
    <x:row r="780">
      <x:c r="A780" t="n">
        <x:v>766</x:v>
      </x:c>
      <x:c r="B780" s="40" t="n">
        <x:v>0.6428883242899669</x:v>
      </x:c>
      <x:c r="C780" t="n">
        <x:f>LOOKUP(B780,$E$4:$E$9,$A$4:$A$9)</x:f>
        <x:v>3</x:v>
      </x:c>
    </x:row>
    <x:row r="781">
      <x:c r="A781" t="n">
        <x:v>767</x:v>
      </x:c>
      <x:c r="B781" s="40" t="n">
        <x:v>0.8320684074480255</x:v>
      </x:c>
      <x:c r="C781" t="n">
        <x:f>LOOKUP(B781,$E$4:$E$9,$A$4:$A$9)</x:f>
        <x:v>4</x:v>
      </x:c>
    </x:row>
    <x:row r="782">
      <x:c r="A782" t="n">
        <x:v>768</x:v>
      </x:c>
      <x:c r="B782" s="40" t="n">
        <x:v>0.4758300593494579</x:v>
      </x:c>
      <x:c r="C782" t="n">
        <x:f>LOOKUP(B782,$E$4:$E$9,$A$4:$A$9)</x:f>
        <x:v>2</x:v>
      </x:c>
    </x:row>
    <x:row r="783">
      <x:c r="A783" t="n">
        <x:v>769</x:v>
      </x:c>
      <x:c r="B783" s="40" t="n">
        <x:v>0.8197484899978386</x:v>
      </x:c>
      <x:c r="C783" t="n">
        <x:f>LOOKUP(B783,$E$4:$E$9,$A$4:$A$9)</x:f>
        <x:v>4</x:v>
      </x:c>
    </x:row>
    <x:row r="784">
      <x:c r="A784" t="n">
        <x:v>770</x:v>
      </x:c>
      <x:c r="B784" s="40" t="n">
        <x:v>0.3919096766663541</x:v>
      </x:c>
      <x:c r="C784" t="n">
        <x:f>LOOKUP(B784,$E$4:$E$9,$A$4:$A$9)</x:f>
        <x:v>2</x:v>
      </x:c>
    </x:row>
    <x:row r="785">
      <x:c r="A785" t="n">
        <x:v>771</x:v>
      </x:c>
      <x:c r="B785" s="40" t="n">
        <x:v>0.34850567859577064</x:v>
      </x:c>
      <x:c r="C785" t="n">
        <x:f>LOOKUP(B785,$E$4:$E$9,$A$4:$A$9)</x:f>
        <x:v>2</x:v>
      </x:c>
    </x:row>
    <x:row r="786">
      <x:c r="A786" t="n">
        <x:v>772</x:v>
      </x:c>
      <x:c r="B786" s="40" t="n">
        <x:v>0.582988625878554</x:v>
      </x:c>
      <x:c r="C786" t="n">
        <x:f>LOOKUP(B786,$E$4:$E$9,$A$4:$A$9)</x:f>
        <x:v>3</x:v>
      </x:c>
    </x:row>
    <x:row r="787">
      <x:c r="A787" t="n">
        <x:v>773</x:v>
      </x:c>
      <x:c r="B787" s="40" t="n">
        <x:v>0.46468641769448127</x:v>
      </x:c>
      <x:c r="C787" t="n">
        <x:f>LOOKUP(B787,$E$4:$E$9,$A$4:$A$9)</x:f>
        <x:v>2</x:v>
      </x:c>
    </x:row>
    <x:row r="788">
      <x:c r="A788" t="n">
        <x:v>774</x:v>
      </x:c>
      <x:c r="B788" s="40" t="n">
        <x:v>0.9771119204610832</x:v>
      </x:c>
      <x:c r="C788" t="n">
        <x:f>LOOKUP(B788,$E$4:$E$9,$A$4:$A$9)</x:f>
        <x:v>5</x:v>
      </x:c>
    </x:row>
    <x:row r="789">
      <x:c r="A789" t="n">
        <x:v>775</x:v>
      </x:c>
      <x:c r="B789" s="40" t="n">
        <x:v>0.5163894235281747</x:v>
      </x:c>
      <x:c r="C789" t="n">
        <x:f>LOOKUP(B789,$E$4:$E$9,$A$4:$A$9)</x:f>
        <x:v>3</x:v>
      </x:c>
    </x:row>
    <x:row r="790">
      <x:c r="A790" t="n">
        <x:v>776</x:v>
      </x:c>
      <x:c r="B790" s="40" t="n">
        <x:v>0.38517202891602154</x:v>
      </x:c>
      <x:c r="C790" t="n">
        <x:f>LOOKUP(B790,$E$4:$E$9,$A$4:$A$9)</x:f>
        <x:v>2</x:v>
      </x:c>
    </x:row>
    <x:row r="791">
      <x:c r="A791" t="n">
        <x:v>777</x:v>
      </x:c>
      <x:c r="B791" s="40" t="n">
        <x:v>0.39493354312853624</x:v>
      </x:c>
      <x:c r="C791" t="n">
        <x:f>LOOKUP(B791,$E$4:$E$9,$A$4:$A$9)</x:f>
        <x:v>2</x:v>
      </x:c>
    </x:row>
    <x:row r="792">
      <x:c r="A792" t="n">
        <x:v>778</x:v>
      </x:c>
      <x:c r="B792" s="40" t="n">
        <x:v>0.5479399506131166</x:v>
      </x:c>
      <x:c r="C792" t="n">
        <x:f>LOOKUP(B792,$E$4:$E$9,$A$4:$A$9)</x:f>
        <x:v>3</x:v>
      </x:c>
    </x:row>
    <x:row r="793">
      <x:c r="A793" t="n">
        <x:v>779</x:v>
      </x:c>
      <x:c r="B793" s="40" t="n">
        <x:v>0.3549120380081954</x:v>
      </x:c>
      <x:c r="C793" t="n">
        <x:f>LOOKUP(B793,$E$4:$E$9,$A$4:$A$9)</x:f>
        <x:v>2</x:v>
      </x:c>
    </x:row>
    <x:row r="794">
      <x:c r="A794" t="n">
        <x:v>780</x:v>
      </x:c>
      <x:c r="B794" s="40" t="n">
        <x:v>0.722906601964936</x:v>
      </x:c>
      <x:c r="C794" t="n">
        <x:f>LOOKUP(B794,$E$4:$E$9,$A$4:$A$9)</x:f>
        <x:v>3</x:v>
      </x:c>
    </x:row>
    <x:row r="795">
      <x:c r="A795" t="n">
        <x:v>781</x:v>
      </x:c>
      <x:c r="B795" s="40" t="n">
        <x:v>0.3806629277016409</x:v>
      </x:c>
      <x:c r="C795" t="n">
        <x:f>LOOKUP(B795,$E$4:$E$9,$A$4:$A$9)</x:f>
        <x:v>2</x:v>
      </x:c>
    </x:row>
    <x:row r="796">
      <x:c r="A796" t="n">
        <x:v>782</x:v>
      </x:c>
      <x:c r="B796" s="40" t="n">
        <x:v>0.3841443865252431</x:v>
      </x:c>
      <x:c r="C796" t="n">
        <x:f>LOOKUP(B796,$E$4:$E$9,$A$4:$A$9)</x:f>
        <x:v>2</x:v>
      </x:c>
    </x:row>
    <x:row r="797">
      <x:c r="A797" t="n">
        <x:v>783</x:v>
      </x:c>
      <x:c r="B797" s="40" t="n">
        <x:v>0.6169732493768046</x:v>
      </x:c>
      <x:c r="C797" t="n">
        <x:f>LOOKUP(B797,$E$4:$E$9,$A$4:$A$9)</x:f>
        <x:v>3</x:v>
      </x:c>
    </x:row>
    <x:row r="798">
      <x:c r="A798" t="n">
        <x:v>784</x:v>
      </x:c>
      <x:c r="B798" s="40" t="n">
        <x:v>0.06084687269600997</x:v>
      </x:c>
      <x:c r="C798" t="n">
        <x:f>LOOKUP(B798,$E$4:$E$9,$A$4:$A$9)</x:f>
        <x:v>0</x:v>
      </x:c>
    </x:row>
    <x:row r="799">
      <x:c r="A799" t="n">
        <x:v>785</x:v>
      </x:c>
      <x:c r="B799" s="40" t="n">
        <x:v>0.6553549181151461</x:v>
      </x:c>
      <x:c r="C799" t="n">
        <x:f>LOOKUP(B799,$E$4:$E$9,$A$4:$A$9)</x:f>
        <x:v>3</x:v>
      </x:c>
    </x:row>
    <x:row r="800">
      <x:c r="A800" t="n">
        <x:v>786</x:v>
      </x:c>
      <x:c r="B800" s="40" t="n">
        <x:v>0.5049722171586871</x:v>
      </x:c>
      <x:c r="C800" t="n">
        <x:f>LOOKUP(B800,$E$4:$E$9,$A$4:$A$9)</x:f>
        <x:v>2</x:v>
      </x:c>
    </x:row>
    <x:row r="801">
      <x:c r="A801" t="n">
        <x:v>787</x:v>
      </x:c>
      <x:c r="B801" s="40" t="n">
        <x:v>0.45302611428664163</x:v>
      </x:c>
      <x:c r="C801" t="n">
        <x:f>LOOKUP(B801,$E$4:$E$9,$A$4:$A$9)</x:f>
        <x:v>2</x:v>
      </x:c>
    </x:row>
    <x:row r="802">
      <x:c r="A802" t="n">
        <x:v>788</x:v>
      </x:c>
      <x:c r="B802" s="40" t="n">
        <x:v>0.7192529907079513</x:v>
      </x:c>
      <x:c r="C802" t="n">
        <x:f>LOOKUP(B802,$E$4:$E$9,$A$4:$A$9)</x:f>
        <x:v>3</x:v>
      </x:c>
    </x:row>
    <x:row r="803">
      <x:c r="A803" t="n">
        <x:v>789</x:v>
      </x:c>
      <x:c r="B803" s="40" t="n">
        <x:v>0.758255782004861</x:v>
      </x:c>
      <x:c r="C803" t="n">
        <x:f>LOOKUP(B803,$E$4:$E$9,$A$4:$A$9)</x:f>
        <x:v>4</x:v>
      </x:c>
    </x:row>
    <x:row r="804">
      <x:c r="A804" t="n">
        <x:v>790</x:v>
      </x:c>
      <x:c r="B804" s="40" t="n">
        <x:v>0.8462608634124593</x:v>
      </x:c>
      <x:c r="C804" t="n">
        <x:f>LOOKUP(B804,$E$4:$E$9,$A$4:$A$9)</x:f>
        <x:v>4</x:v>
      </x:c>
    </x:row>
    <x:row r="805">
      <x:c r="A805" t="n">
        <x:v>791</x:v>
      </x:c>
      <x:c r="B805" s="40" t="n">
        <x:v>0.37480312081744727</x:v>
      </x:c>
      <x:c r="C805" t="n">
        <x:f>LOOKUP(B805,$E$4:$E$9,$A$4:$A$9)</x:f>
        <x:v>2</x:v>
      </x:c>
    </x:row>
    <x:row r="806">
      <x:c r="A806" t="n">
        <x:v>792</x:v>
      </x:c>
      <x:c r="B806" s="40" t="n">
        <x:v>0.3270376922533811</x:v>
      </x:c>
      <x:c r="C806" t="n">
        <x:f>LOOKUP(B806,$E$4:$E$9,$A$4:$A$9)</x:f>
        <x:v>2</x:v>
      </x:c>
    </x:row>
    <x:row r="807">
      <x:c r="A807" t="n">
        <x:v>793</x:v>
      </x:c>
      <x:c r="B807" s="40" t="n">
        <x:v>0.7143421014945195</x:v>
      </x:c>
      <x:c r="C807" t="n">
        <x:f>LOOKUP(B807,$E$4:$E$9,$A$4:$A$9)</x:f>
        <x:v>3</x:v>
      </x:c>
    </x:row>
    <x:row r="808">
      <x:c r="A808" t="n">
        <x:v>794</x:v>
      </x:c>
      <x:c r="B808" s="40" t="n">
        <x:v>0.5818048591404459</x:v>
      </x:c>
      <x:c r="C808" t="n">
        <x:f>LOOKUP(B808,$E$4:$E$9,$A$4:$A$9)</x:f>
        <x:v>3</x:v>
      </x:c>
    </x:row>
    <x:row r="809">
      <x:c r="A809" t="n">
        <x:v>795</x:v>
      </x:c>
      <x:c r="B809" s="40" t="n">
        <x:v>0.6318015463518166</x:v>
      </x:c>
      <x:c r="C809" t="n">
        <x:f>LOOKUP(B809,$E$4:$E$9,$A$4:$A$9)</x:f>
        <x:v>3</x:v>
      </x:c>
    </x:row>
    <x:row r="810">
      <x:c r="A810" t="n">
        <x:v>796</x:v>
      </x:c>
      <x:c r="B810" s="40" t="n">
        <x:v>0.5555229071058353</x:v>
      </x:c>
      <x:c r="C810" t="n">
        <x:f>LOOKUP(B810,$E$4:$E$9,$A$4:$A$9)</x:f>
        <x:v>3</x:v>
      </x:c>
    </x:row>
    <x:row r="811">
      <x:c r="A811" t="n">
        <x:v>797</x:v>
      </x:c>
      <x:c r="B811" s="40" t="n">
        <x:v>0.7726930232038545</x:v>
      </x:c>
      <x:c r="C811" t="n">
        <x:f>LOOKUP(B811,$E$4:$E$9,$A$4:$A$9)</x:f>
        <x:v>4</x:v>
      </x:c>
    </x:row>
    <x:row r="812">
      <x:c r="A812" t="n">
        <x:v>798</x:v>
      </x:c>
      <x:c r="B812" s="40" t="n">
        <x:v>0.19004088849215317</x:v>
      </x:c>
      <x:c r="C812" t="n">
        <x:f>LOOKUP(B812,$E$4:$E$9,$A$4:$A$9)</x:f>
        <x:v>1</x:v>
      </x:c>
    </x:row>
    <x:row r="813">
      <x:c r="A813" t="n">
        <x:v>799</x:v>
      </x:c>
      <x:c r="B813" s="40" t="n">
        <x:v>0.5557121327413967</x:v>
      </x:c>
      <x:c r="C813" t="n">
        <x:f>LOOKUP(B813,$E$4:$E$9,$A$4:$A$9)</x:f>
        <x:v>3</x:v>
      </x:c>
    </x:row>
    <x:row r="814">
      <x:c r="A814" t="n">
        <x:v>800</x:v>
      </x:c>
      <x:c r="B814" s="40" t="n">
        <x:v>0.1581017889436298</x:v>
      </x:c>
      <x:c r="C814" t="n">
        <x:f>LOOKUP(B814,$E$4:$E$9,$A$4:$A$9)</x:f>
        <x:v>1</x:v>
      </x:c>
    </x:row>
    <x:row r="815">
      <x:c r="A815" t="n">
        <x:v>801</x:v>
      </x:c>
      <x:c r="B815" s="40" t="n">
        <x:v>0.4072519392909919</x:v>
      </x:c>
      <x:c r="C815" t="n">
        <x:f>LOOKUP(B815,$E$4:$E$9,$A$4:$A$9)</x:f>
        <x:v>2</x:v>
      </x:c>
    </x:row>
    <x:row r="816">
      <x:c r="A816" t="n">
        <x:v>802</x:v>
      </x:c>
      <x:c r="B816" s="40" t="n">
        <x:v>0.6639938234160748</x:v>
      </x:c>
      <x:c r="C816" t="n">
        <x:f>LOOKUP(B816,$E$4:$E$9,$A$4:$A$9)</x:f>
        <x:v>3</x:v>
      </x:c>
    </x:row>
    <x:row r="817">
      <x:c r="A817" t="n">
        <x:v>803</x:v>
      </x:c>
      <x:c r="B817" s="40" t="n">
        <x:v>0.4930716083141704</x:v>
      </x:c>
      <x:c r="C817" t="n">
        <x:f>LOOKUP(B817,$E$4:$E$9,$A$4:$A$9)</x:f>
        <x:v>2</x:v>
      </x:c>
    </x:row>
    <x:row r="818">
      <x:c r="A818" t="n">
        <x:v>804</x:v>
      </x:c>
      <x:c r="B818" s="40" t="n">
        <x:v>0.37959153667218126</x:v>
      </x:c>
      <x:c r="C818" t="n">
        <x:f>LOOKUP(B818,$E$4:$E$9,$A$4:$A$9)</x:f>
        <x:v>2</x:v>
      </x:c>
    </x:row>
    <x:row r="819">
      <x:c r="A819" t="n">
        <x:v>805</x:v>
      </x:c>
      <x:c r="B819" s="40" t="n">
        <x:v>0.8849700014156061</x:v>
      </x:c>
      <x:c r="C819" t="n">
        <x:f>LOOKUP(B819,$E$4:$E$9,$A$4:$A$9)</x:f>
        <x:v>4</x:v>
      </x:c>
    </x:row>
    <x:row r="820">
      <x:c r="A820" t="n">
        <x:v>806</x:v>
      </x:c>
      <x:c r="B820" s="40" t="n">
        <x:v>0.7728257144974784</x:v>
      </x:c>
      <x:c r="C820" t="n">
        <x:f>LOOKUP(B820,$E$4:$E$9,$A$4:$A$9)</x:f>
        <x:v>4</x:v>
      </x:c>
    </x:row>
    <x:row r="821">
      <x:c r="A821" t="n">
        <x:v>807</x:v>
      </x:c>
      <x:c r="B821" s="40" t="n">
        <x:v>0.526290785000375</x:v>
      </x:c>
      <x:c r="C821" t="n">
        <x:f>LOOKUP(B821,$E$4:$E$9,$A$4:$A$9)</x:f>
        <x:v>3</x:v>
      </x:c>
    </x:row>
    <x:row r="822">
      <x:c r="A822" t="n">
        <x:v>808</x:v>
      </x:c>
      <x:c r="B822" s="40" t="n">
        <x:v>0.9500531556754879</x:v>
      </x:c>
      <x:c r="C822" t="n">
        <x:f>LOOKUP(B822,$E$4:$E$9,$A$4:$A$9)</x:f>
        <x:v>5</x:v>
      </x:c>
    </x:row>
    <x:row r="823">
      <x:c r="A823" t="n">
        <x:v>809</x:v>
      </x:c>
      <x:c r="B823" s="40" t="n">
        <x:v>0.42436528943499385</x:v>
      </x:c>
      <x:c r="C823" t="n">
        <x:f>LOOKUP(B823,$E$4:$E$9,$A$4:$A$9)</x:f>
        <x:v>2</x:v>
      </x:c>
    </x:row>
    <x:row r="824">
      <x:c r="A824" t="n">
        <x:v>810</x:v>
      </x:c>
      <x:c r="B824" s="40" t="n">
        <x:v>0.788072927588106</x:v>
      </x:c>
      <x:c r="C824" t="n">
        <x:f>LOOKUP(B824,$E$4:$E$9,$A$4:$A$9)</x:f>
        <x:v>4</x:v>
      </x:c>
    </x:row>
    <x:row r="825">
      <x:c r="A825" t="n">
        <x:v>811</x:v>
      </x:c>
      <x:c r="B825" s="40" t="n">
        <x:v>0.16793623980141792</x:v>
      </x:c>
      <x:c r="C825" t="n">
        <x:f>LOOKUP(B825,$E$4:$E$9,$A$4:$A$9)</x:f>
        <x:v>1</x:v>
      </x:c>
    </x:row>
    <x:row r="826">
      <x:c r="A826" t="n">
        <x:v>812</x:v>
      </x:c>
      <x:c r="B826" s="40" t="n">
        <x:v>0.28579247711059697</x:v>
      </x:c>
      <x:c r="C826" t="n">
        <x:f>LOOKUP(B826,$E$4:$E$9,$A$4:$A$9)</x:f>
        <x:v>2</x:v>
      </x:c>
    </x:row>
    <x:row r="827">
      <x:c r="A827" t="n">
        <x:v>813</x:v>
      </x:c>
      <x:c r="B827" s="40" t="n">
        <x:v>0.33808558133395483</x:v>
      </x:c>
      <x:c r="C827" t="n">
        <x:f>LOOKUP(B827,$E$4:$E$9,$A$4:$A$9)</x:f>
        <x:v>2</x:v>
      </x:c>
    </x:row>
    <x:row r="828">
      <x:c r="A828" t="n">
        <x:v>814</x:v>
      </x:c>
      <x:c r="B828" s="40" t="n">
        <x:v>0.10582075270452329</x:v>
      </x:c>
      <x:c r="C828" t="n">
        <x:f>LOOKUP(B828,$E$4:$E$9,$A$4:$A$9)</x:f>
        <x:v>1</x:v>
      </x:c>
    </x:row>
    <x:row r="829">
      <x:c r="A829" t="n">
        <x:v>815</x:v>
      </x:c>
      <x:c r="B829" s="40" t="n">
        <x:v>0.5018048150760679</x:v>
      </x:c>
      <x:c r="C829" t="n">
        <x:f>LOOKUP(B829,$E$4:$E$9,$A$4:$A$9)</x:f>
        <x:v>2</x:v>
      </x:c>
    </x:row>
    <x:row r="830">
      <x:c r="A830" t="n">
        <x:v>816</x:v>
      </x:c>
      <x:c r="B830" s="40" t="n">
        <x:v>0.19226013412649567</x:v>
      </x:c>
      <x:c r="C830" t="n">
        <x:f>LOOKUP(B830,$E$4:$E$9,$A$4:$A$9)</x:f>
        <x:v>1</x:v>
      </x:c>
    </x:row>
    <x:row r="831">
      <x:c r="A831" t="n">
        <x:v>817</x:v>
      </x:c>
      <x:c r="B831" s="40" t="n">
        <x:v>0.6341858894496586</x:v>
      </x:c>
      <x:c r="C831" t="n">
        <x:f>LOOKUP(B831,$E$4:$E$9,$A$4:$A$9)</x:f>
        <x:v>3</x:v>
      </x:c>
    </x:row>
    <x:row r="832">
      <x:c r="A832" t="n">
        <x:v>818</x:v>
      </x:c>
      <x:c r="B832" s="40" t="n">
        <x:v>0.1900923595730183</x:v>
      </x:c>
      <x:c r="C832" t="n">
        <x:f>LOOKUP(B832,$E$4:$E$9,$A$4:$A$9)</x:f>
        <x:v>1</x:v>
      </x:c>
    </x:row>
    <x:row r="833">
      <x:c r="A833" t="n">
        <x:v>819</x:v>
      </x:c>
      <x:c r="B833" s="40" t="n">
        <x:v>0.12350625733927534</x:v>
      </x:c>
      <x:c r="C833" t="n">
        <x:f>LOOKUP(B833,$E$4:$E$9,$A$4:$A$9)</x:f>
        <x:v>1</x:v>
      </x:c>
    </x:row>
    <x:row r="834">
      <x:c r="A834" t="n">
        <x:v>820</x:v>
      </x:c>
      <x:c r="B834" s="40" t="n">
        <x:v>0.9690867275989246</x:v>
      </x:c>
      <x:c r="C834" t="n">
        <x:f>LOOKUP(B834,$E$4:$E$9,$A$4:$A$9)</x:f>
        <x:v>5</x:v>
      </x:c>
    </x:row>
    <x:row r="835">
      <x:c r="A835" t="n">
        <x:v>821</x:v>
      </x:c>
      <x:c r="B835" s="40" t="n">
        <x:v>0.6582403058111063</x:v>
      </x:c>
      <x:c r="C835" t="n">
        <x:f>LOOKUP(B835,$E$4:$E$9,$A$4:$A$9)</x:f>
        <x:v>3</x:v>
      </x:c>
    </x:row>
    <x:row r="836">
      <x:c r="A836" t="n">
        <x:v>822</x:v>
      </x:c>
      <x:c r="B836" s="40" t="n">
        <x:v>0.9364509147084885</x:v>
      </x:c>
      <x:c r="C836" t="n">
        <x:f>LOOKUP(B836,$E$4:$E$9,$A$4:$A$9)</x:f>
        <x:v>5</x:v>
      </x:c>
    </x:row>
    <x:row r="837">
      <x:c r="A837" t="n">
        <x:v>823</x:v>
      </x:c>
      <x:c r="B837" s="40" t="n">
        <x:v>0.48988779199323196</x:v>
      </x:c>
      <x:c r="C837" t="n">
        <x:f>LOOKUP(B837,$E$4:$E$9,$A$4:$A$9)</x:f>
        <x:v>2</x:v>
      </x:c>
    </x:row>
    <x:row r="838">
      <x:c r="A838" t="n">
        <x:v>824</x:v>
      </x:c>
      <x:c r="B838" s="40" t="n">
        <x:v>0.033402463063374244</x:v>
      </x:c>
      <x:c r="C838" t="n">
        <x:f>LOOKUP(B838,$E$4:$E$9,$A$4:$A$9)</x:f>
        <x:v>0</x:v>
      </x:c>
    </x:row>
    <x:row r="839">
      <x:c r="A839" t="n">
        <x:v>825</x:v>
      </x:c>
      <x:c r="B839" s="40" t="n">
        <x:v>0.5743711704314439</x:v>
      </x:c>
      <x:c r="C839" t="n">
        <x:f>LOOKUP(B839,$E$4:$E$9,$A$4:$A$9)</x:f>
        <x:v>3</x:v>
      </x:c>
    </x:row>
    <x:row r="840">
      <x:c r="A840" t="n">
        <x:v>826</x:v>
      </x:c>
      <x:c r="B840" s="40" t="n">
        <x:v>0.5583288868357085</x:v>
      </x:c>
      <x:c r="C840" t="n">
        <x:f>LOOKUP(B840,$E$4:$E$9,$A$4:$A$9)</x:f>
        <x:v>3</x:v>
      </x:c>
    </x:row>
    <x:row r="841">
      <x:c r="A841" t="n">
        <x:v>827</x:v>
      </x:c>
      <x:c r="B841" s="40" t="n">
        <x:v>0.014975605936593972</x:v>
      </x:c>
      <x:c r="C841" t="n">
        <x:f>LOOKUP(B841,$E$4:$E$9,$A$4:$A$9)</x:f>
        <x:v>0</x:v>
      </x:c>
    </x:row>
    <x:row r="842">
      <x:c r="A842" t="n">
        <x:v>828</x:v>
      </x:c>
      <x:c r="B842" s="40" t="n">
        <x:v>0.8612420444018316</x:v>
      </x:c>
      <x:c r="C842" t="n">
        <x:f>LOOKUP(B842,$E$4:$E$9,$A$4:$A$9)</x:f>
        <x:v>4</x:v>
      </x:c>
    </x:row>
    <x:row r="843">
      <x:c r="A843" t="n">
        <x:v>829</x:v>
      </x:c>
      <x:c r="B843" s="40" t="n">
        <x:v>0.6199706806164247</x:v>
      </x:c>
      <x:c r="C843" t="n">
        <x:f>LOOKUP(B843,$E$4:$E$9,$A$4:$A$9)</x:f>
        <x:v>3</x:v>
      </x:c>
    </x:row>
    <x:row r="844">
      <x:c r="A844" t="n">
        <x:v>830</x:v>
      </x:c>
      <x:c r="B844" s="40" t="n">
        <x:v>0.7446911693761461</x:v>
      </x:c>
      <x:c r="C844" t="n">
        <x:f>LOOKUP(B844,$E$4:$E$9,$A$4:$A$9)</x:f>
        <x:v>3</x:v>
      </x:c>
    </x:row>
    <x:row r="845">
      <x:c r="A845" t="n">
        <x:v>831</x:v>
      </x:c>
      <x:c r="B845" s="40" t="n">
        <x:v>0.4939211061575146</x:v>
      </x:c>
      <x:c r="C845" t="n">
        <x:f>LOOKUP(B845,$E$4:$E$9,$A$4:$A$9)</x:f>
        <x:v>2</x:v>
      </x:c>
    </x:row>
    <x:row r="846">
      <x:c r="A846" t="n">
        <x:v>832</x:v>
      </x:c>
      <x:c r="B846" s="40" t="n">
        <x:v>0.618402437908263</x:v>
      </x:c>
      <x:c r="C846" t="n">
        <x:f>LOOKUP(B846,$E$4:$E$9,$A$4:$A$9)</x:f>
        <x:v>3</x:v>
      </x:c>
    </x:row>
    <x:row r="847">
      <x:c r="A847" t="n">
        <x:v>833</x:v>
      </x:c>
      <x:c r="B847" s="40" t="n">
        <x:v>0.2574698932285242</x:v>
      </x:c>
      <x:c r="C847" t="n">
        <x:f>LOOKUP(B847,$E$4:$E$9,$A$4:$A$9)</x:f>
        <x:v>2</x:v>
      </x:c>
    </x:row>
    <x:row r="848">
      <x:c r="A848" t="n">
        <x:v>834</x:v>
      </x:c>
      <x:c r="B848" s="40" t="n">
        <x:v>0.9737577677686472</x:v>
      </x:c>
      <x:c r="C848" t="n">
        <x:f>LOOKUP(B848,$E$4:$E$9,$A$4:$A$9)</x:f>
        <x:v>5</x:v>
      </x:c>
    </x:row>
    <x:row r="849">
      <x:c r="A849" t="n">
        <x:v>835</x:v>
      </x:c>
      <x:c r="B849" s="40" t="n">
        <x:v>0.4007200075476651</x:v>
      </x:c>
      <x:c r="C849" t="n">
        <x:f>LOOKUP(B849,$E$4:$E$9,$A$4:$A$9)</x:f>
        <x:v>2</x:v>
      </x:c>
    </x:row>
    <x:row r="850">
      <x:c r="A850" t="n">
        <x:v>836</x:v>
      </x:c>
      <x:c r="B850" s="40" t="n">
        <x:v>0.1623266213376291</x:v>
      </x:c>
      <x:c r="C850" t="n">
        <x:f>LOOKUP(B850,$E$4:$E$9,$A$4:$A$9)</x:f>
        <x:v>1</x:v>
      </x:c>
    </x:row>
    <x:row r="851">
      <x:c r="A851" t="n">
        <x:v>837</x:v>
      </x:c>
      <x:c r="B851" s="40" t="n">
        <x:v>0.055915418374627324</x:v>
      </x:c>
      <x:c r="C851" t="n">
        <x:f>LOOKUP(B851,$E$4:$E$9,$A$4:$A$9)</x:f>
        <x:v>0</x:v>
      </x:c>
    </x:row>
    <x:row r="852">
      <x:c r="A852" t="n">
        <x:v>838</x:v>
      </x:c>
      <x:c r="B852" s="40" t="n">
        <x:v>0.6361719330853711</x:v>
      </x:c>
      <x:c r="C852" t="n">
        <x:f>LOOKUP(B852,$E$4:$E$9,$A$4:$A$9)</x:f>
        <x:v>3</x:v>
      </x:c>
    </x:row>
    <x:row r="853">
      <x:c r="A853" t="n">
        <x:v>839</x:v>
      </x:c>
      <x:c r="B853" s="40" t="n">
        <x:v>0.9833798511764558</x:v>
      </x:c>
      <x:c r="C853" t="n">
        <x:f>LOOKUP(B853,$E$4:$E$9,$A$4:$A$9)</x:f>
        <x:v>5</x:v>
      </x:c>
    </x:row>
    <x:row r="854">
      <x:c r="A854" t="n">
        <x:v>840</x:v>
      </x:c>
      <x:c r="B854" s="40" t="n">
        <x:v>0.8957944968462817</x:v>
      </x:c>
      <x:c r="C854" t="n">
        <x:f>LOOKUP(B854,$E$4:$E$9,$A$4:$A$9)</x:f>
        <x:v>5</x:v>
      </x:c>
    </x:row>
    <x:row r="855">
      <x:c r="A855" t="n">
        <x:v>841</x:v>
      </x:c>
      <x:c r="B855" s="40" t="n">
        <x:v>0.7021045674864136</x:v>
      </x:c>
      <x:c r="C855" t="n">
        <x:f>LOOKUP(B855,$E$4:$E$9,$A$4:$A$9)</x:f>
        <x:v>3</x:v>
      </x:c>
    </x:row>
    <x:row r="856">
      <x:c r="A856" t="n">
        <x:v>842</x:v>
      </x:c>
      <x:c r="B856" s="40" t="n">
        <x:v>0.9905979289928608</x:v>
      </x:c>
      <x:c r="C856" t="n">
        <x:f>LOOKUP(B856,$E$4:$E$9,$A$4:$A$9)</x:f>
        <x:v>5</x:v>
      </x:c>
    </x:row>
    <x:row r="857">
      <x:c r="A857" t="n">
        <x:v>843</x:v>
      </x:c>
      <x:c r="B857" s="40" t="n">
        <x:v>0.7228282620421065</x:v>
      </x:c>
      <x:c r="C857" t="n">
        <x:f>LOOKUP(B857,$E$4:$E$9,$A$4:$A$9)</x:f>
        <x:v>3</x:v>
      </x:c>
    </x:row>
    <x:row r="858">
      <x:c r="A858" t="n">
        <x:v>844</x:v>
      </x:c>
      <x:c r="B858" s="40" t="n">
        <x:v>0.33925112340139596</x:v>
      </x:c>
      <x:c r="C858" t="n">
        <x:f>LOOKUP(B858,$E$4:$E$9,$A$4:$A$9)</x:f>
        <x:v>2</x:v>
      </x:c>
    </x:row>
    <x:row r="859">
      <x:c r="A859" t="n">
        <x:v>845</x:v>
      </x:c>
      <x:c r="B859" s="40" t="n">
        <x:v>0.6012181330601731</x:v>
      </x:c>
      <x:c r="C859" t="n">
        <x:f>LOOKUP(B859,$E$4:$E$9,$A$4:$A$9)</x:f>
        <x:v>3</x:v>
      </x:c>
    </x:row>
    <x:row r="860">
      <x:c r="A860" t="n">
        <x:v>846</x:v>
      </x:c>
      <x:c r="B860" s="40" t="n">
        <x:v>0.07976664248556153</x:v>
      </x:c>
      <x:c r="C860" t="n">
        <x:f>LOOKUP(B860,$E$4:$E$9,$A$4:$A$9)</x:f>
        <x:v>0</x:v>
      </x:c>
    </x:row>
    <x:row r="861">
      <x:c r="A861" t="n">
        <x:v>847</x:v>
      </x:c>
      <x:c r="B861" s="40" t="n">
        <x:v>0.22168249022254083</x:v>
      </x:c>
      <x:c r="C861" t="n">
        <x:f>LOOKUP(B861,$E$4:$E$9,$A$4:$A$9)</x:f>
        <x:v>1</x:v>
      </x:c>
    </x:row>
    <x:row r="862">
      <x:c r="A862" t="n">
        <x:v>848</x:v>
      </x:c>
      <x:c r="B862" s="40" t="n">
        <x:v>0.4175402359284922</x:v>
      </x:c>
      <x:c r="C862" t="n">
        <x:f>LOOKUP(B862,$E$4:$E$9,$A$4:$A$9)</x:f>
        <x:v>2</x:v>
      </x:c>
    </x:row>
    <x:row r="863">
      <x:c r="A863" t="n">
        <x:v>849</x:v>
      </x:c>
      <x:c r="B863" s="40" t="n">
        <x:v>0.20181849356304526</x:v>
      </x:c>
      <x:c r="C863" t="n">
        <x:f>LOOKUP(B863,$E$4:$E$9,$A$4:$A$9)</x:f>
        <x:v>1</x:v>
      </x:c>
    </x:row>
    <x:row r="864">
      <x:c r="A864" t="n">
        <x:v>850</x:v>
      </x:c>
      <x:c r="B864" s="40" t="n">
        <x:v>0.9535010148281706</x:v>
      </x:c>
      <x:c r="C864" t="n">
        <x:f>LOOKUP(B864,$E$4:$E$9,$A$4:$A$9)</x:f>
        <x:v>5</x:v>
      </x:c>
    </x:row>
    <x:row r="865">
      <x:c r="A865" t="n">
        <x:v>851</x:v>
      </x:c>
      <x:c r="B865" s="40" t="n">
        <x:v>0.9955975267446494</x:v>
      </x:c>
      <x:c r="C865" t="n">
        <x:f>LOOKUP(B865,$E$4:$E$9,$A$4:$A$9)</x:f>
        <x:v>5</x:v>
      </x:c>
    </x:row>
    <x:row r="866">
      <x:c r="A866" t="n">
        <x:v>852</x:v>
      </x:c>
      <x:c r="B866" s="40" t="n">
        <x:v>0.37093592012166543</x:v>
      </x:c>
      <x:c r="C866" t="n">
        <x:f>LOOKUP(B866,$E$4:$E$9,$A$4:$A$9)</x:f>
        <x:v>2</x:v>
      </x:c>
    </x:row>
    <x:row r="867">
      <x:c r="A867" t="n">
        <x:v>853</x:v>
      </x:c>
      <x:c r="B867" s="40" t="n">
        <x:v>0.7092289860771986</x:v>
      </x:c>
      <x:c r="C867" t="n">
        <x:f>LOOKUP(B867,$E$4:$E$9,$A$4:$A$9)</x:f>
        <x:v>3</x:v>
      </x:c>
    </x:row>
    <x:row r="868">
      <x:c r="A868" t="n">
        <x:v>854</x:v>
      </x:c>
      <x:c r="B868" s="40" t="n">
        <x:v>0.40777073066324054</x:v>
      </x:c>
      <x:c r="C868" t="n">
        <x:f>LOOKUP(B868,$E$4:$E$9,$A$4:$A$9)</x:f>
        <x:v>2</x:v>
      </x:c>
    </x:row>
    <x:row r="869">
      <x:c r="A869" t="n">
        <x:v>855</x:v>
      </x:c>
      <x:c r="B869" s="40" t="n">
        <x:v>0.1395092043862064</x:v>
      </x:c>
      <x:c r="C869" t="n">
        <x:f>LOOKUP(B869,$E$4:$E$9,$A$4:$A$9)</x:f>
        <x:v>1</x:v>
      </x:c>
    </x:row>
    <x:row r="870">
      <x:c r="A870" t="n">
        <x:v>856</x:v>
      </x:c>
      <x:c r="B870" s="40" t="n">
        <x:v>0.33692684770210857</x:v>
      </x:c>
      <x:c r="C870" t="n">
        <x:f>LOOKUP(B870,$E$4:$E$9,$A$4:$A$9)</x:f>
        <x:v>2</x:v>
      </x:c>
    </x:row>
    <x:row r="871">
      <x:c r="A871" t="n">
        <x:v>857</x:v>
      </x:c>
      <x:c r="B871" s="40" t="n">
        <x:v>0.2333716987156632</x:v>
      </x:c>
      <x:c r="C871" t="n">
        <x:f>LOOKUP(B871,$E$4:$E$9,$A$4:$A$9)</x:f>
        <x:v>1</x:v>
      </x:c>
    </x:row>
    <x:row r="872">
      <x:c r="A872" t="n">
        <x:v>858</x:v>
      </x:c>
      <x:c r="B872" s="40" t="n">
        <x:v>0.32807822040741974</x:v>
      </x:c>
      <x:c r="C872" t="n">
        <x:f>LOOKUP(B872,$E$4:$E$9,$A$4:$A$9)</x:f>
        <x:v>2</x:v>
      </x:c>
    </x:row>
    <x:row r="873">
      <x:c r="A873" t="n">
        <x:v>859</x:v>
      </x:c>
      <x:c r="B873" s="40" t="n">
        <x:v>0.21502168839771651</x:v>
      </x:c>
      <x:c r="C873" t="n">
        <x:f>LOOKUP(B873,$E$4:$E$9,$A$4:$A$9)</x:f>
        <x:v>1</x:v>
      </x:c>
    </x:row>
    <x:row r="874">
      <x:c r="A874" t="n">
        <x:v>860</x:v>
      </x:c>
      <x:c r="B874" s="40" t="n">
        <x:v>0.1123451190582464</x:v>
      </x:c>
      <x:c r="C874" t="n">
        <x:f>LOOKUP(B874,$E$4:$E$9,$A$4:$A$9)</x:f>
        <x:v>1</x:v>
      </x:c>
    </x:row>
    <x:row r="875">
      <x:c r="A875" t="n">
        <x:v>861</x:v>
      </x:c>
      <x:c r="B875" s="40" t="n">
        <x:v>0.2174284293624129</x:v>
      </x:c>
      <x:c r="C875" t="n">
        <x:f>LOOKUP(B875,$E$4:$E$9,$A$4:$A$9)</x:f>
        <x:v>1</x:v>
      </x:c>
    </x:row>
    <x:row r="876">
      <x:c r="A876" t="n">
        <x:v>862</x:v>
      </x:c>
      <x:c r="B876" s="40" t="n">
        <x:v>0.9057570318298428</x:v>
      </x:c>
      <x:c r="C876" t="n">
        <x:f>LOOKUP(B876,$E$4:$E$9,$A$4:$A$9)</x:f>
        <x:v>5</x:v>
      </x:c>
    </x:row>
    <x:row r="877">
      <x:c r="A877" t="n">
        <x:v>863</x:v>
      </x:c>
      <x:c r="B877" s="40" t="n">
        <x:v>0.08522167577652873</x:v>
      </x:c>
      <x:c r="C877" t="n">
        <x:f>LOOKUP(B877,$E$4:$E$9,$A$4:$A$9)</x:f>
        <x:v>0</x:v>
      </x:c>
    </x:row>
    <x:row r="878">
      <x:c r="A878" t="n">
        <x:v>864</x:v>
      </x:c>
      <x:c r="B878" s="40" t="n">
        <x:v>0.3247566437552345</x:v>
      </x:c>
      <x:c r="C878" t="n">
        <x:f>LOOKUP(B878,$E$4:$E$9,$A$4:$A$9)</x:f>
        <x:v>2</x:v>
      </x:c>
    </x:row>
    <x:row r="879">
      <x:c r="A879" t="n">
        <x:v>865</x:v>
      </x:c>
      <x:c r="B879" s="40" t="n">
        <x:v>0.5284498945026354</x:v>
      </x:c>
      <x:c r="C879" t="n">
        <x:f>LOOKUP(B879,$E$4:$E$9,$A$4:$A$9)</x:f>
        <x:v>3</x:v>
      </x:c>
    </x:row>
    <x:row r="880">
      <x:c r="A880" t="n">
        <x:v>866</x:v>
      </x:c>
      <x:c r="B880" s="40" t="n">
        <x:v>0.3545126561783568</x:v>
      </x:c>
      <x:c r="C880" t="n">
        <x:f>LOOKUP(B880,$E$4:$E$9,$A$4:$A$9)</x:f>
        <x:v>2</x:v>
      </x:c>
    </x:row>
    <x:row r="881">
      <x:c r="A881" t="n">
        <x:v>867</x:v>
      </x:c>
      <x:c r="B881" s="40" t="n">
        <x:v>0.5176070950188872</x:v>
      </x:c>
      <x:c r="C881" t="n">
        <x:f>LOOKUP(B881,$E$4:$E$9,$A$4:$A$9)</x:f>
        <x:v>3</x:v>
      </x:c>
    </x:row>
    <x:row r="882">
      <x:c r="A882" t="n">
        <x:v>868</x:v>
      </x:c>
      <x:c r="B882" s="40" t="n">
        <x:v>0.04342006023435396</x:v>
      </x:c>
      <x:c r="C882" t="n">
        <x:f>LOOKUP(B882,$E$4:$E$9,$A$4:$A$9)</x:f>
        <x:v>0</x:v>
      </x:c>
    </x:row>
    <x:row r="883">
      <x:c r="A883" t="n">
        <x:v>869</x:v>
      </x:c>
      <x:c r="B883" s="40" t="n">
        <x:v>0.6485696333643778</x:v>
      </x:c>
      <x:c r="C883" t="n">
        <x:f>LOOKUP(B883,$E$4:$E$9,$A$4:$A$9)</x:f>
        <x:v>3</x:v>
      </x:c>
    </x:row>
    <x:row r="884">
      <x:c r="A884" t="n">
        <x:v>870</x:v>
      </x:c>
      <x:c r="B884" s="40" t="n">
        <x:v>0.5634788015560602</x:v>
      </x:c>
      <x:c r="C884" t="n">
        <x:f>LOOKUP(B884,$E$4:$E$9,$A$4:$A$9)</x:f>
        <x:v>3</x:v>
      </x:c>
    </x:row>
    <x:row r="885">
      <x:c r="A885" t="n">
        <x:v>871</x:v>
      </x:c>
      <x:c r="B885" s="40" t="n">
        <x:v>0.6809662658546916</x:v>
      </x:c>
      <x:c r="C885" t="n">
        <x:f>LOOKUP(B885,$E$4:$E$9,$A$4:$A$9)</x:f>
        <x:v>3</x:v>
      </x:c>
    </x:row>
    <x:row r="886">
      <x:c r="A886" t="n">
        <x:v>872</x:v>
      </x:c>
      <x:c r="B886" s="40" t="n">
        <x:v>0.567257815827237</x:v>
      </x:c>
      <x:c r="C886" t="n">
        <x:f>LOOKUP(B886,$E$4:$E$9,$A$4:$A$9)</x:f>
        <x:v>3</x:v>
      </x:c>
    </x:row>
    <x:row r="887">
      <x:c r="A887" t="n">
        <x:v>873</x:v>
      </x:c>
      <x:c r="B887" s="40" t="n">
        <x:v>0.4379035824256632</x:v>
      </x:c>
      <x:c r="C887" t="n">
        <x:f>LOOKUP(B887,$E$4:$E$9,$A$4:$A$9)</x:f>
        <x:v>2</x:v>
      </x:c>
    </x:row>
    <x:row r="888">
      <x:c r="A888" t="n">
        <x:v>874</x:v>
      </x:c>
      <x:c r="B888" s="40" t="n">
        <x:v>0.35014154229408245</x:v>
      </x:c>
      <x:c r="C888" t="n">
        <x:f>LOOKUP(B888,$E$4:$E$9,$A$4:$A$9)</x:f>
        <x:v>2</x:v>
      </x:c>
    </x:row>
    <x:row r="889">
      <x:c r="A889" t="n">
        <x:v>875</x:v>
      </x:c>
      <x:c r="B889" s="40" t="n">
        <x:v>0.2264351900997762</x:v>
      </x:c>
      <x:c r="C889" t="n">
        <x:f>LOOKUP(B889,$E$4:$E$9,$A$4:$A$9)</x:f>
        <x:v>1</x:v>
      </x:c>
    </x:row>
    <x:row r="890">
      <x:c r="A890" t="n">
        <x:v>876</x:v>
      </x:c>
      <x:c r="B890" s="40" t="n">
        <x:v>0.5000677268066126</x:v>
      </x:c>
      <x:c r="C890" t="n">
        <x:f>LOOKUP(B890,$E$4:$E$9,$A$4:$A$9)</x:f>
        <x:v>2</x:v>
      </x:c>
    </x:row>
    <x:row r="891">
      <x:c r="A891" t="n">
        <x:v>877</x:v>
      </x:c>
      <x:c r="B891" s="40" t="n">
        <x:v>0.026052452377506974</x:v>
      </x:c>
      <x:c r="C891" t="n">
        <x:f>LOOKUP(B891,$E$4:$E$9,$A$4:$A$9)</x:f>
        <x:v>0</x:v>
      </x:c>
    </x:row>
    <x:row r="892">
      <x:c r="A892" t="n">
        <x:v>878</x:v>
      </x:c>
      <x:c r="B892" s="40" t="n">
        <x:v>0.32824082809932575</x:v>
      </x:c>
      <x:c r="C892" t="n">
        <x:f>LOOKUP(B892,$E$4:$E$9,$A$4:$A$9)</x:f>
        <x:v>2</x:v>
      </x:c>
    </x:row>
    <x:row r="893">
      <x:c r="A893" t="n">
        <x:v>879</x:v>
      </x:c>
      <x:c r="B893" s="40" t="n">
        <x:v>0.6778722935645294</x:v>
      </x:c>
      <x:c r="C893" t="n">
        <x:f>LOOKUP(B893,$E$4:$E$9,$A$4:$A$9)</x:f>
        <x:v>3</x:v>
      </x:c>
    </x:row>
    <x:row r="894">
      <x:c r="A894" t="n">
        <x:v>880</x:v>
      </x:c>
      <x:c r="B894" s="40" t="n">
        <x:v>0.10871703968635926</x:v>
      </x:c>
      <x:c r="C894" t="n">
        <x:f>LOOKUP(B894,$E$4:$E$9,$A$4:$A$9)</x:f>
        <x:v>1</x:v>
      </x:c>
    </x:row>
    <x:row r="895">
      <x:c r="A895" t="n">
        <x:v>881</x:v>
      </x:c>
      <x:c r="B895" s="40" t="n">
        <x:v>0.06289124231952858</x:v>
      </x:c>
      <x:c r="C895" t="n">
        <x:f>LOOKUP(B895,$E$4:$E$9,$A$4:$A$9)</x:f>
        <x:v>0</x:v>
      </x:c>
    </x:row>
    <x:row r="896">
      <x:c r="A896" t="n">
        <x:v>882</x:v>
      </x:c>
      <x:c r="B896" s="40" t="n">
        <x:v>0.6521786052913653</x:v>
      </x:c>
      <x:c r="C896" t="n">
        <x:f>LOOKUP(B896,$E$4:$E$9,$A$4:$A$9)</x:f>
        <x:v>3</x:v>
      </x:c>
    </x:row>
    <x:row r="897">
      <x:c r="A897" t="n">
        <x:v>883</x:v>
      </x:c>
      <x:c r="B897" s="40" t="n">
        <x:v>0.39777472114235024</x:v>
      </x:c>
      <x:c r="C897" t="n">
        <x:f>LOOKUP(B897,$E$4:$E$9,$A$4:$A$9)</x:f>
        <x:v>2</x:v>
      </x:c>
    </x:row>
    <x:row r="898">
      <x:c r="A898" t="n">
        <x:v>884</x:v>
      </x:c>
      <x:c r="B898" s="40" t="n">
        <x:v>0.8018250365493811</x:v>
      </x:c>
      <x:c r="C898" t="n">
        <x:f>LOOKUP(B898,$E$4:$E$9,$A$4:$A$9)</x:f>
        <x:v>4</x:v>
      </x:c>
    </x:row>
    <x:row r="899">
      <x:c r="A899" t="n">
        <x:v>885</x:v>
      </x:c>
      <x:c r="B899" s="40" t="n">
        <x:v>0.9373113039713239</x:v>
      </x:c>
      <x:c r="C899" t="n">
        <x:f>LOOKUP(B899,$E$4:$E$9,$A$4:$A$9)</x:f>
        <x:v>5</x:v>
      </x:c>
    </x:row>
    <x:row r="900">
      <x:c r="A900" t="n">
        <x:v>886</x:v>
      </x:c>
      <x:c r="B900" s="40" t="n">
        <x:v>0.957040453732577</x:v>
      </x:c>
      <x:c r="C900" t="n">
        <x:f>LOOKUP(B900,$E$4:$E$9,$A$4:$A$9)</x:f>
        <x:v>5</x:v>
      </x:c>
    </x:row>
    <x:row r="901">
      <x:c r="A901" t="n">
        <x:v>887</x:v>
      </x:c>
      <x:c r="B901" s="40" t="n">
        <x:v>0.4255928538941792</x:v>
      </x:c>
      <x:c r="C901" t="n">
        <x:f>LOOKUP(B901,$E$4:$E$9,$A$4:$A$9)</x:f>
        <x:v>2</x:v>
      </x:c>
    </x:row>
    <x:row r="902">
      <x:c r="A902" t="n">
        <x:v>888</x:v>
      </x:c>
      <x:c r="B902" s="40" t="n">
        <x:v>0.2643272242750323</x:v>
      </x:c>
      <x:c r="C902" t="n">
        <x:f>LOOKUP(B902,$E$4:$E$9,$A$4:$A$9)</x:f>
        <x:v>2</x:v>
      </x:c>
    </x:row>
    <x:row r="903">
      <x:c r="A903" t="n">
        <x:v>889</x:v>
      </x:c>
      <x:c r="B903" s="40" t="n">
        <x:v>0.608613738742478</x:v>
      </x:c>
      <x:c r="C903" t="n">
        <x:f>LOOKUP(B903,$E$4:$E$9,$A$4:$A$9)</x:f>
        <x:v>3</x:v>
      </x:c>
    </x:row>
    <x:row r="904">
      <x:c r="A904" t="n">
        <x:v>890</x:v>
      </x:c>
      <x:c r="B904" s="40" t="n">
        <x:v>0.6281929259282364</x:v>
      </x:c>
      <x:c r="C904" t="n">
        <x:f>LOOKUP(B904,$E$4:$E$9,$A$4:$A$9)</x:f>
        <x:v>3</x:v>
      </x:c>
    </x:row>
    <x:row r="905">
      <x:c r="A905" t="n">
        <x:v>891</x:v>
      </x:c>
      <x:c r="B905" s="40" t="n">
        <x:v>0.6223449360758967</x:v>
      </x:c>
      <x:c r="C905" t="n">
        <x:f>LOOKUP(B905,$E$4:$E$9,$A$4:$A$9)</x:f>
        <x:v>3</x:v>
      </x:c>
    </x:row>
    <x:row r="906">
      <x:c r="A906" t="n">
        <x:v>892</x:v>
      </x:c>
      <x:c r="B906" s="40" t="n">
        <x:v>0.32177861371888117</x:v>
      </x:c>
      <x:c r="C906" t="n">
        <x:f>LOOKUP(B906,$E$4:$E$9,$A$4:$A$9)</x:f>
        <x:v>2</x:v>
      </x:c>
    </x:row>
    <x:row r="907">
      <x:c r="A907" t="n">
        <x:v>893</x:v>
      </x:c>
      <x:c r="B907" s="40" t="n">
        <x:v>0.06375173641730303</x:v>
      </x:c>
      <x:c r="C907" t="n">
        <x:f>LOOKUP(B907,$E$4:$E$9,$A$4:$A$9)</x:f>
        <x:v>0</x:v>
      </x:c>
    </x:row>
    <x:row r="908">
      <x:c r="A908" t="n">
        <x:v>894</x:v>
      </x:c>
      <x:c r="B908" s="40" t="n">
        <x:v>0.21000483882559895</x:v>
      </x:c>
      <x:c r="C908" t="n">
        <x:f>LOOKUP(B908,$E$4:$E$9,$A$4:$A$9)</x:f>
        <x:v>1</x:v>
      </x:c>
    </x:row>
    <x:row r="909">
      <x:c r="A909" t="n">
        <x:v>895</x:v>
      </x:c>
      <x:c r="B909" s="40" t="n">
        <x:v>0.15441942802223374</x:v>
      </x:c>
      <x:c r="C909" t="n">
        <x:f>LOOKUP(B909,$E$4:$E$9,$A$4:$A$9)</x:f>
        <x:v>1</x:v>
      </x:c>
    </x:row>
    <x:row r="910">
      <x:c r="A910" t="n">
        <x:v>896</x:v>
      </x:c>
      <x:c r="B910" s="40" t="n">
        <x:v>0.12390034578331022</x:v>
      </x:c>
      <x:c r="C910" t="n">
        <x:f>LOOKUP(B910,$E$4:$E$9,$A$4:$A$9)</x:f>
        <x:v>1</x:v>
      </x:c>
    </x:row>
    <x:row r="911">
      <x:c r="A911" t="n">
        <x:v>897</x:v>
      </x:c>
      <x:c r="B911" s="40" t="n">
        <x:v>0.9262833210715731</x:v>
      </x:c>
      <x:c r="C911" t="n">
        <x:f>LOOKUP(B911,$E$4:$E$9,$A$4:$A$9)</x:f>
        <x:v>5</x:v>
      </x:c>
    </x:row>
    <x:row r="912">
      <x:c r="A912" t="n">
        <x:v>898</x:v>
      </x:c>
      <x:c r="B912" s="40" t="n">
        <x:v>0.013847645973967926</x:v>
      </x:c>
      <x:c r="C912" t="n">
        <x:f>LOOKUP(B912,$E$4:$E$9,$A$4:$A$9)</x:f>
        <x:v>0</x:v>
      </x:c>
    </x:row>
    <x:row r="913">
      <x:c r="A913" t="n">
        <x:v>899</x:v>
      </x:c>
      <x:c r="B913" s="40" t="n">
        <x:v>0.6018577392363217</x:v>
      </x:c>
      <x:c r="C913" t="n">
        <x:f>LOOKUP(B913,$E$4:$E$9,$A$4:$A$9)</x:f>
        <x:v>3</x:v>
      </x:c>
    </x:row>
    <x:row r="914">
      <x:c r="A914" t="n">
        <x:v>900</x:v>
      </x:c>
      <x:c r="B914" s="40" t="n">
        <x:v>0.9474737957401368</x:v>
      </x:c>
      <x:c r="C914" t="n">
        <x:f>LOOKUP(B914,$E$4:$E$9,$A$4:$A$9)</x:f>
        <x:v>5</x:v>
      </x:c>
    </x:row>
    <x:row r="915">
      <x:c r="A915" t="n">
        <x:v>901</x:v>
      </x:c>
      <x:c r="B915" s="40" t="n">
        <x:v>0.3600531274941279</x:v>
      </x:c>
      <x:c r="C915" t="n">
        <x:f>LOOKUP(B915,$E$4:$E$9,$A$4:$A$9)</x:f>
        <x:v>2</x:v>
      </x:c>
    </x:row>
    <x:row r="916">
      <x:c r="A916" t="n">
        <x:v>902</x:v>
      </x:c>
      <x:c r="B916" s="40" t="n">
        <x:v>0.5270980891724625</x:v>
      </x:c>
      <x:c r="C916" t="n">
        <x:f>LOOKUP(B916,$E$4:$E$9,$A$4:$A$9)</x:f>
        <x:v>3</x:v>
      </x:c>
    </x:row>
    <x:row r="917">
      <x:c r="A917" t="n">
        <x:v>903</x:v>
      </x:c>
      <x:c r="B917" s="40" t="n">
        <x:v>0.6957836634751596</x:v>
      </x:c>
      <x:c r="C917" t="n">
        <x:f>LOOKUP(B917,$E$4:$E$9,$A$4:$A$9)</x:f>
        <x:v>3</x:v>
      </x:c>
    </x:row>
    <x:row r="918">
      <x:c r="A918" t="n">
        <x:v>904</x:v>
      </x:c>
      <x:c r="B918" s="40" t="n">
        <x:v>0.31716969465823885</x:v>
      </x:c>
      <x:c r="C918" t="n">
        <x:f>LOOKUP(B918,$E$4:$E$9,$A$4:$A$9)</x:f>
        <x:v>2</x:v>
      </x:c>
    </x:row>
    <x:row r="919">
      <x:c r="A919" t="n">
        <x:v>905</x:v>
      </x:c>
      <x:c r="B919" s="40" t="n">
        <x:v>0.47765198770724915</x:v>
      </x:c>
      <x:c r="C919" t="n">
        <x:f>LOOKUP(B919,$E$4:$E$9,$A$4:$A$9)</x:f>
        <x:v>2</x:v>
      </x:c>
    </x:row>
    <x:row r="920">
      <x:c r="A920" t="n">
        <x:v>906</x:v>
      </x:c>
      <x:c r="B920" s="40" t="n">
        <x:v>0.817102850332752</x:v>
      </x:c>
      <x:c r="C920" t="n">
        <x:f>LOOKUP(B920,$E$4:$E$9,$A$4:$A$9)</x:f>
        <x:v>4</x:v>
      </x:c>
    </x:row>
    <x:row r="921">
      <x:c r="A921" t="n">
        <x:v>907</x:v>
      </x:c>
      <x:c r="B921" s="40" t="n">
        <x:v>0.7453556652802635</x:v>
      </x:c>
      <x:c r="C921" t="n">
        <x:f>LOOKUP(B921,$E$4:$E$9,$A$4:$A$9)</x:f>
        <x:v>4</x:v>
      </x:c>
    </x:row>
    <x:row r="922">
      <x:c r="A922" t="n">
        <x:v>908</x:v>
      </x:c>
      <x:c r="B922" s="40" t="n">
        <x:v>0.8084494114928407</x:v>
      </x:c>
      <x:c r="C922" t="n">
        <x:f>LOOKUP(B922,$E$4:$E$9,$A$4:$A$9)</x:f>
        <x:v>4</x:v>
      </x:c>
    </x:row>
    <x:row r="923">
      <x:c r="A923" t="n">
        <x:v>909</x:v>
      </x:c>
      <x:c r="B923" s="40" t="n">
        <x:v>0.987340163627656</x:v>
      </x:c>
      <x:c r="C923" t="n">
        <x:f>LOOKUP(B923,$E$4:$E$9,$A$4:$A$9)</x:f>
        <x:v>5</x:v>
      </x:c>
    </x:row>
    <x:row r="924">
      <x:c r="A924" t="n">
        <x:v>910</x:v>
      </x:c>
      <x:c r="B924" s="40" t="n">
        <x:v>0.370327474936179</x:v>
      </x:c>
      <x:c r="C924" t="n">
        <x:f>LOOKUP(B924,$E$4:$E$9,$A$4:$A$9)</x:f>
        <x:v>2</x:v>
      </x:c>
    </x:row>
    <x:row r="925">
      <x:c r="A925" t="n">
        <x:v>911</x:v>
      </x:c>
      <x:c r="B925" s="40" t="n">
        <x:v>0.7470912629357731</x:v>
      </x:c>
      <x:c r="C925" t="n">
        <x:f>LOOKUP(B925,$E$4:$E$9,$A$4:$A$9)</x:f>
        <x:v>4</x:v>
      </x:c>
    </x:row>
    <x:row r="926">
      <x:c r="A926" t="n">
        <x:v>912</x:v>
      </x:c>
      <x:c r="B926" s="40" t="n">
        <x:v>0.6027845671019829</x:v>
      </x:c>
      <x:c r="C926" t="n">
        <x:f>LOOKUP(B926,$E$4:$E$9,$A$4:$A$9)</x:f>
        <x:v>3</x:v>
      </x:c>
    </x:row>
    <x:row r="927">
      <x:c r="A927" t="n">
        <x:v>913</x:v>
      </x:c>
      <x:c r="B927" s="40" t="n">
        <x:v>0.6666047672211963</x:v>
      </x:c>
      <x:c r="C927" t="n">
        <x:f>LOOKUP(B927,$E$4:$E$9,$A$4:$A$9)</x:f>
        <x:v>3</x:v>
      </x:c>
    </x:row>
    <x:row r="928">
      <x:c r="A928" t="n">
        <x:v>914</x:v>
      </x:c>
      <x:c r="B928" s="40" t="n">
        <x:v>0.7398739048329345</x:v>
      </x:c>
      <x:c r="C928" t="n">
        <x:f>LOOKUP(B928,$E$4:$E$9,$A$4:$A$9)</x:f>
        <x:v>3</x:v>
      </x:c>
    </x:row>
    <x:row r="929">
      <x:c r="A929" t="n">
        <x:v>915</x:v>
      </x:c>
      <x:c r="B929" s="40" t="n">
        <x:v>0.7497313169463148</x:v>
      </x:c>
      <x:c r="C929" t="n">
        <x:f>LOOKUP(B929,$E$4:$E$9,$A$4:$A$9)</x:f>
        <x:v>4</x:v>
      </x:c>
    </x:row>
    <x:row r="930">
      <x:c r="A930" t="n">
        <x:v>916</x:v>
      </x:c>
      <x:c r="B930" s="40" t="n">
        <x:v>0.8857451492948196</x:v>
      </x:c>
      <x:c r="C930" t="n">
        <x:f>LOOKUP(B930,$E$4:$E$9,$A$4:$A$9)</x:f>
        <x:v>4</x:v>
      </x:c>
    </x:row>
    <x:row r="931">
      <x:c r="A931" t="n">
        <x:v>917</x:v>
      </x:c>
      <x:c r="B931" s="40" t="n">
        <x:v>0.3493216752360554</x:v>
      </x:c>
      <x:c r="C931" t="n">
        <x:f>LOOKUP(B931,$E$4:$E$9,$A$4:$A$9)</x:f>
        <x:v>2</x:v>
      </x:c>
    </x:row>
    <x:row r="932">
      <x:c r="A932" t="n">
        <x:v>918</x:v>
      </x:c>
      <x:c r="B932" s="40" t="n">
        <x:v>0.6534813561119106</x:v>
      </x:c>
      <x:c r="C932" t="n">
        <x:f>LOOKUP(B932,$E$4:$E$9,$A$4:$A$9)</x:f>
        <x:v>3</x:v>
      </x:c>
    </x:row>
    <x:row r="933">
      <x:c r="A933" t="n">
        <x:v>919</x:v>
      </x:c>
      <x:c r="B933" s="40" t="n">
        <x:v>0.28029043159685585</x:v>
      </x:c>
      <x:c r="C933" t="n">
        <x:f>LOOKUP(B933,$E$4:$E$9,$A$4:$A$9)</x:f>
        <x:v>2</x:v>
      </x:c>
    </x:row>
    <x:row r="934">
      <x:c r="A934" t="n">
        <x:v>920</x:v>
      </x:c>
      <x:c r="B934" s="40" t="n">
        <x:v>0.5945687051169751</x:v>
      </x:c>
      <x:c r="C934" t="n">
        <x:f>LOOKUP(B934,$E$4:$E$9,$A$4:$A$9)</x:f>
        <x:v>3</x:v>
      </x:c>
    </x:row>
    <x:row r="935">
      <x:c r="A935" t="n">
        <x:v>921</x:v>
      </x:c>
      <x:c r="B935" s="40" t="n">
        <x:v>0.7511751401719279</x:v>
      </x:c>
      <x:c r="C935" t="n">
        <x:f>LOOKUP(B935,$E$4:$E$9,$A$4:$A$9)</x:f>
        <x:v>4</x:v>
      </x:c>
    </x:row>
    <x:row r="936">
      <x:c r="A936" t="n">
        <x:v>922</x:v>
      </x:c>
      <x:c r="B936" s="40" t="n">
        <x:v>0.7910010861616403</x:v>
      </x:c>
      <x:c r="C936" t="n">
        <x:f>LOOKUP(B936,$E$4:$E$9,$A$4:$A$9)</x:f>
        <x:v>4</x:v>
      </x:c>
    </x:row>
    <x:row r="937">
      <x:c r="A937" t="n">
        <x:v>923</x:v>
      </x:c>
      <x:c r="B937" s="40" t="n">
        <x:v>0.42012450298912274</x:v>
      </x:c>
      <x:c r="C937" t="n">
        <x:f>LOOKUP(B937,$E$4:$E$9,$A$4:$A$9)</x:f>
        <x:v>2</x:v>
      </x:c>
    </x:row>
    <x:row r="938">
      <x:c r="A938" t="n">
        <x:v>924</x:v>
      </x:c>
      <x:c r="B938" s="40" t="n">
        <x:v>0.5087202232013598</x:v>
      </x:c>
      <x:c r="C938" t="n">
        <x:f>LOOKUP(B938,$E$4:$E$9,$A$4:$A$9)</x:f>
        <x:v>3</x:v>
      </x:c>
    </x:row>
    <x:row r="939">
      <x:c r="A939" t="n">
        <x:v>925</x:v>
      </x:c>
      <x:c r="B939" s="40" t="n">
        <x:v>0.33384985117017285</x:v>
      </x:c>
      <x:c r="C939" t="n">
        <x:f>LOOKUP(B939,$E$4:$E$9,$A$4:$A$9)</x:f>
        <x:v>2</x:v>
      </x:c>
    </x:row>
    <x:row r="940">
      <x:c r="A940" t="n">
        <x:v>926</x:v>
      </x:c>
      <x:c r="B940" s="40" t="n">
        <x:v>0.1690363465396305</x:v>
      </x:c>
      <x:c r="C940" t="n">
        <x:f>LOOKUP(B940,$E$4:$E$9,$A$4:$A$9)</x:f>
        <x:v>1</x:v>
      </x:c>
    </x:row>
    <x:row r="941">
      <x:c r="A941" t="n">
        <x:v>927</x:v>
      </x:c>
      <x:c r="B941" s="40" t="n">
        <x:v>0.2605174051925322</x:v>
      </x:c>
      <x:c r="C941" t="n">
        <x:f>LOOKUP(B941,$E$4:$E$9,$A$4:$A$9)</x:f>
        <x:v>2</x:v>
      </x:c>
    </x:row>
    <x:row r="942">
      <x:c r="A942" t="n">
        <x:v>928</x:v>
      </x:c>
      <x:c r="B942" s="40" t="n">
        <x:v>0.9121370048998244</x:v>
      </x:c>
      <x:c r="C942" t="n">
        <x:f>LOOKUP(B942,$E$4:$E$9,$A$4:$A$9)</x:f>
        <x:v>5</x:v>
      </x:c>
    </x:row>
    <x:row r="943">
      <x:c r="A943" t="n">
        <x:v>929</x:v>
      </x:c>
      <x:c r="B943" s="40" t="n">
        <x:v>0.30896954240931596</x:v>
      </x:c>
      <x:c r="C943" t="n">
        <x:f>LOOKUP(B943,$E$4:$E$9,$A$4:$A$9)</x:f>
        <x:v>2</x:v>
      </x:c>
    </x:row>
    <x:row r="944">
      <x:c r="A944" t="n">
        <x:v>930</x:v>
      </x:c>
      <x:c r="B944" s="40" t="n">
        <x:v>0.9747593335456102</x:v>
      </x:c>
      <x:c r="C944" t="n">
        <x:f>LOOKUP(B944,$E$4:$E$9,$A$4:$A$9)</x:f>
        <x:v>5</x:v>
      </x:c>
    </x:row>
    <x:row r="945">
      <x:c r="A945" t="n">
        <x:v>931</x:v>
      </x:c>
      <x:c r="B945" s="40" t="n">
        <x:v>0.24147808521538172</x:v>
      </x:c>
      <x:c r="C945" t="n">
        <x:f>LOOKUP(B945,$E$4:$E$9,$A$4:$A$9)</x:f>
        <x:v>1</x:v>
      </x:c>
    </x:row>
    <x:row r="946">
      <x:c r="A946" t="n">
        <x:v>932</x:v>
      </x:c>
      <x:c r="B946" s="40" t="n">
        <x:v>0.7230710874810448</x:v>
      </x:c>
      <x:c r="C946" t="n">
        <x:f>LOOKUP(B946,$E$4:$E$9,$A$4:$A$9)</x:f>
        <x:v>3</x:v>
      </x:c>
    </x:row>
    <x:row r="947">
      <x:c r="A947" t="n">
        <x:v>933</x:v>
      </x:c>
      <x:c r="B947" s="40" t="n">
        <x:v>0.5739032935718357</x:v>
      </x:c>
      <x:c r="C947" t="n">
        <x:f>LOOKUP(B947,$E$4:$E$9,$A$4:$A$9)</x:f>
        <x:v>3</x:v>
      </x:c>
    </x:row>
    <x:row r="948">
      <x:c r="A948" t="n">
        <x:v>934</x:v>
      </x:c>
      <x:c r="B948" s="40" t="n">
        <x:v>0.6968700495247986</x:v>
      </x:c>
      <x:c r="C948" t="n">
        <x:f>LOOKUP(B948,$E$4:$E$9,$A$4:$A$9)</x:f>
        <x:v>3</x:v>
      </x:c>
    </x:row>
    <x:row r="949">
      <x:c r="A949" t="n">
        <x:v>935</x:v>
      </x:c>
      <x:c r="B949" s="40" t="n">
        <x:v>0.643957946609181</x:v>
      </x:c>
      <x:c r="C949" t="n">
        <x:f>LOOKUP(B949,$E$4:$E$9,$A$4:$A$9)</x:f>
        <x:v>3</x:v>
      </x:c>
    </x:row>
    <x:row r="950">
      <x:c r="A950" t="n">
        <x:v>936</x:v>
      </x:c>
      <x:c r="B950" s="40" t="n">
        <x:v>0.7067485835975892</x:v>
      </x:c>
      <x:c r="C950" t="n">
        <x:f>LOOKUP(B950,$E$4:$E$9,$A$4:$A$9)</x:f>
        <x:v>3</x:v>
      </x:c>
    </x:row>
    <x:row r="951">
      <x:c r="A951" t="n">
        <x:v>937</x:v>
      </x:c>
      <x:c r="B951" s="40" t="n">
        <x:v>0.905547048435459</x:v>
      </x:c>
      <x:c r="C951" t="n">
        <x:f>LOOKUP(B951,$E$4:$E$9,$A$4:$A$9)</x:f>
        <x:v>5</x:v>
      </x:c>
    </x:row>
    <x:row r="952">
      <x:c r="A952" t="n">
        <x:v>938</x:v>
      </x:c>
      <x:c r="B952" s="40" t="n">
        <x:v>0.5634694960624814</x:v>
      </x:c>
      <x:c r="C952" t="n">
        <x:f>LOOKUP(B952,$E$4:$E$9,$A$4:$A$9)</x:f>
        <x:v>3</x:v>
      </x:c>
    </x:row>
    <x:row r="953">
      <x:c r="A953" t="n">
        <x:v>939</x:v>
      </x:c>
      <x:c r="B953" s="40" t="n">
        <x:v>0.06784878290399521</x:v>
      </x:c>
      <x:c r="C953" t="n">
        <x:f>LOOKUP(B953,$E$4:$E$9,$A$4:$A$9)</x:f>
        <x:v>0</x:v>
      </x:c>
    </x:row>
    <x:row r="954">
      <x:c r="A954" t="n">
        <x:v>940</x:v>
      </x:c>
      <x:c r="B954" s="40" t="n">
        <x:v>0.27082543444689955</x:v>
      </x:c>
      <x:c r="C954" t="n">
        <x:f>LOOKUP(B954,$E$4:$E$9,$A$4:$A$9)</x:f>
        <x:v>2</x:v>
      </x:c>
    </x:row>
    <x:row r="955">
      <x:c r="A955" t="n">
        <x:v>941</x:v>
      </x:c>
      <x:c r="B955" s="40" t="n">
        <x:v>0.7082189804087639</x:v>
      </x:c>
      <x:c r="C955" t="n">
        <x:f>LOOKUP(B955,$E$4:$E$9,$A$4:$A$9)</x:f>
        <x:v>3</x:v>
      </x:c>
    </x:row>
    <x:row r="956">
      <x:c r="A956" t="n">
        <x:v>942</x:v>
      </x:c>
      <x:c r="B956" s="40" t="n">
        <x:v>0.49407462797567336</x:v>
      </x:c>
      <x:c r="C956" t="n">
        <x:f>LOOKUP(B956,$E$4:$E$9,$A$4:$A$9)</x:f>
        <x:v>2</x:v>
      </x:c>
    </x:row>
    <x:row r="957">
      <x:c r="A957" t="n">
        <x:v>943</x:v>
      </x:c>
      <x:c r="B957" s="40" t="n">
        <x:v>0.5485519826196869</x:v>
      </x:c>
      <x:c r="C957" t="n">
        <x:f>LOOKUP(B957,$E$4:$E$9,$A$4:$A$9)</x:f>
        <x:v>3</x:v>
      </x:c>
    </x:row>
    <x:row r="958">
      <x:c r="A958" t="n">
        <x:v>944</x:v>
      </x:c>
      <x:c r="B958" s="40" t="n">
        <x:v>0.5965804553802915</x:v>
      </x:c>
      <x:c r="C958" t="n">
        <x:f>LOOKUP(B958,$E$4:$E$9,$A$4:$A$9)</x:f>
        <x:v>3</x:v>
      </x:c>
    </x:row>
    <x:row r="959">
      <x:c r="A959" t="n">
        <x:v>945</x:v>
      </x:c>
      <x:c r="B959" s="40" t="n">
        <x:v>0.38262927298456995</x:v>
      </x:c>
      <x:c r="C959" t="n">
        <x:f>LOOKUP(B959,$E$4:$E$9,$A$4:$A$9)</x:f>
        <x:v>2</x:v>
      </x:c>
    </x:row>
    <x:row r="960">
      <x:c r="A960" t="n">
        <x:v>946</x:v>
      </x:c>
      <x:c r="B960" s="40" t="n">
        <x:v>0.7738955250878552</x:v>
      </x:c>
      <x:c r="C960" t="n">
        <x:f>LOOKUP(B960,$E$4:$E$9,$A$4:$A$9)</x:f>
        <x:v>4</x:v>
      </x:c>
    </x:row>
    <x:row r="961">
      <x:c r="A961" t="n">
        <x:v>947</x:v>
      </x:c>
      <x:c r="B961" s="40" t="n">
        <x:v>0.7235348838965485</x:v>
      </x:c>
      <x:c r="C961" t="n">
        <x:f>LOOKUP(B961,$E$4:$E$9,$A$4:$A$9)</x:f>
        <x:v>3</x:v>
      </x:c>
    </x:row>
    <x:row r="962">
      <x:c r="A962" t="n">
        <x:v>948</x:v>
      </x:c>
      <x:c r="B962" s="40" t="n">
        <x:v>0.7142994121931139</x:v>
      </x:c>
      <x:c r="C962" t="n">
        <x:f>LOOKUP(B962,$E$4:$E$9,$A$4:$A$9)</x:f>
        <x:v>3</x:v>
      </x:c>
    </x:row>
    <x:row r="963">
      <x:c r="A963" t="n">
        <x:v>949</x:v>
      </x:c>
      <x:c r="B963" s="40" t="n">
        <x:v>0.7153101740349447</x:v>
      </x:c>
      <x:c r="C963" t="n">
        <x:f>LOOKUP(B963,$E$4:$E$9,$A$4:$A$9)</x:f>
        <x:v>3</x:v>
      </x:c>
    </x:row>
    <x:row r="964">
      <x:c r="A964" t="n">
        <x:v>950</x:v>
      </x:c>
      <x:c r="B964" s="40" t="n">
        <x:v>0.8903580016542478</x:v>
      </x:c>
      <x:c r="C964" t="n">
        <x:f>LOOKUP(B964,$E$4:$E$9,$A$4:$A$9)</x:f>
        <x:v>5</x:v>
      </x:c>
    </x:row>
    <x:row r="965">
      <x:c r="A965" t="n">
        <x:v>951</x:v>
      </x:c>
      <x:c r="B965" s="40" t="n">
        <x:v>0.5953927794432744</x:v>
      </x:c>
      <x:c r="C965" t="n">
        <x:f>LOOKUP(B965,$E$4:$E$9,$A$4:$A$9)</x:f>
        <x:v>3</x:v>
      </x:c>
    </x:row>
    <x:row r="966">
      <x:c r="A966" t="n">
        <x:v>952</x:v>
      </x:c>
      <x:c r="B966" s="40" t="n">
        <x:v>0.9670721994969583</x:v>
      </x:c>
      <x:c r="C966" t="n">
        <x:f>LOOKUP(B966,$E$4:$E$9,$A$4:$A$9)</x:f>
        <x:v>5</x:v>
      </x:c>
    </x:row>
    <x:row r="967">
      <x:c r="A967" t="n">
        <x:v>953</x:v>
      </x:c>
      <x:c r="B967" s="40" t="n">
        <x:v>0.1191926843906379</x:v>
      </x:c>
      <x:c r="C967" t="n">
        <x:f>LOOKUP(B967,$E$4:$E$9,$A$4:$A$9)</x:f>
        <x:v>1</x:v>
      </x:c>
    </x:row>
    <x:row r="968">
      <x:c r="A968" t="n">
        <x:v>954</x:v>
      </x:c>
      <x:c r="B968" s="40" t="n">
        <x:v>0.6319589765938644</x:v>
      </x:c>
      <x:c r="C968" t="n">
        <x:f>LOOKUP(B968,$E$4:$E$9,$A$4:$A$9)</x:f>
        <x:v>3</x:v>
      </x:c>
    </x:row>
    <x:row r="969">
      <x:c r="A969" t="n">
        <x:v>955</x:v>
      </x:c>
      <x:c r="B969" s="40" t="n">
        <x:v>0.7169265459357955</x:v>
      </x:c>
      <x:c r="C969" t="n">
        <x:f>LOOKUP(B969,$E$4:$E$9,$A$4:$A$9)</x:f>
        <x:v>3</x:v>
      </x:c>
    </x:row>
    <x:row r="970">
      <x:c r="A970" t="n">
        <x:v>956</x:v>
      </x:c>
      <x:c r="B970" s="40" t="n">
        <x:v>0.4772204109543595</x:v>
      </x:c>
      <x:c r="C970" t="n">
        <x:f>LOOKUP(B970,$E$4:$E$9,$A$4:$A$9)</x:f>
        <x:v>2</x:v>
      </x:c>
    </x:row>
    <x:row r="971">
      <x:c r="A971" t="n">
        <x:v>957</x:v>
      </x:c>
      <x:c r="B971" s="40" t="n">
        <x:v>0.28820838645693647</x:v>
      </x:c>
      <x:c r="C971" t="n">
        <x:f>LOOKUP(B971,$E$4:$E$9,$A$4:$A$9)</x:f>
        <x:v>2</x:v>
      </x:c>
    </x:row>
    <x:row r="972">
      <x:c r="A972" t="n">
        <x:v>958</x:v>
      </x:c>
      <x:c r="B972" s="40" t="n">
        <x:v>0.550037452711099</x:v>
      </x:c>
      <x:c r="C972" t="n">
        <x:f>LOOKUP(B972,$E$4:$E$9,$A$4:$A$9)</x:f>
        <x:v>3</x:v>
      </x:c>
    </x:row>
    <x:row r="973">
      <x:c r="A973" t="n">
        <x:v>959</x:v>
      </x:c>
      <x:c r="B973" s="40" t="n">
        <x:v>0.3647476802907027</x:v>
      </x:c>
      <x:c r="C973" t="n">
        <x:f>LOOKUP(B973,$E$4:$E$9,$A$4:$A$9)</x:f>
        <x:v>2</x:v>
      </x:c>
    </x:row>
    <x:row r="974">
      <x:c r="A974" t="n">
        <x:v>960</x:v>
      </x:c>
      <x:c r="B974" s="40" t="n">
        <x:v>0.9091240710678165</x:v>
      </x:c>
      <x:c r="C974" t="n">
        <x:f>LOOKUP(B974,$E$4:$E$9,$A$4:$A$9)</x:f>
        <x:v>5</x:v>
      </x:c>
    </x:row>
    <x:row r="975">
      <x:c r="A975" t="n">
        <x:v>961</x:v>
      </x:c>
      <x:c r="B975" s="40" t="n">
        <x:v>0.3567924125332549</x:v>
      </x:c>
      <x:c r="C975" t="n">
        <x:f>LOOKUP(B975,$E$4:$E$9,$A$4:$A$9)</x:f>
        <x:v>2</x:v>
      </x:c>
    </x:row>
    <x:row r="976">
      <x:c r="A976" t="n">
        <x:v>962</x:v>
      </x:c>
      <x:c r="B976" s="40" t="n">
        <x:v>0.17570699270212908</x:v>
      </x:c>
      <x:c r="C976" t="n">
        <x:f>LOOKUP(B976,$E$4:$E$9,$A$4:$A$9)</x:f>
        <x:v>1</x:v>
      </x:c>
    </x:row>
    <x:row r="977">
      <x:c r="A977" t="n">
        <x:v>963</x:v>
      </x:c>
      <x:c r="B977" s="40" t="n">
        <x:v>0.5763891401654528</x:v>
      </x:c>
      <x:c r="C977" t="n">
        <x:f>LOOKUP(B977,$E$4:$E$9,$A$4:$A$9)</x:f>
        <x:v>3</x:v>
      </x:c>
    </x:row>
    <x:row r="978">
      <x:c r="A978" t="n">
        <x:v>964</x:v>
      </x:c>
      <x:c r="B978" s="40" t="n">
        <x:v>0.39599259138036935</x:v>
      </x:c>
      <x:c r="C978" t="n">
        <x:f>LOOKUP(B978,$E$4:$E$9,$A$4:$A$9)</x:f>
        <x:v>2</x:v>
      </x:c>
    </x:row>
    <x:row r="979">
      <x:c r="A979" t="n">
        <x:v>965</x:v>
      </x:c>
      <x:c r="B979" s="40" t="n">
        <x:v>0.09589814480084102</x:v>
      </x:c>
      <x:c r="C979" t="n">
        <x:f>LOOKUP(B979,$E$4:$E$9,$A$4:$A$9)</x:f>
        <x:v>1</x:v>
      </x:c>
    </x:row>
    <x:row r="980">
      <x:c r="A980" t="n">
        <x:v>966</x:v>
      </x:c>
      <x:c r="B980" s="40" t="n">
        <x:v>0.5648423509979084</x:v>
      </x:c>
      <x:c r="C980" t="n">
        <x:f>LOOKUP(B980,$E$4:$E$9,$A$4:$A$9)</x:f>
        <x:v>3</x:v>
      </x:c>
    </x:row>
    <x:row r="981">
      <x:c r="A981" t="n">
        <x:v>967</x:v>
      </x:c>
      <x:c r="B981" s="40" t="n">
        <x:v>0.5378464111657014</x:v>
      </x:c>
      <x:c r="C981" t="n">
        <x:f>LOOKUP(B981,$E$4:$E$9,$A$4:$A$9)</x:f>
        <x:v>3</x:v>
      </x:c>
    </x:row>
    <x:row r="982">
      <x:c r="A982" t="n">
        <x:v>968</x:v>
      </x:c>
      <x:c r="B982" s="40" t="n">
        <x:v>0.1731970866331951</x:v>
      </x:c>
      <x:c r="C982" t="n">
        <x:f>LOOKUP(B982,$E$4:$E$9,$A$4:$A$9)</x:f>
        <x:v>1</x:v>
      </x:c>
    </x:row>
    <x:row r="983">
      <x:c r="A983" t="n">
        <x:v>969</x:v>
      </x:c>
      <x:c r="B983" s="40" t="n">
        <x:v>0.5976381689598429</x:v>
      </x:c>
      <x:c r="C983" t="n">
        <x:f>LOOKUP(B983,$E$4:$E$9,$A$4:$A$9)</x:f>
        <x:v>3</x:v>
      </x:c>
    </x:row>
    <x:row r="984">
      <x:c r="A984" t="n">
        <x:v>970</x:v>
      </x:c>
      <x:c r="B984" s="40" t="n">
        <x:v>0.567358973857489</x:v>
      </x:c>
      <x:c r="C984" t="n">
        <x:f>LOOKUP(B984,$E$4:$E$9,$A$4:$A$9)</x:f>
        <x:v>3</x:v>
      </x:c>
    </x:row>
    <x:row r="985">
      <x:c r="A985" t="n">
        <x:v>971</x:v>
      </x:c>
      <x:c r="B985" s="40" t="n">
        <x:v>0.773612623041591</x:v>
      </x:c>
      <x:c r="C985" t="n">
        <x:f>LOOKUP(B985,$E$4:$E$9,$A$4:$A$9)</x:f>
        <x:v>4</x:v>
      </x:c>
    </x:row>
    <x:row r="986">
      <x:c r="A986" t="n">
        <x:v>972</x:v>
      </x:c>
      <x:c r="B986" s="40" t="n">
        <x:v>0.36156992984263436</x:v>
      </x:c>
      <x:c r="C986" t="n">
        <x:f>LOOKUP(B986,$E$4:$E$9,$A$4:$A$9)</x:f>
        <x:v>2</x:v>
      </x:c>
    </x:row>
    <x:row r="987">
      <x:c r="A987" t="n">
        <x:v>973</x:v>
      </x:c>
      <x:c r="B987" s="40" t="n">
        <x:v>0.2487595236636393</x:v>
      </x:c>
      <x:c r="C987" t="n">
        <x:f>LOOKUP(B987,$E$4:$E$9,$A$4:$A$9)</x:f>
        <x:v>1</x:v>
      </x:c>
    </x:row>
    <x:row r="988">
      <x:c r="A988" t="n">
        <x:v>974</x:v>
      </x:c>
      <x:c r="B988" s="40" t="n">
        <x:v>0.9512198869707755</x:v>
      </x:c>
      <x:c r="C988" t="n">
        <x:f>LOOKUP(B988,$E$4:$E$9,$A$4:$A$9)</x:f>
        <x:v>5</x:v>
      </x:c>
    </x:row>
    <x:row r="989">
      <x:c r="A989" t="n">
        <x:v>975</x:v>
      </x:c>
      <x:c r="B989" s="40" t="n">
        <x:v>0.5612175227827881</x:v>
      </x:c>
      <x:c r="C989" t="n">
        <x:f>LOOKUP(B989,$E$4:$E$9,$A$4:$A$9)</x:f>
        <x:v>3</x:v>
      </x:c>
    </x:row>
    <x:row r="990">
      <x:c r="A990" t="n">
        <x:v>976</x:v>
      </x:c>
      <x:c r="B990" s="40" t="n">
        <x:v>0.027139958884180304</x:v>
      </x:c>
      <x:c r="C990" t="n">
        <x:f>LOOKUP(B990,$E$4:$E$9,$A$4:$A$9)</x:f>
        <x:v>0</x:v>
      </x:c>
    </x:row>
    <x:row r="991">
      <x:c r="A991" t="n">
        <x:v>977</x:v>
      </x:c>
      <x:c r="B991" s="40" t="n">
        <x:v>0.8207116841117432</x:v>
      </x:c>
      <x:c r="C991" t="n">
        <x:f>LOOKUP(B991,$E$4:$E$9,$A$4:$A$9)</x:f>
        <x:v>4</x:v>
      </x:c>
    </x:row>
    <x:row r="992">
      <x:c r="A992" t="n">
        <x:v>978</x:v>
      </x:c>
      <x:c r="B992" s="40" t="n">
        <x:v>0.19675806091894077</x:v>
      </x:c>
      <x:c r="C992" t="n">
        <x:f>LOOKUP(B992,$E$4:$E$9,$A$4:$A$9)</x:f>
        <x:v>1</x:v>
      </x:c>
    </x:row>
    <x:row r="993">
      <x:c r="A993" t="n">
        <x:v>979</x:v>
      </x:c>
      <x:c r="B993" s="40" t="n">
        <x:v>0.7860363176458435</x:v>
      </x:c>
      <x:c r="C993" t="n">
        <x:f>LOOKUP(B993,$E$4:$E$9,$A$4:$A$9)</x:f>
        <x:v>4</x:v>
      </x:c>
    </x:row>
    <x:row r="994">
      <x:c r="A994" t="n">
        <x:v>980</x:v>
      </x:c>
      <x:c r="B994" s="40" t="n">
        <x:v>0.7051624271559648</x:v>
      </x:c>
      <x:c r="C994" t="n">
        <x:f>LOOKUP(B994,$E$4:$E$9,$A$4:$A$9)</x:f>
        <x:v>3</x:v>
      </x:c>
    </x:row>
    <x:row r="995">
      <x:c r="A995" t="n">
        <x:v>981</x:v>
      </x:c>
      <x:c r="B995" s="40" t="n">
        <x:v>0.9688137242631573</x:v>
      </x:c>
      <x:c r="C995" t="n">
        <x:f>LOOKUP(B995,$E$4:$E$9,$A$4:$A$9)</x:f>
        <x:v>5</x:v>
      </x:c>
    </x:row>
    <x:row r="996">
      <x:c r="A996" t="n">
        <x:v>982</x:v>
      </x:c>
      <x:c r="B996" s="40" t="n">
        <x:v>0.9655793015945262</x:v>
      </x:c>
      <x:c r="C996" t="n">
        <x:f>LOOKUP(B996,$E$4:$E$9,$A$4:$A$9)</x:f>
        <x:v>5</x:v>
      </x:c>
    </x:row>
    <x:row r="997">
      <x:c r="A997" t="n">
        <x:v>983</x:v>
      </x:c>
      <x:c r="B997" s="40" t="n">
        <x:v>0.27441062465575994</x:v>
      </x:c>
      <x:c r="C997" t="n">
        <x:f>LOOKUP(B997,$E$4:$E$9,$A$4:$A$9)</x:f>
        <x:v>2</x:v>
      </x:c>
    </x:row>
    <x:row r="998">
      <x:c r="A998" t="n">
        <x:v>984</x:v>
      </x:c>
      <x:c r="B998" s="40" t="n">
        <x:v>0.7664495812234184</x:v>
      </x:c>
      <x:c r="C998" t="n">
        <x:f>LOOKUP(B998,$E$4:$E$9,$A$4:$A$9)</x:f>
        <x:v>4</x:v>
      </x:c>
    </x:row>
    <x:row r="999">
      <x:c r="A999" t="n">
        <x:v>985</x:v>
      </x:c>
      <x:c r="B999" s="40" t="n">
        <x:v>0.31685508577992394</x:v>
      </x:c>
      <x:c r="C999" t="n">
        <x:f>LOOKUP(B999,$E$4:$E$9,$A$4:$A$9)</x:f>
        <x:v>2</x:v>
      </x:c>
    </x:row>
    <x:row r="1000">
      <x:c r="A1000" t="n">
        <x:v>986</x:v>
      </x:c>
      <x:c r="B1000" s="40" t="n">
        <x:v>0.6291979388295943</x:v>
      </x:c>
      <x:c r="C1000" t="n">
        <x:f>LOOKUP(B1000,$E$4:$E$9,$A$4:$A$9)</x:f>
        <x:v>3</x:v>
      </x:c>
    </x:row>
    <x:row r="1001">
      <x:c r="A1001" t="n">
        <x:v>987</x:v>
      </x:c>
      <x:c r="B1001" s="40" t="n">
        <x:v>0.5977460849545931</x:v>
      </x:c>
      <x:c r="C1001" t="n">
        <x:f>LOOKUP(B1001,$E$4:$E$9,$A$4:$A$9)</x:f>
        <x:v>3</x:v>
      </x:c>
    </x:row>
    <x:row r="1002">
      <x:c r="A1002" t="n">
        <x:v>988</x:v>
      </x:c>
      <x:c r="B1002" s="40" t="n">
        <x:v>0.05454351562116466</x:v>
      </x:c>
      <x:c r="C1002" t="n">
        <x:f>LOOKUP(B1002,$E$4:$E$9,$A$4:$A$9)</x:f>
        <x:v>0</x:v>
      </x:c>
    </x:row>
    <x:row r="1003">
      <x:c r="A1003" t="n">
        <x:v>989</x:v>
      </x:c>
      <x:c r="B1003" s="40" t="n">
        <x:v>0.005181749835357574</x:v>
      </x:c>
      <x:c r="C1003" t="n">
        <x:f>LOOKUP(B1003,$E$4:$E$9,$A$4:$A$9)</x:f>
        <x:v>0</x:v>
      </x:c>
    </x:row>
    <x:row r="1004">
      <x:c r="A1004" t="n">
        <x:v>990</x:v>
      </x:c>
      <x:c r="B1004" s="40" t="n">
        <x:v>0.05776401459480951</x:v>
      </x:c>
      <x:c r="C1004" t="n">
        <x:f>LOOKUP(B1004,$E$4:$E$9,$A$4:$A$9)</x:f>
        <x:v>0</x:v>
      </x:c>
    </x:row>
    <x:row r="1005">
      <x:c r="A1005" t="n">
        <x:v>991</x:v>
      </x:c>
      <x:c r="B1005" s="40" t="n">
        <x:v>0.1279420475317411</x:v>
      </x:c>
      <x:c r="C1005" t="n">
        <x:f>LOOKUP(B1005,$E$4:$E$9,$A$4:$A$9)</x:f>
        <x:v>1</x:v>
      </x:c>
    </x:row>
    <x:row r="1006">
      <x:c r="A1006" t="n">
        <x:v>992</x:v>
      </x:c>
      <x:c r="B1006" s="40" t="n">
        <x:v>0.2576524913477737</x:v>
      </x:c>
      <x:c r="C1006" t="n">
        <x:f>LOOKUP(B1006,$E$4:$E$9,$A$4:$A$9)</x:f>
        <x:v>2</x:v>
      </x:c>
    </x:row>
    <x:row r="1007">
      <x:c r="A1007" t="n">
        <x:v>993</x:v>
      </x:c>
      <x:c r="B1007" s="40" t="n">
        <x:v>0.9069552232425624</x:v>
      </x:c>
      <x:c r="C1007" t="n">
        <x:f>LOOKUP(B1007,$E$4:$E$9,$A$4:$A$9)</x:f>
        <x:v>5</x:v>
      </x:c>
    </x:row>
    <x:row r="1008">
      <x:c r="A1008" t="n">
        <x:v>994</x:v>
      </x:c>
      <x:c r="B1008" s="40" t="n">
        <x:v>0.5186326753466863</x:v>
      </x:c>
      <x:c r="C1008" t="n">
        <x:f>LOOKUP(B1008,$E$4:$E$9,$A$4:$A$9)</x:f>
        <x:v>3</x:v>
      </x:c>
    </x:row>
    <x:row r="1009">
      <x:c r="A1009" t="n">
        <x:v>995</x:v>
      </x:c>
      <x:c r="B1009" s="40" t="n">
        <x:v>0.7968917388407887</x:v>
      </x:c>
      <x:c r="C1009" t="n">
        <x:f>LOOKUP(B1009,$E$4:$E$9,$A$4:$A$9)</x:f>
        <x:v>4</x:v>
      </x:c>
    </x:row>
    <x:row r="1010">
      <x:c r="A1010" t="n">
        <x:v>996</x:v>
      </x:c>
      <x:c r="B1010" s="40" t="n">
        <x:v>0.8383117521072081</x:v>
      </x:c>
      <x:c r="C1010" t="n">
        <x:f>LOOKUP(B1010,$E$4:$E$9,$A$4:$A$9)</x:f>
        <x:v>4</x:v>
      </x:c>
    </x:row>
    <x:row r="1011">
      <x:c r="A1011" t="n">
        <x:v>997</x:v>
      </x:c>
      <x:c r="B1011" s="40" t="n">
        <x:v>0.7349430985905412</x:v>
      </x:c>
      <x:c r="C1011" t="n">
        <x:f>LOOKUP(B1011,$E$4:$E$9,$A$4:$A$9)</x:f>
        <x:v>3</x:v>
      </x:c>
    </x:row>
    <x:row r="1012">
      <x:c r="A1012" t="n">
        <x:v>998</x:v>
      </x:c>
      <x:c r="B1012" s="40" t="n">
        <x:v>0.39138512442057194</x:v>
      </x:c>
      <x:c r="C1012" t="n">
        <x:f>LOOKUP(B1012,$E$4:$E$9,$A$4:$A$9)</x:f>
        <x:v>2</x:v>
      </x:c>
    </x:row>
    <x:row r="1013">
      <x:c r="A1013" t="n">
        <x:v>999</x:v>
      </x:c>
      <x:c r="B1013" s="40" t="n">
        <x:v>0.8638593938409828</x:v>
      </x:c>
      <x:c r="C1013" t="n">
        <x:f>LOOKUP(B1013,$E$4:$E$9,$A$4:$A$9)</x:f>
        <x:v>4</x:v>
      </x:c>
    </x:row>
    <x:row r="1014">
      <x:c r="A1014" t="n">
        <x:v>1000</x:v>
      </x:c>
      <x:c r="B1014" s="40" t="n">
        <x:v>0.7420497533209206</x:v>
      </x:c>
      <x:c r="C1014" t="n">
        <x:f>LOOKUP(B1014,$E$4:$E$9,$A$4:$A$9)</x:f>
        <x:v>3</x:v>
      </x:c>
    </x:row>
    <x:row r="1015">
      <x:c r="A1015" t="n">
        <x:v>1001</x:v>
      </x:c>
      <x:c r="B1015" s="40" t="n">
        <x:v>0.7431514434050525</x:v>
      </x:c>
      <x:c r="C1015" t="n">
        <x:f>LOOKUP(B1015,$E$4:$E$9,$A$4:$A$9)</x:f>
        <x:v>3</x:v>
      </x:c>
    </x:row>
    <x:row r="1016">
      <x:c r="A1016" t="n">
        <x:v>1002</x:v>
      </x:c>
      <x:c r="B1016" s="40" t="n">
        <x:v>0.9015743271655693</x:v>
      </x:c>
      <x:c r="C1016" t="n">
        <x:f>LOOKUP(B1016,$E$4:$E$9,$A$4:$A$9)</x:f>
        <x:v>5</x:v>
      </x:c>
    </x:row>
    <x:row r="1017">
      <x:c r="A1017" t="n">
        <x:v>1003</x:v>
      </x:c>
      <x:c r="B1017" s="40" t="n">
        <x:v>0.5986634724576837</x:v>
      </x:c>
      <x:c r="C1017" t="n">
        <x:f>LOOKUP(B1017,$E$4:$E$9,$A$4:$A$9)</x:f>
        <x:v>3</x:v>
      </x:c>
    </x:row>
    <x:row r="1018">
      <x:c r="A1018" t="n">
        <x:v>1004</x:v>
      </x:c>
      <x:c r="B1018" s="40" t="n">
        <x:v>0.5285744299621766</x:v>
      </x:c>
      <x:c r="C1018" t="n">
        <x:f>LOOKUP(B1018,$E$4:$E$9,$A$4:$A$9)</x:f>
        <x:v>3</x:v>
      </x:c>
    </x:row>
    <x:row r="1019">
      <x:c r="A1019" t="n">
        <x:v>1005</x:v>
      </x:c>
      <x:c r="B1019" s="40" t="n">
        <x:v>0.8901625575970753</x:v>
      </x:c>
      <x:c r="C1019" t="n">
        <x:f>LOOKUP(B1019,$E$4:$E$9,$A$4:$A$9)</x:f>
        <x:v>5</x:v>
      </x:c>
    </x:row>
    <x:row r="1020">
      <x:c r="A1020" t="n">
        <x:v>1006</x:v>
      </x:c>
      <x:c r="B1020" s="40" t="n">
        <x:v>0.45446172816419683</x:v>
      </x:c>
      <x:c r="C1020" t="n">
        <x:f>LOOKUP(B1020,$E$4:$E$9,$A$4:$A$9)</x:f>
        <x:v>2</x:v>
      </x:c>
    </x:row>
    <x:row r="1021">
      <x:c r="A1021" t="n">
        <x:v>1007</x:v>
      </x:c>
      <x:c r="B1021" s="40" t="n">
        <x:v>0.8115706960288429</x:v>
      </x:c>
      <x:c r="C1021" t="n">
        <x:f>LOOKUP(B1021,$E$4:$E$9,$A$4:$A$9)</x:f>
        <x:v>4</x:v>
      </x:c>
    </x:row>
    <x:row r="1022">
      <x:c r="A1022" t="n">
        <x:v>1008</x:v>
      </x:c>
      <x:c r="B1022" s="40" t="n">
        <x:v>0.05384636044480773</x:v>
      </x:c>
      <x:c r="C1022" t="n">
        <x:f>LOOKUP(B1022,$E$4:$E$9,$A$4:$A$9)</x:f>
        <x:v>0</x:v>
      </x:c>
    </x:row>
    <x:row r="1023">
      <x:c r="A1023" t="n">
        <x:v>1009</x:v>
      </x:c>
      <x:c r="B1023" s="40" t="n">
        <x:v>0.001289944456322134</x:v>
      </x:c>
      <x:c r="C1023" t="n">
        <x:f>LOOKUP(B1023,$E$4:$E$9,$A$4:$A$9)</x:f>
        <x:v>0</x:v>
      </x:c>
    </x:row>
    <x:row r="1024">
      <x:c r="A1024" t="n">
        <x:v>1010</x:v>
      </x:c>
      <x:c r="B1024" s="40" t="n">
        <x:v>0.5282924896043568</x:v>
      </x:c>
      <x:c r="C1024" t="n">
        <x:f>LOOKUP(B1024,$E$4:$E$9,$A$4:$A$9)</x:f>
        <x:v>3</x:v>
      </x:c>
    </x:row>
    <x:row r="1025">
      <x:c r="A1025" t="n">
        <x:v>1011</x:v>
      </x:c>
      <x:c r="B1025" s="40" t="n">
        <x:v>0.07361189381638022</x:v>
      </x:c>
      <x:c r="C1025" t="n">
        <x:f>LOOKUP(B1025,$E$4:$E$9,$A$4:$A$9)</x:f>
        <x:v>0</x:v>
      </x:c>
    </x:row>
    <x:row r="1026">
      <x:c r="A1026" t="n">
        <x:v>1012</x:v>
      </x:c>
      <x:c r="B1026" s="40" t="n">
        <x:v>0.9765430134530636</x:v>
      </x:c>
      <x:c r="C1026" t="n">
        <x:f>LOOKUP(B1026,$E$4:$E$9,$A$4:$A$9)</x:f>
        <x:v>5</x:v>
      </x:c>
    </x:row>
    <x:row r="1027">
      <x:c r="A1027" t="n">
        <x:v>1013</x:v>
      </x:c>
      <x:c r="B1027" s="40" t="n">
        <x:v>0.005501174039798773</x:v>
      </x:c>
      <x:c r="C1027" t="n">
        <x:f>LOOKUP(B1027,$E$4:$E$9,$A$4:$A$9)</x:f>
        <x:v>0</x:v>
      </x:c>
    </x:row>
    <x:row r="1028">
      <x:c r="A1028" t="n">
        <x:v>1014</x:v>
      </x:c>
      <x:c r="B1028" s="40" t="n">
        <x:v>0.7181496364986464</x:v>
      </x:c>
      <x:c r="C1028" t="n">
        <x:f>LOOKUP(B1028,$E$4:$E$9,$A$4:$A$9)</x:f>
        <x:v>3</x:v>
      </x:c>
    </x:row>
    <x:row r="1029">
      <x:c r="A1029" t="n">
        <x:v>1015</x:v>
      </x:c>
      <x:c r="B1029" s="40" t="n">
        <x:v>0.24338469578622068</x:v>
      </x:c>
      <x:c r="C1029" t="n">
        <x:f>LOOKUP(B1029,$E$4:$E$9,$A$4:$A$9)</x:f>
        <x:v>1</x:v>
      </x:c>
    </x:row>
    <x:row r="1030">
      <x:c r="A1030" t="n">
        <x:v>1016</x:v>
      </x:c>
      <x:c r="B1030" s="40" t="n">
        <x:v>0.9675520052720562</x:v>
      </x:c>
      <x:c r="C1030" t="n">
        <x:f>LOOKUP(B1030,$E$4:$E$9,$A$4:$A$9)</x:f>
        <x:v>5</x:v>
      </x:c>
    </x:row>
    <x:row r="1031">
      <x:c r="A1031" t="n">
        <x:v>1017</x:v>
      </x:c>
      <x:c r="B1031" s="40" t="n">
        <x:v>0.38154165062789613</x:v>
      </x:c>
      <x:c r="C1031" t="n">
        <x:f>LOOKUP(B1031,$E$4:$E$9,$A$4:$A$9)</x:f>
        <x:v>2</x:v>
      </x:c>
    </x:row>
    <x:row r="1032">
      <x:c r="A1032" t="n">
        <x:v>1018</x:v>
      </x:c>
      <x:c r="B1032" s="40" t="n">
        <x:v>0.02728342626386515</x:v>
      </x:c>
      <x:c r="C1032" t="n">
        <x:f>LOOKUP(B1032,$E$4:$E$9,$A$4:$A$9)</x:f>
        <x:v>0</x:v>
      </x:c>
    </x:row>
    <x:row r="1033">
      <x:c r="A1033" t="n">
        <x:v>1019</x:v>
      </x:c>
      <x:c r="B1033" s="40" t="n">
        <x:v>0.02693576540878273</x:v>
      </x:c>
      <x:c r="C1033" t="n">
        <x:f>LOOKUP(B1033,$E$4:$E$9,$A$4:$A$9)</x:f>
        <x:v>0</x:v>
      </x:c>
    </x:row>
    <x:row r="1034">
      <x:c r="A1034" t="n">
        <x:v>1020</x:v>
      </x:c>
      <x:c r="B1034" s="40" t="n">
        <x:v>0.5533733717246886</x:v>
      </x:c>
      <x:c r="C1034" t="n">
        <x:f>LOOKUP(B1034,$E$4:$E$9,$A$4:$A$9)</x:f>
        <x:v>3</x:v>
      </x:c>
    </x:row>
    <x:row r="1035">
      <x:c r="A1035" t="n">
        <x:v>1021</x:v>
      </x:c>
      <x:c r="B1035" s="40" t="n">
        <x:v>0.9867119790312812</x:v>
      </x:c>
      <x:c r="C1035" t="n">
        <x:f>LOOKUP(B1035,$E$4:$E$9,$A$4:$A$9)</x:f>
        <x:v>5</x:v>
      </x:c>
    </x:row>
    <x:row r="1036">
      <x:c r="A1036" t="n">
        <x:v>1022</x:v>
      </x:c>
      <x:c r="B1036" s="40" t="n">
        <x:v>0.9797735350457194</x:v>
      </x:c>
      <x:c r="C1036" t="n">
        <x:f>LOOKUP(B1036,$E$4:$E$9,$A$4:$A$9)</x:f>
        <x:v>5</x:v>
      </x:c>
    </x:row>
    <x:row r="1037">
      <x:c r="A1037" t="n">
        <x:v>1023</x:v>
      </x:c>
      <x:c r="B1037" s="40" t="n">
        <x:v>0.3372729722892658</x:v>
      </x:c>
      <x:c r="C1037" t="n">
        <x:f>LOOKUP(B1037,$E$4:$E$9,$A$4:$A$9)</x:f>
        <x:v>2</x:v>
      </x:c>
    </x:row>
    <x:row r="1038">
      <x:c r="A1038" t="n">
        <x:v>1024</x:v>
      </x:c>
      <x:c r="B1038" s="40" t="n">
        <x:v>0.48270364918889697</x:v>
      </x:c>
      <x:c r="C1038" t="n">
        <x:f>LOOKUP(B1038,$E$4:$E$9,$A$4:$A$9)</x:f>
        <x:v>2</x:v>
      </x:c>
    </x:row>
    <x:row r="1039">
      <x:c r="A1039" t="n">
        <x:v>1025</x:v>
      </x:c>
      <x:c r="B1039" s="40" t="n">
        <x:v>0.1004558057978161</x:v>
      </x:c>
      <x:c r="C1039" t="n">
        <x:f>LOOKUP(B1039,$E$4:$E$9,$A$4:$A$9)</x:f>
        <x:v>1</x:v>
      </x:c>
    </x:row>
    <x:row r="1040">
      <x:c r="A1040" t="n">
        <x:v>1026</x:v>
      </x:c>
      <x:c r="B1040" s="40" t="n">
        <x:v>0.5221768559917317</x:v>
      </x:c>
      <x:c r="C1040" t="n">
        <x:f>LOOKUP(B1040,$E$4:$E$9,$A$4:$A$9)</x:f>
        <x:v>3</x:v>
      </x:c>
    </x:row>
    <x:row r="1041">
      <x:c r="A1041" t="n">
        <x:v>1027</x:v>
      </x:c>
      <x:c r="B1041" s="40" t="n">
        <x:v>0.5997015990482731</x:v>
      </x:c>
      <x:c r="C1041" t="n">
        <x:f>LOOKUP(B1041,$E$4:$E$9,$A$4:$A$9)</x:f>
        <x:v>3</x:v>
      </x:c>
    </x:row>
    <x:row r="1042">
      <x:c r="A1042" t="n">
        <x:v>1028</x:v>
      </x:c>
      <x:c r="B1042" s="40" t="n">
        <x:v>0.25106166561132104</x:v>
      </x:c>
      <x:c r="C1042" t="n">
        <x:f>LOOKUP(B1042,$E$4:$E$9,$A$4:$A$9)</x:f>
        <x:v>2</x:v>
      </x:c>
    </x:row>
    <x:row r="1043">
      <x:c r="A1043" t="n">
        <x:v>1029</x:v>
      </x:c>
      <x:c r="B1043" s="40" t="n">
        <x:v>0.6121144359151738</x:v>
      </x:c>
      <x:c r="C1043" t="n">
        <x:f>LOOKUP(B1043,$E$4:$E$9,$A$4:$A$9)</x:f>
        <x:v>3</x:v>
      </x:c>
    </x:row>
    <x:row r="1044">
      <x:c r="A1044" t="n">
        <x:v>1030</x:v>
      </x:c>
      <x:c r="B1044" s="40" t="n">
        <x:v>0.8996927516962538</x:v>
      </x:c>
      <x:c r="C1044" t="n">
        <x:f>LOOKUP(B1044,$E$4:$E$9,$A$4:$A$9)</x:f>
        <x:v>5</x:v>
      </x:c>
    </x:row>
    <x:row r="1045">
      <x:c r="A1045" t="n">
        <x:v>1031</x:v>
      </x:c>
      <x:c r="B1045" s="40" t="n">
        <x:v>0.0009553334234805311</x:v>
      </x:c>
      <x:c r="C1045" t="n">
        <x:f>LOOKUP(B1045,$E$4:$E$9,$A$4:$A$9)</x:f>
        <x:v>0</x:v>
      </x:c>
    </x:row>
    <x:row r="1046">
      <x:c r="A1046" t="n">
        <x:v>1032</x:v>
      </x:c>
      <x:c r="B1046" s="40" t="n">
        <x:v>0.22893377430794448</x:v>
      </x:c>
      <x:c r="C1046" t="n">
        <x:f>LOOKUP(B1046,$E$4:$E$9,$A$4:$A$9)</x:f>
        <x:v>1</x:v>
      </x:c>
    </x:row>
    <x:row r="1047">
      <x:c r="A1047" t="n">
        <x:v>1033</x:v>
      </x:c>
      <x:c r="B1047" s="40" t="n">
        <x:v>0.20991956332393813</x:v>
      </x:c>
      <x:c r="C1047" t="n">
        <x:f>LOOKUP(B1047,$E$4:$E$9,$A$4:$A$9)</x:f>
        <x:v>1</x:v>
      </x:c>
    </x:row>
    <x:row r="1048">
      <x:c r="A1048" t="n">
        <x:v>1034</x:v>
      </x:c>
      <x:c r="B1048" s="40" t="n">
        <x:v>0.12388620303382702</x:v>
      </x:c>
      <x:c r="C1048" t="n">
        <x:f>LOOKUP(B1048,$E$4:$E$9,$A$4:$A$9)</x:f>
        <x:v>1</x:v>
      </x:c>
    </x:row>
    <x:row r="1049">
      <x:c r="A1049" t="n">
        <x:v>1035</x:v>
      </x:c>
      <x:c r="B1049" s="40" t="n">
        <x:v>0.16610121273710188</x:v>
      </x:c>
      <x:c r="C1049" t="n">
        <x:f>LOOKUP(B1049,$E$4:$E$9,$A$4:$A$9)</x:f>
        <x:v>1</x:v>
      </x:c>
    </x:row>
    <x:row r="1050">
      <x:c r="A1050" t="n">
        <x:v>1036</x:v>
      </x:c>
      <x:c r="B1050" s="40" t="n">
        <x:v>0.6259125453653877</x:v>
      </x:c>
      <x:c r="C1050" t="n">
        <x:f>LOOKUP(B1050,$E$4:$E$9,$A$4:$A$9)</x:f>
        <x:v>3</x:v>
      </x:c>
    </x:row>
    <x:row r="1051">
      <x:c r="A1051" t="n">
        <x:v>1037</x:v>
      </x:c>
      <x:c r="B1051" s="40" t="n">
        <x:v>0.10269439015064263</x:v>
      </x:c>
      <x:c r="C1051" t="n">
        <x:f>LOOKUP(B1051,$E$4:$E$9,$A$4:$A$9)</x:f>
        <x:v>1</x:v>
      </x:c>
    </x:row>
    <x:row r="1052">
      <x:c r="A1052" t="n">
        <x:v>1038</x:v>
      </x:c>
      <x:c r="B1052" s="40" t="n">
        <x:v>0.7385316090207217</x:v>
      </x:c>
      <x:c r="C1052" t="n">
        <x:f>LOOKUP(B1052,$E$4:$E$9,$A$4:$A$9)</x:f>
        <x:v>3</x:v>
      </x:c>
    </x:row>
    <x:row r="1053">
      <x:c r="A1053" t="n">
        <x:v>1039</x:v>
      </x:c>
      <x:c r="B1053" s="40" t="n">
        <x:v>0.8870225905583834</x:v>
      </x:c>
      <x:c r="C1053" t="n">
        <x:f>LOOKUP(B1053,$E$4:$E$9,$A$4:$A$9)</x:f>
        <x:v>4</x:v>
      </x:c>
    </x:row>
    <x:row r="1054">
      <x:c r="A1054" t="n">
        <x:v>1040</x:v>
      </x:c>
      <x:c r="B1054" s="40" t="n">
        <x:v>0.926587724178369</x:v>
      </x:c>
      <x:c r="C1054" t="n">
        <x:f>LOOKUP(B1054,$E$4:$E$9,$A$4:$A$9)</x:f>
        <x:v>5</x:v>
      </x:c>
    </x:row>
    <x:row r="1055">
      <x:c r="A1055" t="n">
        <x:v>1041</x:v>
      </x:c>
      <x:c r="B1055" s="40" t="n">
        <x:v>0.6601758143197008</x:v>
      </x:c>
      <x:c r="C1055" t="n">
        <x:f>LOOKUP(B1055,$E$4:$E$9,$A$4:$A$9)</x:f>
        <x:v>3</x:v>
      </x:c>
    </x:row>
    <x:row r="1056">
      <x:c r="A1056" t="n">
        <x:v>1042</x:v>
      </x:c>
      <x:c r="B1056" s="40" t="n">
        <x:v>0.19739641063361602</x:v>
      </x:c>
      <x:c r="C1056" t="n">
        <x:f>LOOKUP(B1056,$E$4:$E$9,$A$4:$A$9)</x:f>
        <x:v>1</x:v>
      </x:c>
    </x:row>
    <x:row r="1057">
      <x:c r="A1057" t="n">
        <x:v>1043</x:v>
      </x:c>
      <x:c r="B1057" s="40" t="n">
        <x:v>0.08529657553990788</x:v>
      </x:c>
      <x:c r="C1057" t="n">
        <x:f>LOOKUP(B1057,$E$4:$E$9,$A$4:$A$9)</x:f>
        <x:v>0</x:v>
      </x:c>
    </x:row>
    <x:row r="1058">
      <x:c r="A1058" t="n">
        <x:v>1044</x:v>
      </x:c>
      <x:c r="B1058" s="40" t="n">
        <x:v>0.2320249538069996</x:v>
      </x:c>
      <x:c r="C1058" t="n">
        <x:f>LOOKUP(B1058,$E$4:$E$9,$A$4:$A$9)</x:f>
        <x:v>1</x:v>
      </x:c>
    </x:row>
    <x:row r="1059">
      <x:c r="A1059" t="n">
        <x:v>1045</x:v>
      </x:c>
      <x:c r="B1059" s="40" t="n">
        <x:v>0.9619571857850425</x:v>
      </x:c>
      <x:c r="C1059" t="n">
        <x:f>LOOKUP(B1059,$E$4:$E$9,$A$4:$A$9)</x:f>
        <x:v>5</x:v>
      </x:c>
    </x:row>
    <x:row r="1060">
      <x:c r="A1060" t="n">
        <x:v>1046</x:v>
      </x:c>
      <x:c r="B1060" s="40" t="n">
        <x:v>0.9623452017507121</x:v>
      </x:c>
      <x:c r="C1060" t="n">
        <x:f>LOOKUP(B1060,$E$4:$E$9,$A$4:$A$9)</x:f>
        <x:v>5</x:v>
      </x:c>
    </x:row>
    <x:row r="1061">
      <x:c r="A1061" t="n">
        <x:v>1047</x:v>
      </x:c>
      <x:c r="B1061" s="40" t="n">
        <x:v>0.38191888391834206</x:v>
      </x:c>
      <x:c r="C1061" t="n">
        <x:f>LOOKUP(B1061,$E$4:$E$9,$A$4:$A$9)</x:f>
        <x:v>2</x:v>
      </x:c>
    </x:row>
    <x:row r="1062">
      <x:c r="A1062" t="n">
        <x:v>1048</x:v>
      </x:c>
      <x:c r="B1062" s="40" t="n">
        <x:v>0.3257915410975506</x:v>
      </x:c>
      <x:c r="C1062" t="n">
        <x:f>LOOKUP(B1062,$E$4:$E$9,$A$4:$A$9)</x:f>
        <x:v>2</x:v>
      </x:c>
    </x:row>
    <x:row r="1063">
      <x:c r="A1063" t="n">
        <x:v>1049</x:v>
      </x:c>
      <x:c r="B1063" s="40" t="n">
        <x:v>0.5100105822590654</x:v>
      </x:c>
      <x:c r="C1063" t="n">
        <x:f>LOOKUP(B1063,$E$4:$E$9,$A$4:$A$9)</x:f>
        <x:v>3</x:v>
      </x:c>
    </x:row>
    <x:row r="1064">
      <x:c r="A1064" t="n">
        <x:v>1050</x:v>
      </x:c>
      <x:c r="B1064" s="40" t="n">
        <x:v>0.2916880914674007</x:v>
      </x:c>
      <x:c r="C1064" t="n">
        <x:f>LOOKUP(B1064,$E$4:$E$9,$A$4:$A$9)</x:f>
        <x:v>2</x:v>
      </x:c>
    </x:row>
    <x:row r="1065">
      <x:c r="A1065" t="n">
        <x:v>1051</x:v>
      </x:c>
      <x:c r="B1065" s="40" t="n">
        <x:v>0.9796624516555633</x:v>
      </x:c>
      <x:c r="C1065" t="n">
        <x:f>LOOKUP(B1065,$E$4:$E$9,$A$4:$A$9)</x:f>
        <x:v>5</x:v>
      </x:c>
    </x:row>
    <x:row r="1066">
      <x:c r="A1066" t="n">
        <x:v>1052</x:v>
      </x:c>
      <x:c r="B1066" s="40" t="n">
        <x:v>0.2212213900245774</x:v>
      </x:c>
      <x:c r="C1066" t="n">
        <x:f>LOOKUP(B1066,$E$4:$E$9,$A$4:$A$9)</x:f>
        <x:v>1</x:v>
      </x:c>
    </x:row>
    <x:row r="1067">
      <x:c r="A1067" t="n">
        <x:v>1053</x:v>
      </x:c>
      <x:c r="B1067" s="40" t="n">
        <x:v>0.3691426821827686</x:v>
      </x:c>
      <x:c r="C1067" t="n">
        <x:f>LOOKUP(B1067,$E$4:$E$9,$A$4:$A$9)</x:f>
        <x:v>2</x:v>
      </x:c>
    </x:row>
    <x:row r="1068">
      <x:c r="A1068" t="n">
        <x:v>1054</x:v>
      </x:c>
      <x:c r="B1068" s="40" t="n">
        <x:v>0.4293708757001783</x:v>
      </x:c>
      <x:c r="C1068" t="n">
        <x:f>LOOKUP(B1068,$E$4:$E$9,$A$4:$A$9)</x:f>
        <x:v>2</x:v>
      </x:c>
    </x:row>
    <x:row r="1069">
      <x:c r="A1069" t="n">
        <x:v>1055</x:v>
      </x:c>
      <x:c r="B1069" s="40" t="n">
        <x:v>0.12506402308116216</x:v>
      </x:c>
      <x:c r="C1069" t="n">
        <x:f>LOOKUP(B1069,$E$4:$E$9,$A$4:$A$9)</x:f>
        <x:v>1</x:v>
      </x:c>
    </x:row>
    <x:row r="1070">
      <x:c r="A1070" t="n">
        <x:v>1056</x:v>
      </x:c>
      <x:c r="B1070" s="40" t="n">
        <x:v>0.38282482677012986</x:v>
      </x:c>
      <x:c r="C1070" t="n">
        <x:f>LOOKUP(B1070,$E$4:$E$9,$A$4:$A$9)</x:f>
        <x:v>2</x:v>
      </x:c>
    </x:row>
    <x:row r="1071">
      <x:c r="A1071" t="n">
        <x:v>1057</x:v>
      </x:c>
      <x:c r="B1071" s="40" t="n">
        <x:v>0.8567307201019734</x:v>
      </x:c>
      <x:c r="C1071" t="n">
        <x:f>LOOKUP(B1071,$E$4:$E$9,$A$4:$A$9)</x:f>
        <x:v>4</x:v>
      </x:c>
    </x:row>
    <x:row r="1072">
      <x:c r="A1072" t="n">
        <x:v>1058</x:v>
      </x:c>
      <x:c r="B1072" s="40" t="n">
        <x:v>0.14036100145675845</x:v>
      </x:c>
      <x:c r="C1072" t="n">
        <x:f>LOOKUP(B1072,$E$4:$E$9,$A$4:$A$9)</x:f>
        <x:v>1</x:v>
      </x:c>
    </x:row>
    <x:row r="1073">
      <x:c r="A1073" t="n">
        <x:v>1059</x:v>
      </x:c>
      <x:c r="B1073" s="40" t="n">
        <x:v>0.5840219508261872</x:v>
      </x:c>
      <x:c r="C1073" t="n">
        <x:f>LOOKUP(B1073,$E$4:$E$9,$A$4:$A$9)</x:f>
        <x:v>3</x:v>
      </x:c>
    </x:row>
    <x:row r="1074">
      <x:c r="A1074" t="n">
        <x:v>1060</x:v>
      </x:c>
      <x:c r="B1074" s="40" t="n">
        <x:v>0.4066371380600168</x:v>
      </x:c>
      <x:c r="C1074" t="n">
        <x:f>LOOKUP(B1074,$E$4:$E$9,$A$4:$A$9)</x:f>
        <x:v>2</x:v>
      </x:c>
    </x:row>
    <x:row r="1075">
      <x:c r="A1075" t="n">
        <x:v>1061</x:v>
      </x:c>
      <x:c r="B1075" s="40" t="n">
        <x:v>0.17053672611745474</x:v>
      </x:c>
      <x:c r="C1075" t="n">
        <x:f>LOOKUP(B1075,$E$4:$E$9,$A$4:$A$9)</x:f>
        <x:v>1</x:v>
      </x:c>
    </x:row>
    <x:row r="1076">
      <x:c r="A1076" t="n">
        <x:v>1062</x:v>
      </x:c>
      <x:c r="B1076" s="40" t="n">
        <x:v>0.012336164449205822</x:v>
      </x:c>
      <x:c r="C1076" t="n">
        <x:f>LOOKUP(B1076,$E$4:$E$9,$A$4:$A$9)</x:f>
        <x:v>0</x:v>
      </x:c>
    </x:row>
    <x:row r="1077">
      <x:c r="A1077" t="n">
        <x:v>1063</x:v>
      </x:c>
      <x:c r="B1077" s="40" t="n">
        <x:v>0.2733433034899002</x:v>
      </x:c>
      <x:c r="C1077" t="n">
        <x:f>LOOKUP(B1077,$E$4:$E$9,$A$4:$A$9)</x:f>
        <x:v>2</x:v>
      </x:c>
    </x:row>
    <x:row r="1078">
      <x:c r="A1078" t="n">
        <x:v>1064</x:v>
      </x:c>
      <x:c r="B1078" s="40" t="n">
        <x:v>0.06182896069800192</x:v>
      </x:c>
      <x:c r="C1078" t="n">
        <x:f>LOOKUP(B1078,$E$4:$E$9,$A$4:$A$9)</x:f>
        <x:v>0</x:v>
      </x:c>
    </x:row>
    <x:row r="1079">
      <x:c r="A1079" t="n">
        <x:v>1065</x:v>
      </x:c>
      <x:c r="B1079" s="40" t="n">
        <x:v>0.3767684712967352</x:v>
      </x:c>
      <x:c r="C1079" t="n">
        <x:f>LOOKUP(B1079,$E$4:$E$9,$A$4:$A$9)</x:f>
        <x:v>2</x:v>
      </x:c>
    </x:row>
    <x:row r="1080">
      <x:c r="A1080" t="n">
        <x:v>1066</x:v>
      </x:c>
      <x:c r="B1080" s="40" t="n">
        <x:v>0.8102098556993457</x:v>
      </x:c>
      <x:c r="C1080" t="n">
        <x:f>LOOKUP(B1080,$E$4:$E$9,$A$4:$A$9)</x:f>
        <x:v>4</x:v>
      </x:c>
    </x:row>
    <x:row r="1081">
      <x:c r="A1081" t="n">
        <x:v>1067</x:v>
      </x:c>
      <x:c r="B1081" s="40" t="n">
        <x:v>0.7196852608776124</x:v>
      </x:c>
      <x:c r="C1081" t="n">
        <x:f>LOOKUP(B1081,$E$4:$E$9,$A$4:$A$9)</x:f>
        <x:v>3</x:v>
      </x:c>
    </x:row>
    <x:row r="1082">
      <x:c r="A1082" t="n">
        <x:v>1068</x:v>
      </x:c>
      <x:c r="B1082" s="40" t="n">
        <x:v>0.9473837117017669</x:v>
      </x:c>
      <x:c r="C1082" t="n">
        <x:f>LOOKUP(B1082,$E$4:$E$9,$A$4:$A$9)</x:f>
        <x:v>5</x:v>
      </x:c>
    </x:row>
    <x:row r="1083">
      <x:c r="A1083" t="n">
        <x:v>1069</x:v>
      </x:c>
      <x:c r="B1083" s="40" t="n">
        <x:v>0.42701541733706916</x:v>
      </x:c>
      <x:c r="C1083" t="n">
        <x:f>LOOKUP(B1083,$E$4:$E$9,$A$4:$A$9)</x:f>
        <x:v>2</x:v>
      </x:c>
    </x:row>
    <x:row r="1084">
      <x:c r="A1084" t="n">
        <x:v>1070</x:v>
      </x:c>
      <x:c r="B1084" s="40" t="n">
        <x:v>0.7078013985918528</x:v>
      </x:c>
      <x:c r="C1084" t="n">
        <x:f>LOOKUP(B1084,$E$4:$E$9,$A$4:$A$9)</x:f>
        <x:v>3</x:v>
      </x:c>
    </x:row>
    <x:row r="1085">
      <x:c r="A1085" t="n">
        <x:v>1071</x:v>
      </x:c>
      <x:c r="B1085" s="40" t="n">
        <x:v>0.6653417221020202</x:v>
      </x:c>
      <x:c r="C1085" t="n">
        <x:f>LOOKUP(B1085,$E$4:$E$9,$A$4:$A$9)</x:f>
        <x:v>3</x:v>
      </x:c>
    </x:row>
    <x:row r="1086">
      <x:c r="A1086" t="n">
        <x:v>1072</x:v>
      </x:c>
      <x:c r="B1086" s="40" t="n">
        <x:v>0.21704630315825957</x:v>
      </x:c>
      <x:c r="C1086" t="n">
        <x:f>LOOKUP(B1086,$E$4:$E$9,$A$4:$A$9)</x:f>
        <x:v>1</x:v>
      </x:c>
    </x:row>
    <x:row r="1087">
      <x:c r="A1087" t="n">
        <x:v>1073</x:v>
      </x:c>
      <x:c r="B1087" s="40" t="n">
        <x:v>0.3035825052326585</x:v>
      </x:c>
      <x:c r="C1087" t="n">
        <x:f>LOOKUP(B1087,$E$4:$E$9,$A$4:$A$9)</x:f>
        <x:v>2</x:v>
      </x:c>
    </x:row>
    <x:row r="1088">
      <x:c r="A1088" t="n">
        <x:v>1074</x:v>
      </x:c>
      <x:c r="B1088" s="40" t="n">
        <x:v>0.5298295333977603</x:v>
      </x:c>
      <x:c r="C1088" t="n">
        <x:f>LOOKUP(B1088,$E$4:$E$9,$A$4:$A$9)</x:f>
        <x:v>3</x:v>
      </x:c>
    </x:row>
    <x:row r="1089">
      <x:c r="A1089" t="n">
        <x:v>1075</x:v>
      </x:c>
      <x:c r="B1089" s="40" t="n">
        <x:v>0.7966573190059218</x:v>
      </x:c>
      <x:c r="C1089" t="n">
        <x:f>LOOKUP(B1089,$E$4:$E$9,$A$4:$A$9)</x:f>
        <x:v>4</x:v>
      </x:c>
    </x:row>
    <x:row r="1090">
      <x:c r="A1090" t="n">
        <x:v>1076</x:v>
      </x:c>
      <x:c r="B1090" s="40" t="n">
        <x:v>0.4618127344629326</x:v>
      </x:c>
      <x:c r="C1090" t="n">
        <x:f>LOOKUP(B1090,$E$4:$E$9,$A$4:$A$9)</x:f>
        <x:v>2</x:v>
      </x:c>
    </x:row>
    <x:row r="1091">
      <x:c r="A1091" t="n">
        <x:v>1077</x:v>
      </x:c>
      <x:c r="B1091" s="40" t="n">
        <x:v>0.22774153617552728</x:v>
      </x:c>
      <x:c r="C1091" t="n">
        <x:f>LOOKUP(B1091,$E$4:$E$9,$A$4:$A$9)</x:f>
        <x:v>1</x:v>
      </x:c>
    </x:row>
    <x:row r="1092">
      <x:c r="A1092" t="n">
        <x:v>1078</x:v>
      </x:c>
      <x:c r="B1092" s="40" t="n">
        <x:v>0.9934656902803698</x:v>
      </x:c>
      <x:c r="C1092" t="n">
        <x:f>LOOKUP(B1092,$E$4:$E$9,$A$4:$A$9)</x:f>
        <x:v>5</x:v>
      </x:c>
    </x:row>
    <x:row r="1093">
      <x:c r="A1093" t="n">
        <x:v>1079</x:v>
      </x:c>
      <x:c r="B1093" s="40" t="n">
        <x:v>0.11557880635366846</x:v>
      </x:c>
      <x:c r="C1093" t="n">
        <x:f>LOOKUP(B1093,$E$4:$E$9,$A$4:$A$9)</x:f>
        <x:v>1</x:v>
      </x:c>
    </x:row>
    <x:row r="1094">
      <x:c r="A1094" t="n">
        <x:v>1080</x:v>
      </x:c>
      <x:c r="B1094" s="40" t="n">
        <x:v>0.9558889074913278</x:v>
      </x:c>
      <x:c r="C1094" t="n">
        <x:f>LOOKUP(B1094,$E$4:$E$9,$A$4:$A$9)</x:f>
        <x:v>5</x:v>
      </x:c>
    </x:row>
    <x:row r="1095">
      <x:c r="A1095" t="n">
        <x:v>1081</x:v>
      </x:c>
      <x:c r="B1095" s="40" t="n">
        <x:v>0.8090462884304888</x:v>
      </x:c>
      <x:c r="C1095" t="n">
        <x:f>LOOKUP(B1095,$E$4:$E$9,$A$4:$A$9)</x:f>
        <x:v>4</x:v>
      </x:c>
    </x:row>
    <x:row r="1096">
      <x:c r="A1096" t="n">
        <x:v>1082</x:v>
      </x:c>
      <x:c r="B1096" s="40" t="n">
        <x:v>0.8388935193078518</x:v>
      </x:c>
      <x:c r="C1096" t="n">
        <x:f>LOOKUP(B1096,$E$4:$E$9,$A$4:$A$9)</x:f>
        <x:v>4</x:v>
      </x:c>
    </x:row>
    <x:row r="1097">
      <x:c r="A1097" t="n">
        <x:v>1083</x:v>
      </x:c>
      <x:c r="B1097" s="40" t="n">
        <x:v>0.7949175830914994</x:v>
      </x:c>
      <x:c r="C1097" t="n">
        <x:f>LOOKUP(B1097,$E$4:$E$9,$A$4:$A$9)</x:f>
        <x:v>4</x:v>
      </x:c>
    </x:row>
    <x:row r="1098">
      <x:c r="A1098" t="n">
        <x:v>1084</x:v>
      </x:c>
      <x:c r="B1098" s="40" t="n">
        <x:v>0.208170941304622</x:v>
      </x:c>
      <x:c r="C1098" t="n">
        <x:f>LOOKUP(B1098,$E$4:$E$9,$A$4:$A$9)</x:f>
        <x:v>1</x:v>
      </x:c>
    </x:row>
    <x:row r="1099">
      <x:c r="A1099" t="n">
        <x:v>1085</x:v>
      </x:c>
      <x:c r="B1099" s="40" t="n">
        <x:v>0.6325823773952418</x:v>
      </x:c>
      <x:c r="C1099" t="n">
        <x:f>LOOKUP(B1099,$E$4:$E$9,$A$4:$A$9)</x:f>
        <x:v>3</x:v>
      </x:c>
    </x:row>
    <x:row r="1100">
      <x:c r="A1100" t="n">
        <x:v>1086</x:v>
      </x:c>
      <x:c r="B1100" s="40" t="n">
        <x:v>0.7567498124509318</x:v>
      </x:c>
      <x:c r="C1100" t="n">
        <x:f>LOOKUP(B1100,$E$4:$E$9,$A$4:$A$9)</x:f>
        <x:v>4</x:v>
      </x:c>
    </x:row>
    <x:row r="1101">
      <x:c r="A1101" t="n">
        <x:v>1087</x:v>
      </x:c>
      <x:c r="B1101" s="40" t="n">
        <x:v>0.7456857921016514</x:v>
      </x:c>
      <x:c r="C1101" t="n">
        <x:f>LOOKUP(B1101,$E$4:$E$9,$A$4:$A$9)</x:f>
        <x:v>4</x:v>
      </x:c>
    </x:row>
    <x:row r="1102">
      <x:c r="A1102" t="n">
        <x:v>1088</x:v>
      </x:c>
      <x:c r="B1102" s="40" t="n">
        <x:v>0.2715653705440776</x:v>
      </x:c>
      <x:c r="C1102" t="n">
        <x:f>LOOKUP(B1102,$E$4:$E$9,$A$4:$A$9)</x:f>
        <x:v>2</x:v>
      </x:c>
    </x:row>
    <x:row r="1103">
      <x:c r="A1103" t="n">
        <x:v>1089</x:v>
      </x:c>
      <x:c r="B1103" s="40" t="n">
        <x:v>0.18111938776368142</x:v>
      </x:c>
      <x:c r="C1103" t="n">
        <x:f>LOOKUP(B1103,$E$4:$E$9,$A$4:$A$9)</x:f>
        <x:v>1</x:v>
      </x:c>
    </x:row>
    <x:row r="1104">
      <x:c r="A1104" t="n">
        <x:v>1090</x:v>
      </x:c>
      <x:c r="B1104" s="40" t="n">
        <x:v>0.3281229839145492</x:v>
      </x:c>
      <x:c r="C1104" t="n">
        <x:f>LOOKUP(B1104,$E$4:$E$9,$A$4:$A$9)</x:f>
        <x:v>2</x:v>
      </x:c>
    </x:row>
    <x:row r="1105">
      <x:c r="A1105" t="n">
        <x:v>1091</x:v>
      </x:c>
      <x:c r="B1105" s="40" t="n">
        <x:v>0.4798444803773918</x:v>
      </x:c>
      <x:c r="C1105" t="n">
        <x:f>LOOKUP(B1105,$E$4:$E$9,$A$4:$A$9)</x:f>
        <x:v>2</x:v>
      </x:c>
    </x:row>
    <x:row r="1106">
      <x:c r="A1106" t="n">
        <x:v>1092</x:v>
      </x:c>
      <x:c r="B1106" s="40" t="n">
        <x:v>0.5737807470636765</x:v>
      </x:c>
      <x:c r="C1106" t="n">
        <x:f>LOOKUP(B1106,$E$4:$E$9,$A$4:$A$9)</x:f>
        <x:v>3</x:v>
      </x:c>
    </x:row>
    <x:row r="1107">
      <x:c r="A1107" t="n">
        <x:v>1093</x:v>
      </x:c>
      <x:c r="B1107" s="40" t="n">
        <x:v>0.8369503623191604</x:v>
      </x:c>
      <x:c r="C1107" t="n">
        <x:f>LOOKUP(B1107,$E$4:$E$9,$A$4:$A$9)</x:f>
        <x:v>4</x:v>
      </x:c>
    </x:row>
    <x:row r="1108">
      <x:c r="A1108" t="n">
        <x:v>1094</x:v>
      </x:c>
      <x:c r="B1108" s="40" t="n">
        <x:v>0.769034227704616</x:v>
      </x:c>
      <x:c r="C1108" t="n">
        <x:f>LOOKUP(B1108,$E$4:$E$9,$A$4:$A$9)</x:f>
        <x:v>4</x:v>
      </x:c>
    </x:row>
    <x:row r="1109">
      <x:c r="A1109" t="n">
        <x:v>1095</x:v>
      </x:c>
      <x:c r="B1109" s="40" t="n">
        <x:v>0.6761505256665161</x:v>
      </x:c>
      <x:c r="C1109" t="n">
        <x:f>LOOKUP(B1109,$E$4:$E$9,$A$4:$A$9)</x:f>
        <x:v>3</x:v>
      </x:c>
    </x:row>
    <x:row r="1110">
      <x:c r="A1110" t="n">
        <x:v>1096</x:v>
      </x:c>
      <x:c r="B1110" s="40" t="n">
        <x:v>0.2634892929427606</x:v>
      </x:c>
      <x:c r="C1110" t="n">
        <x:f>LOOKUP(B1110,$E$4:$E$9,$A$4:$A$9)</x:f>
        <x:v>2</x:v>
      </x:c>
    </x:row>
    <x:row r="1111">
      <x:c r="A1111" t="n">
        <x:v>1097</x:v>
      </x:c>
      <x:c r="B1111" s="40" t="n">
        <x:v>0.47888049893494333</x:v>
      </x:c>
      <x:c r="C1111" t="n">
        <x:f>LOOKUP(B1111,$E$4:$E$9,$A$4:$A$9)</x:f>
        <x:v>2</x:v>
      </x:c>
    </x:row>
    <x:row r="1112">
      <x:c r="A1112" t="n">
        <x:v>1098</x:v>
      </x:c>
      <x:c r="B1112" s="40" t="n">
        <x:v>0.33543587412796105</x:v>
      </x:c>
      <x:c r="C1112" t="n">
        <x:f>LOOKUP(B1112,$E$4:$E$9,$A$4:$A$9)</x:f>
        <x:v>2</x:v>
      </x:c>
    </x:row>
    <x:row r="1113">
      <x:c r="A1113" t="n">
        <x:v>1099</x:v>
      </x:c>
      <x:c r="B1113" s="40" t="n">
        <x:v>0.23492817955053413</x:v>
      </x:c>
      <x:c r="C1113" t="n">
        <x:f>LOOKUP(B1113,$E$4:$E$9,$A$4:$A$9)</x:f>
        <x:v>1</x:v>
      </x:c>
    </x:row>
    <x:row r="1114">
      <x:c r="A1114" t="n">
        <x:v>1100</x:v>
      </x:c>
      <x:c r="B1114" s="40" t="n">
        <x:v>0.010245360383479452</x:v>
      </x:c>
      <x:c r="C1114" t="n">
        <x:f>LOOKUP(B1114,$E$4:$E$9,$A$4:$A$9)</x:f>
        <x:v>0</x:v>
      </x:c>
    </x:row>
    <x:row r="1115">
      <x:c r="A1115" t="n">
        <x:v>1101</x:v>
      </x:c>
      <x:c r="B1115" s="40" t="n">
        <x:v>0.3394619705706906</x:v>
      </x:c>
      <x:c r="C1115" t="n">
        <x:f>LOOKUP(B1115,$E$4:$E$9,$A$4:$A$9)</x:f>
        <x:v>2</x:v>
      </x:c>
    </x:row>
    <x:row r="1116">
      <x:c r="A1116" t="n">
        <x:v>1102</x:v>
      </x:c>
      <x:c r="B1116" s="40" t="n">
        <x:v>0.2561162677146215</x:v>
      </x:c>
      <x:c r="C1116" t="n">
        <x:f>LOOKUP(B1116,$E$4:$E$9,$A$4:$A$9)</x:f>
        <x:v>2</x:v>
      </x:c>
    </x:row>
    <x:row r="1117">
      <x:c r="A1117" t="n">
        <x:v>1103</x:v>
      </x:c>
      <x:c r="B1117" s="40" t="n">
        <x:v>0.5719023269668166</x:v>
      </x:c>
      <x:c r="C1117" t="n">
        <x:f>LOOKUP(B1117,$E$4:$E$9,$A$4:$A$9)</x:f>
        <x:v>3</x:v>
      </x:c>
    </x:row>
    <x:row r="1118">
      <x:c r="A1118" t="n">
        <x:v>1104</x:v>
      </x:c>
      <x:c r="B1118" s="40" t="n">
        <x:v>0.0623017702837122</x:v>
      </x:c>
      <x:c r="C1118" t="n">
        <x:f>LOOKUP(B1118,$E$4:$E$9,$A$4:$A$9)</x:f>
        <x:v>0</x:v>
      </x:c>
    </x:row>
    <x:row r="1119">
      <x:c r="A1119" t="n">
        <x:v>1105</x:v>
      </x:c>
      <x:c r="B1119" s="40" t="n">
        <x:v>0.2705195967102011</x:v>
      </x:c>
      <x:c r="C1119" t="n">
        <x:f>LOOKUP(B1119,$E$4:$E$9,$A$4:$A$9)</x:f>
        <x:v>2</x:v>
      </x:c>
    </x:row>
    <x:row r="1120">
      <x:c r="A1120" t="n">
        <x:v>1106</x:v>
      </x:c>
      <x:c r="B1120" s="40" t="n">
        <x:v>0.044769489988415345</x:v>
      </x:c>
      <x:c r="C1120" t="n">
        <x:f>LOOKUP(B1120,$E$4:$E$9,$A$4:$A$9)</x:f>
        <x:v>0</x:v>
      </x:c>
    </x:row>
    <x:row r="1121">
      <x:c r="A1121" t="n">
        <x:v>1107</x:v>
      </x:c>
      <x:c r="B1121" s="40" t="n">
        <x:v>0.641417904513436</x:v>
      </x:c>
      <x:c r="C1121" t="n">
        <x:f>LOOKUP(B1121,$E$4:$E$9,$A$4:$A$9)</x:f>
        <x:v>3</x:v>
      </x:c>
    </x:row>
    <x:row r="1122">
      <x:c r="A1122" t="n">
        <x:v>1108</x:v>
      </x:c>
      <x:c r="B1122" s="40" t="n">
        <x:v>0.5681895585686249</x:v>
      </x:c>
      <x:c r="C1122" t="n">
        <x:f>LOOKUP(B1122,$E$4:$E$9,$A$4:$A$9)</x:f>
        <x:v>3</x:v>
      </x:c>
    </x:row>
    <x:row r="1123">
      <x:c r="A1123" t="n">
        <x:v>1109</x:v>
      </x:c>
      <x:c r="B1123" s="40" t="n">
        <x:v>0.3374800230744732</x:v>
      </x:c>
      <x:c r="C1123" t="n">
        <x:f>LOOKUP(B1123,$E$4:$E$9,$A$4:$A$9)</x:f>
        <x:v>2</x:v>
      </x:c>
    </x:row>
    <x:row r="1124">
      <x:c r="A1124" t="n">
        <x:v>1110</x:v>
      </x:c>
      <x:c r="B1124" s="40" t="n">
        <x:v>0.1473346004355438</x:v>
      </x:c>
      <x:c r="C1124" t="n">
        <x:f>LOOKUP(B1124,$E$4:$E$9,$A$4:$A$9)</x:f>
        <x:v>1</x:v>
      </x:c>
    </x:row>
    <x:row r="1125">
      <x:c r="A1125" t="n">
        <x:v>1111</x:v>
      </x:c>
      <x:c r="B1125" s="40" t="n">
        <x:v>0.9579198327687352</x:v>
      </x:c>
      <x:c r="C1125" t="n">
        <x:f>LOOKUP(B1125,$E$4:$E$9,$A$4:$A$9)</x:f>
        <x:v>5</x:v>
      </x:c>
    </x:row>
    <x:row r="1126">
      <x:c r="A1126" t="n">
        <x:v>1112</x:v>
      </x:c>
      <x:c r="B1126" s="40" t="n">
        <x:v>0.5843924473886134</x:v>
      </x:c>
      <x:c r="C1126" t="n">
        <x:f>LOOKUP(B1126,$E$4:$E$9,$A$4:$A$9)</x:f>
        <x:v>3</x:v>
      </x:c>
    </x:row>
    <x:row r="1127">
      <x:c r="A1127" t="n">
        <x:v>1113</x:v>
      </x:c>
      <x:c r="B1127" s="40" t="n">
        <x:v>0.6791133665720679</x:v>
      </x:c>
      <x:c r="C1127" t="n">
        <x:f>LOOKUP(B1127,$E$4:$E$9,$A$4:$A$9)</x:f>
        <x:v>3</x:v>
      </x:c>
    </x:row>
    <x:row r="1128">
      <x:c r="A1128" t="n">
        <x:v>1114</x:v>
      </x:c>
      <x:c r="B1128" s="40" t="n">
        <x:v>0.5313487532694519</x:v>
      </x:c>
      <x:c r="C1128" t="n">
        <x:f>LOOKUP(B1128,$E$4:$E$9,$A$4:$A$9)</x:f>
        <x:v>3</x:v>
      </x:c>
    </x:row>
    <x:row r="1129">
      <x:c r="A1129" t="n">
        <x:v>1115</x:v>
      </x:c>
      <x:c r="B1129" s="40" t="n">
        <x:v>0.806533247646205</x:v>
      </x:c>
      <x:c r="C1129" t="n">
        <x:f>LOOKUP(B1129,$E$4:$E$9,$A$4:$A$9)</x:f>
        <x:v>4</x:v>
      </x:c>
    </x:row>
    <x:row r="1130">
      <x:c r="A1130" t="n">
        <x:v>1116</x:v>
      </x:c>
      <x:c r="B1130" s="40" t="n">
        <x:v>0.8963800495481213</x:v>
      </x:c>
      <x:c r="C1130" t="n">
        <x:f>LOOKUP(B1130,$E$4:$E$9,$A$4:$A$9)</x:f>
        <x:v>5</x:v>
      </x:c>
    </x:row>
    <x:row r="1131">
      <x:c r="A1131" t="n">
        <x:v>1117</x:v>
      </x:c>
      <x:c r="B1131" s="40" t="n">
        <x:v>0.3827105435976298</x:v>
      </x:c>
      <x:c r="C1131" t="n">
        <x:f>LOOKUP(B1131,$E$4:$E$9,$A$4:$A$9)</x:f>
        <x:v>2</x:v>
      </x:c>
    </x:row>
    <x:row r="1132">
      <x:c r="A1132" t="n">
        <x:v>1118</x:v>
      </x:c>
      <x:c r="B1132" s="40" t="n">
        <x:v>0.6900253122306106</x:v>
      </x:c>
      <x:c r="C1132" t="n">
        <x:f>LOOKUP(B1132,$E$4:$E$9,$A$4:$A$9)</x:f>
        <x:v>3</x:v>
      </x:c>
    </x:row>
    <x:row r="1133">
      <x:c r="A1133" t="n">
        <x:v>1119</x:v>
      </x:c>
      <x:c r="B1133" s="40" t="n">
        <x:v>0.22988748454639696</x:v>
      </x:c>
      <x:c r="C1133" t="n">
        <x:f>LOOKUP(B1133,$E$4:$E$9,$A$4:$A$9)</x:f>
        <x:v>1</x:v>
      </x:c>
    </x:row>
    <x:row r="1134">
      <x:c r="A1134" t="n">
        <x:v>1120</x:v>
      </x:c>
      <x:c r="B1134" s="40" t="n">
        <x:v>0.6518550471620385</x:v>
      </x:c>
      <x:c r="C1134" t="n">
        <x:f>LOOKUP(B1134,$E$4:$E$9,$A$4:$A$9)</x:f>
        <x:v>3</x:v>
      </x:c>
    </x:row>
    <x:row r="1135">
      <x:c r="A1135" t="n">
        <x:v>1121</x:v>
      </x:c>
      <x:c r="B1135" s="40" t="n">
        <x:v>0.39915562997655263</x:v>
      </x:c>
      <x:c r="C1135" t="n">
        <x:f>LOOKUP(B1135,$E$4:$E$9,$A$4:$A$9)</x:f>
        <x:v>2</x:v>
      </x:c>
    </x:row>
    <x:row r="1136">
      <x:c r="A1136" t="n">
        <x:v>1122</x:v>
      </x:c>
      <x:c r="B1136" s="40" t="n">
        <x:v>0.006781599401304961</x:v>
      </x:c>
      <x:c r="C1136" t="n">
        <x:f>LOOKUP(B1136,$E$4:$E$9,$A$4:$A$9)</x:f>
        <x:v>0</x:v>
      </x:c>
    </x:row>
    <x:row r="1137">
      <x:c r="A1137" t="n">
        <x:v>1123</x:v>
      </x:c>
      <x:c r="B1137" s="40" t="n">
        <x:v>0.9555278684226207</x:v>
      </x:c>
      <x:c r="C1137" t="n">
        <x:f>LOOKUP(B1137,$E$4:$E$9,$A$4:$A$9)</x:f>
        <x:v>5</x:v>
      </x:c>
    </x:row>
    <x:row r="1138">
      <x:c r="A1138" t="n">
        <x:v>1124</x:v>
      </x:c>
      <x:c r="B1138" s="40" t="n">
        <x:v>0.8684415455387189</x:v>
      </x:c>
      <x:c r="C1138" t="n">
        <x:f>LOOKUP(B1138,$E$4:$E$9,$A$4:$A$9)</x:f>
        <x:v>4</x:v>
      </x:c>
    </x:row>
    <x:row r="1139">
      <x:c r="A1139" t="n">
        <x:v>1125</x:v>
      </x:c>
      <x:c r="B1139" s="40" t="n">
        <x:v>0.2908365503460284</x:v>
      </x:c>
      <x:c r="C1139" t="n">
        <x:f>LOOKUP(B1139,$E$4:$E$9,$A$4:$A$9)</x:f>
        <x:v>2</x:v>
      </x:c>
    </x:row>
    <x:row r="1140">
      <x:c r="A1140" t="n">
        <x:v>1126</x:v>
      </x:c>
      <x:c r="B1140" s="40" t="n">
        <x:v>0.9977573142328605</x:v>
      </x:c>
      <x:c r="C1140" t="n">
        <x:f>LOOKUP(B1140,$E$4:$E$9,$A$4:$A$9)</x:f>
        <x:v>5</x:v>
      </x:c>
    </x:row>
    <x:row r="1141">
      <x:c r="A1141" t="n">
        <x:v>1127</x:v>
      </x:c>
      <x:c r="B1141" s="40" t="n">
        <x:v>0.3171276745565341</x:v>
      </x:c>
      <x:c r="C1141" t="n">
        <x:f>LOOKUP(B1141,$E$4:$E$9,$A$4:$A$9)</x:f>
        <x:v>2</x:v>
      </x:c>
    </x:row>
    <x:row r="1142">
      <x:c r="A1142" t="n">
        <x:v>1128</x:v>
      </x:c>
      <x:c r="B1142" s="40" t="n">
        <x:v>0.45884418645907477</x:v>
      </x:c>
      <x:c r="C1142" t="n">
        <x:f>LOOKUP(B1142,$E$4:$E$9,$A$4:$A$9)</x:f>
        <x:v>2</x:v>
      </x:c>
    </x:row>
    <x:row r="1143">
      <x:c r="A1143" t="n">
        <x:v>1129</x:v>
      </x:c>
      <x:c r="B1143" s="40" t="n">
        <x:v>0.8512590261744171</x:v>
      </x:c>
      <x:c r="C1143" t="n">
        <x:f>LOOKUP(B1143,$E$4:$E$9,$A$4:$A$9)</x:f>
        <x:v>4</x:v>
      </x:c>
    </x:row>
    <x:row r="1144">
      <x:c r="A1144" t="n">
        <x:v>1130</x:v>
      </x:c>
      <x:c r="B1144" s="40" t="n">
        <x:v>0.30459635132804086</x:v>
      </x:c>
      <x:c r="C1144" t="n">
        <x:f>LOOKUP(B1144,$E$4:$E$9,$A$4:$A$9)</x:f>
        <x:v>2</x:v>
      </x:c>
    </x:row>
    <x:row r="1145">
      <x:c r="A1145" t="n">
        <x:v>1131</x:v>
      </x:c>
      <x:c r="B1145" s="40" t="n">
        <x:v>0.45054028438750005</x:v>
      </x:c>
      <x:c r="C1145" t="n">
        <x:f>LOOKUP(B1145,$E$4:$E$9,$A$4:$A$9)</x:f>
        <x:v>2</x:v>
      </x:c>
    </x:row>
    <x:row r="1146">
      <x:c r="A1146" t="n">
        <x:v>1132</x:v>
      </x:c>
      <x:c r="B1146" s="40" t="n">
        <x:v>0.6655871671232555</x:v>
      </x:c>
      <x:c r="C1146" t="n">
        <x:f>LOOKUP(B1146,$E$4:$E$9,$A$4:$A$9)</x:f>
        <x:v>3</x:v>
      </x:c>
    </x:row>
    <x:row r="1147">
      <x:c r="A1147" t="n">
        <x:v>1133</x:v>
      </x:c>
      <x:c r="B1147" s="40" t="n">
        <x:v>0.13046755477242822</x:v>
      </x:c>
      <x:c r="C1147" t="n">
        <x:f>LOOKUP(B1147,$E$4:$E$9,$A$4:$A$9)</x:f>
        <x:v>1</x:v>
      </x:c>
    </x:row>
    <x:row r="1148">
      <x:c r="A1148" t="n">
        <x:v>1134</x:v>
      </x:c>
      <x:c r="B1148" s="40" t="n">
        <x:v>0.4223503686917177</x:v>
      </x:c>
      <x:c r="C1148" t="n">
        <x:f>LOOKUP(B1148,$E$4:$E$9,$A$4:$A$9)</x:f>
        <x:v>2</x:v>
      </x:c>
    </x:row>
    <x:row r="1149">
      <x:c r="A1149" t="n">
        <x:v>1135</x:v>
      </x:c>
      <x:c r="B1149" s="40" t="n">
        <x:v>0.3094099373616265</x:v>
      </x:c>
      <x:c r="C1149" t="n">
        <x:f>LOOKUP(B1149,$E$4:$E$9,$A$4:$A$9)</x:f>
        <x:v>2</x:v>
      </x:c>
    </x:row>
    <x:row r="1150">
      <x:c r="A1150" t="n">
        <x:v>1136</x:v>
      </x:c>
      <x:c r="B1150" s="40" t="n">
        <x:v>0.676774305864818</x:v>
      </x:c>
      <x:c r="C1150" t="n">
        <x:f>LOOKUP(B1150,$E$4:$E$9,$A$4:$A$9)</x:f>
        <x:v>3</x:v>
      </x:c>
    </x:row>
    <x:row r="1151">
      <x:c r="A1151" t="n">
        <x:v>1137</x:v>
      </x:c>
      <x:c r="B1151" s="40" t="n">
        <x:v>0.1359693900603718</x:v>
      </x:c>
      <x:c r="C1151" t="n">
        <x:f>LOOKUP(B1151,$E$4:$E$9,$A$4:$A$9)</x:f>
        <x:v>1</x:v>
      </x:c>
    </x:row>
    <x:row r="1152">
      <x:c r="A1152" t="n">
        <x:v>1138</x:v>
      </x:c>
      <x:c r="B1152" s="40" t="n">
        <x:v>0.2327314791009374</x:v>
      </x:c>
      <x:c r="C1152" t="n">
        <x:f>LOOKUP(B1152,$E$4:$E$9,$A$4:$A$9)</x:f>
        <x:v>1</x:v>
      </x:c>
    </x:row>
    <x:row r="1153">
      <x:c r="A1153" t="n">
        <x:v>1139</x:v>
      </x:c>
      <x:c r="B1153" s="40" t="n">
        <x:v>0.7113762037524828</x:v>
      </x:c>
      <x:c r="C1153" t="n">
        <x:f>LOOKUP(B1153,$E$4:$E$9,$A$4:$A$9)</x:f>
        <x:v>3</x:v>
      </x:c>
    </x:row>
    <x:row r="1154">
      <x:c r="A1154" t="n">
        <x:v>1140</x:v>
      </x:c>
      <x:c r="B1154" s="40" t="n">
        <x:v>0.1562243697241148</x:v>
      </x:c>
      <x:c r="C1154" t="n">
        <x:f>LOOKUP(B1154,$E$4:$E$9,$A$4:$A$9)</x:f>
        <x:v>1</x:v>
      </x:c>
    </x:row>
    <x:row r="1155">
      <x:c r="A1155" t="n">
        <x:v>1141</x:v>
      </x:c>
      <x:c r="B1155" s="40" t="n">
        <x:v>0.4220192622398897</x:v>
      </x:c>
      <x:c r="C1155" t="n">
        <x:f>LOOKUP(B1155,$E$4:$E$9,$A$4:$A$9)</x:f>
        <x:v>2</x:v>
      </x:c>
    </x:row>
    <x:row r="1156">
      <x:c r="A1156" t="n">
        <x:v>1142</x:v>
      </x:c>
      <x:c r="B1156" s="40" t="n">
        <x:v>0.7128807220926188</x:v>
      </x:c>
      <x:c r="C1156" t="n">
        <x:f>LOOKUP(B1156,$E$4:$E$9,$A$4:$A$9)</x:f>
        <x:v>3</x:v>
      </x:c>
    </x:row>
    <x:row r="1157">
      <x:c r="A1157" t="n">
        <x:v>1143</x:v>
      </x:c>
      <x:c r="B1157" s="40" t="n">
        <x:v>0.7654683844300053</x:v>
      </x:c>
      <x:c r="C1157" t="n">
        <x:f>LOOKUP(B1157,$E$4:$E$9,$A$4:$A$9)</x:f>
        <x:v>4</x:v>
      </x:c>
    </x:row>
    <x:row r="1158">
      <x:c r="A1158" t="n">
        <x:v>1144</x:v>
      </x:c>
      <x:c r="B1158" s="40" t="n">
        <x:v>0.09488117867166845</x:v>
      </x:c>
      <x:c r="C1158" t="n">
        <x:f>LOOKUP(B1158,$E$4:$E$9,$A$4:$A$9)</x:f>
        <x:v>1</x:v>
      </x:c>
    </x:row>
    <x:row r="1159">
      <x:c r="A1159" t="n">
        <x:v>1145</x:v>
      </x:c>
      <x:c r="B1159" s="40" t="n">
        <x:v>0.8519956094194782</x:v>
      </x:c>
      <x:c r="C1159" t="n">
        <x:f>LOOKUP(B1159,$E$4:$E$9,$A$4:$A$9)</x:f>
        <x:v>4</x:v>
      </x:c>
    </x:row>
    <x:row r="1160">
      <x:c r="A1160" t="n">
        <x:v>1146</x:v>
      </x:c>
      <x:c r="B1160" s="40" t="n">
        <x:v>0.7239723011299664</x:v>
      </x:c>
      <x:c r="C1160" t="n">
        <x:f>LOOKUP(B1160,$E$4:$E$9,$A$4:$A$9)</x:f>
        <x:v>3</x:v>
      </x:c>
    </x:row>
    <x:row r="1161">
      <x:c r="A1161" t="n">
        <x:v>1147</x:v>
      </x:c>
      <x:c r="B1161" s="40" t="n">
        <x:v>0.33929458869331375</x:v>
      </x:c>
      <x:c r="C1161" t="n">
        <x:f>LOOKUP(B1161,$E$4:$E$9,$A$4:$A$9)</x:f>
        <x:v>2</x:v>
      </x:c>
    </x:row>
    <x:row r="1162">
      <x:c r="A1162" t="n">
        <x:v>1148</x:v>
      </x:c>
      <x:c r="B1162" s="40" t="n">
        <x:v>0.76380285233024</x:v>
      </x:c>
      <x:c r="C1162" t="n">
        <x:f>LOOKUP(B1162,$E$4:$E$9,$A$4:$A$9)</x:f>
        <x:v>4</x:v>
      </x:c>
    </x:row>
    <x:row r="1163">
      <x:c r="A1163" t="n">
        <x:v>1149</x:v>
      </x:c>
      <x:c r="B1163" s="40" t="n">
        <x:v>0.728298865340659</x:v>
      </x:c>
      <x:c r="C1163" t="n">
        <x:f>LOOKUP(B1163,$E$4:$E$9,$A$4:$A$9)</x:f>
        <x:v>3</x:v>
      </x:c>
    </x:row>
    <x:row r="1164">
      <x:c r="A1164" t="n">
        <x:v>1150</x:v>
      </x:c>
      <x:c r="B1164" s="40" t="n">
        <x:v>0.6008912265083856</x:v>
      </x:c>
      <x:c r="C1164" t="n">
        <x:f>LOOKUP(B1164,$E$4:$E$9,$A$4:$A$9)</x:f>
        <x:v>3</x:v>
      </x:c>
    </x:row>
    <x:row r="1165">
      <x:c r="A1165" t="n">
        <x:v>1151</x:v>
      </x:c>
      <x:c r="B1165" s="40" t="n">
        <x:v>0.5584811734058444</x:v>
      </x:c>
      <x:c r="C1165" t="n">
        <x:f>LOOKUP(B1165,$E$4:$E$9,$A$4:$A$9)</x:f>
        <x:v>3</x:v>
      </x:c>
    </x:row>
    <x:row r="1166">
      <x:c r="A1166" t="n">
        <x:v>1152</x:v>
      </x:c>
      <x:c r="B1166" s="40" t="n">
        <x:v>0.7347034888995855</x:v>
      </x:c>
      <x:c r="C1166" t="n">
        <x:f>LOOKUP(B1166,$E$4:$E$9,$A$4:$A$9)</x:f>
        <x:v>3</x:v>
      </x:c>
    </x:row>
    <x:row r="1167">
      <x:c r="A1167" t="n">
        <x:v>1153</x:v>
      </x:c>
      <x:c r="B1167" s="40" t="n">
        <x:v>0.9992599017054545</x:v>
      </x:c>
      <x:c r="C1167" t="n">
        <x:f>LOOKUP(B1167,$E$4:$E$9,$A$4:$A$9)</x:f>
        <x:v>5</x:v>
      </x:c>
    </x:row>
    <x:row r="1168">
      <x:c r="A1168" t="n">
        <x:v>1154</x:v>
      </x:c>
      <x:c r="B1168" s="40" t="n">
        <x:v>0.5785522493158853</x:v>
      </x:c>
      <x:c r="C1168" t="n">
        <x:f>LOOKUP(B1168,$E$4:$E$9,$A$4:$A$9)</x:f>
        <x:v>3</x:v>
      </x:c>
    </x:row>
    <x:row r="1169">
      <x:c r="A1169" t="n">
        <x:v>1155</x:v>
      </x:c>
      <x:c r="B1169" s="40" t="n">
        <x:v>0.808717871762248</x:v>
      </x:c>
      <x:c r="C1169" t="n">
        <x:f>LOOKUP(B1169,$E$4:$E$9,$A$4:$A$9)</x:f>
        <x:v>4</x:v>
      </x:c>
    </x:row>
    <x:row r="1170">
      <x:c r="A1170" t="n">
        <x:v>1156</x:v>
      </x:c>
      <x:c r="B1170" s="40" t="n">
        <x:v>0.7442737173155829</x:v>
      </x:c>
      <x:c r="C1170" t="n">
        <x:f>LOOKUP(B1170,$E$4:$E$9,$A$4:$A$9)</x:f>
        <x:v>3</x:v>
      </x:c>
    </x:row>
    <x:row r="1171">
      <x:c r="A1171" t="n">
        <x:v>1157</x:v>
      </x:c>
      <x:c r="B1171" s="40" t="n">
        <x:v>0.8558084020338257</x:v>
      </x:c>
      <x:c r="C1171" t="n">
        <x:f>LOOKUP(B1171,$E$4:$E$9,$A$4:$A$9)</x:f>
        <x:v>4</x:v>
      </x:c>
    </x:row>
    <x:row r="1172">
      <x:c r="A1172" t="n">
        <x:v>1158</x:v>
      </x:c>
      <x:c r="B1172" s="40" t="n">
        <x:v>0.9545248613841384</x:v>
      </x:c>
      <x:c r="C1172" t="n">
        <x:f>LOOKUP(B1172,$E$4:$E$9,$A$4:$A$9)</x:f>
        <x:v>5</x:v>
      </x:c>
    </x:row>
    <x:row r="1173">
      <x:c r="A1173" t="n">
        <x:v>1159</x:v>
      </x:c>
      <x:c r="B1173" s="40" t="n">
        <x:v>0.1930832074608152</x:v>
      </x:c>
      <x:c r="C1173" t="n">
        <x:f>LOOKUP(B1173,$E$4:$E$9,$A$4:$A$9)</x:f>
        <x:v>1</x:v>
      </x:c>
    </x:row>
    <x:row r="1174">
      <x:c r="A1174" t="n">
        <x:v>1160</x:v>
      </x:c>
      <x:c r="B1174" s="40" t="n">
        <x:v>0.1654596363951163</x:v>
      </x:c>
      <x:c r="C1174" t="n">
        <x:f>LOOKUP(B1174,$E$4:$E$9,$A$4:$A$9)</x:f>
        <x:v>1</x:v>
      </x:c>
    </x:row>
    <x:row r="1175">
      <x:c r="A1175" t="n">
        <x:v>1161</x:v>
      </x:c>
      <x:c r="B1175" s="40" t="n">
        <x:v>0.5863518284149009</x:v>
      </x:c>
      <x:c r="C1175" t="n">
        <x:f>LOOKUP(B1175,$E$4:$E$9,$A$4:$A$9)</x:f>
        <x:v>3</x:v>
      </x:c>
    </x:row>
    <x:row r="1176">
      <x:c r="A1176" t="n">
        <x:v>1162</x:v>
      </x:c>
      <x:c r="B1176" s="40" t="n">
        <x:v>0.44929506288650445</x:v>
      </x:c>
      <x:c r="C1176" t="n">
        <x:f>LOOKUP(B1176,$E$4:$E$9,$A$4:$A$9)</x:f>
        <x:v>2</x:v>
      </x:c>
    </x:row>
    <x:row r="1177">
      <x:c r="A1177" t="n">
        <x:v>1163</x:v>
      </x:c>
      <x:c r="B1177" s="40" t="n">
        <x:v>0.5707226929191692</x:v>
      </x:c>
      <x:c r="C1177" t="n">
        <x:f>LOOKUP(B1177,$E$4:$E$9,$A$4:$A$9)</x:f>
        <x:v>3</x:v>
      </x:c>
    </x:row>
    <x:row r="1178">
      <x:c r="A1178" t="n">
        <x:v>1164</x:v>
      </x:c>
      <x:c r="B1178" s="40" t="n">
        <x:v>0.7980427344855086</x:v>
      </x:c>
      <x:c r="C1178" t="n">
        <x:f>LOOKUP(B1178,$E$4:$E$9,$A$4:$A$9)</x:f>
        <x:v>4</x:v>
      </x:c>
    </x:row>
    <x:row r="1179">
      <x:c r="A1179" t="n">
        <x:v>1165</x:v>
      </x:c>
      <x:c r="B1179" s="40" t="n">
        <x:v>0.9317144800492464</x:v>
      </x:c>
      <x:c r="C1179" t="n">
        <x:f>LOOKUP(B1179,$E$4:$E$9,$A$4:$A$9)</x:f>
        <x:v>5</x:v>
      </x:c>
    </x:row>
    <x:row r="1180">
      <x:c r="A1180" t="n">
        <x:v>1166</x:v>
      </x:c>
      <x:c r="B1180" s="40" t="n">
        <x:v>0.41741582519855813</x:v>
      </x:c>
      <x:c r="C1180" t="n">
        <x:f>LOOKUP(B1180,$E$4:$E$9,$A$4:$A$9)</x:f>
        <x:v>2</x:v>
      </x:c>
    </x:row>
    <x:row r="1181">
      <x:c r="A1181" t="n">
        <x:v>1167</x:v>
      </x:c>
      <x:c r="B1181" s="40" t="n">
        <x:v>0.7179326455436245</x:v>
      </x:c>
      <x:c r="C1181" t="n">
        <x:f>LOOKUP(B1181,$E$4:$E$9,$A$4:$A$9)</x:f>
        <x:v>3</x:v>
      </x:c>
    </x:row>
    <x:row r="1182">
      <x:c r="A1182" t="n">
        <x:v>1168</x:v>
      </x:c>
      <x:c r="B1182" s="40" t="n">
        <x:v>0.19679918784140937</x:v>
      </x:c>
      <x:c r="C1182" t="n">
        <x:f>LOOKUP(B1182,$E$4:$E$9,$A$4:$A$9)</x:f>
        <x:v>1</x:v>
      </x:c>
    </x:row>
    <x:row r="1183">
      <x:c r="A1183" t="n">
        <x:v>1169</x:v>
      </x:c>
      <x:c r="B1183" s="40" t="n">
        <x:v>0.5345519493545235</x:v>
      </x:c>
      <x:c r="C1183" t="n">
        <x:f>LOOKUP(B1183,$E$4:$E$9,$A$4:$A$9)</x:f>
        <x:v>3</x:v>
      </x:c>
    </x:row>
    <x:row r="1184">
      <x:c r="A1184" t="n">
        <x:v>1170</x:v>
      </x:c>
      <x:c r="B1184" s="40" t="n">
        <x:v>0.021804777780519924</x:v>
      </x:c>
      <x:c r="C1184" t="n">
        <x:f>LOOKUP(B1184,$E$4:$E$9,$A$4:$A$9)</x:f>
        <x:v>0</x:v>
      </x:c>
    </x:row>
    <x:row r="1185">
      <x:c r="A1185" t="n">
        <x:v>1171</x:v>
      </x:c>
      <x:c r="B1185" s="40" t="n">
        <x:v>0.503750567133097</x:v>
      </x:c>
      <x:c r="C1185" t="n">
        <x:f>LOOKUP(B1185,$E$4:$E$9,$A$4:$A$9)</x:f>
        <x:v>2</x:v>
      </x:c>
    </x:row>
    <x:row r="1186">
      <x:c r="A1186" t="n">
        <x:v>1172</x:v>
      </x:c>
      <x:c r="B1186" s="40" t="n">
        <x:v>0.5453364591254999</x:v>
      </x:c>
      <x:c r="C1186" t="n">
        <x:f>LOOKUP(B1186,$E$4:$E$9,$A$4:$A$9)</x:f>
        <x:v>3</x:v>
      </x:c>
    </x:row>
    <x:row r="1187">
      <x:c r="A1187" t="n">
        <x:v>1173</x:v>
      </x:c>
      <x:c r="B1187" s="40" t="n">
        <x:v>0.7354453357783313</x:v>
      </x:c>
      <x:c r="C1187" t="n">
        <x:f>LOOKUP(B1187,$E$4:$E$9,$A$4:$A$9)</x:f>
        <x:v>3</x:v>
      </x:c>
    </x:row>
    <x:row r="1188">
      <x:c r="A1188" t="n">
        <x:v>1174</x:v>
      </x:c>
      <x:c r="B1188" s="40" t="n">
        <x:v>0.6494847902069917</x:v>
      </x:c>
      <x:c r="C1188" t="n">
        <x:f>LOOKUP(B1188,$E$4:$E$9,$A$4:$A$9)</x:f>
        <x:v>3</x:v>
      </x:c>
    </x:row>
    <x:row r="1189">
      <x:c r="A1189" t="n">
        <x:v>1175</x:v>
      </x:c>
      <x:c r="B1189" s="40" t="n">
        <x:v>0.35839673430580155</x:v>
      </x:c>
      <x:c r="C1189" t="n">
        <x:f>LOOKUP(B1189,$E$4:$E$9,$A$4:$A$9)</x:f>
        <x:v>2</x:v>
      </x:c>
    </x:row>
    <x:row r="1190">
      <x:c r="A1190" t="n">
        <x:v>1176</x:v>
      </x:c>
      <x:c r="B1190" s="40" t="n">
        <x:v>0.005730900713121323</x:v>
      </x:c>
      <x:c r="C1190" t="n">
        <x:f>LOOKUP(B1190,$E$4:$E$9,$A$4:$A$9)</x:f>
        <x:v>0</x:v>
      </x:c>
    </x:row>
    <x:row r="1191">
      <x:c r="A1191" t="n">
        <x:v>1177</x:v>
      </x:c>
      <x:c r="B1191" s="40" t="n">
        <x:v>0.11548587362294893</x:v>
      </x:c>
      <x:c r="C1191" t="n">
        <x:f>LOOKUP(B1191,$E$4:$E$9,$A$4:$A$9)</x:f>
        <x:v>1</x:v>
      </x:c>
    </x:row>
    <x:row r="1192">
      <x:c r="A1192" t="n">
        <x:v>1178</x:v>
      </x:c>
      <x:c r="B1192" s="40" t="n">
        <x:v>0.9730606535174523</x:v>
      </x:c>
      <x:c r="C1192" t="n">
        <x:f>LOOKUP(B1192,$E$4:$E$9,$A$4:$A$9)</x:f>
        <x:v>5</x:v>
      </x:c>
    </x:row>
    <x:row r="1193">
      <x:c r="A1193" t="n">
        <x:v>1179</x:v>
      </x:c>
      <x:c r="B1193" s="40" t="n">
        <x:v>0.9223331583153058</x:v>
      </x:c>
      <x:c r="C1193" t="n">
        <x:f>LOOKUP(B1193,$E$4:$E$9,$A$4:$A$9)</x:f>
        <x:v>5</x:v>
      </x:c>
    </x:row>
    <x:row r="1194">
      <x:c r="A1194" t="n">
        <x:v>1180</x:v>
      </x:c>
      <x:c r="B1194" s="40" t="n">
        <x:v>0.32509316308114533</x:v>
      </x:c>
      <x:c r="C1194" t="n">
        <x:f>LOOKUP(B1194,$E$4:$E$9,$A$4:$A$9)</x:f>
        <x:v>2</x:v>
      </x:c>
    </x:row>
    <x:row r="1195">
      <x:c r="A1195" t="n">
        <x:v>1181</x:v>
      </x:c>
      <x:c r="B1195" s="40" t="n">
        <x:v>0.2588529399238877</x:v>
      </x:c>
      <x:c r="C1195" t="n">
        <x:f>LOOKUP(B1195,$E$4:$E$9,$A$4:$A$9)</x:f>
        <x:v>2</x:v>
      </x:c>
    </x:row>
    <x:row r="1196">
      <x:c r="A1196" t="n">
        <x:v>1182</x:v>
      </x:c>
      <x:c r="B1196" s="40" t="n">
        <x:v>0.4364162936900374</x:v>
      </x:c>
      <x:c r="C1196" t="n">
        <x:f>LOOKUP(B1196,$E$4:$E$9,$A$4:$A$9)</x:f>
        <x:v>2</x:v>
      </x:c>
    </x:row>
    <x:row r="1197">
      <x:c r="A1197" t="n">
        <x:v>1183</x:v>
      </x:c>
      <x:c r="B1197" s="40" t="n">
        <x:v>0.6899400296120728</x:v>
      </x:c>
      <x:c r="C1197" t="n">
        <x:f>LOOKUP(B1197,$E$4:$E$9,$A$4:$A$9)</x:f>
        <x:v>3</x:v>
      </x:c>
    </x:row>
    <x:row r="1198">
      <x:c r="A1198" t="n">
        <x:v>1184</x:v>
      </x:c>
      <x:c r="B1198" s="40" t="n">
        <x:v>0.35682767265797366</x:v>
      </x:c>
      <x:c r="C1198" t="n">
        <x:f>LOOKUP(B1198,$E$4:$E$9,$A$4:$A$9)</x:f>
        <x:v>2</x:v>
      </x:c>
    </x:row>
    <x:row r="1199">
      <x:c r="A1199" t="n">
        <x:v>1185</x:v>
      </x:c>
      <x:c r="B1199" s="40" t="n">
        <x:v>0.06729384773115554</x:v>
      </x:c>
      <x:c r="C1199" t="n">
        <x:f>LOOKUP(B1199,$E$4:$E$9,$A$4:$A$9)</x:f>
        <x:v>0</x:v>
      </x:c>
    </x:row>
    <x:row r="1200">
      <x:c r="A1200" t="n">
        <x:v>1186</x:v>
      </x:c>
      <x:c r="B1200" s="40" t="n">
        <x:v>0.4027950924443964</x:v>
      </x:c>
      <x:c r="C1200" t="n">
        <x:f>LOOKUP(B1200,$E$4:$E$9,$A$4:$A$9)</x:f>
        <x:v>2</x:v>
      </x:c>
    </x:row>
    <x:row r="1201">
      <x:c r="A1201" t="n">
        <x:v>1187</x:v>
      </x:c>
      <x:c r="B1201" s="40" t="n">
        <x:v>0.2605889944814319</x:v>
      </x:c>
      <x:c r="C1201" t="n">
        <x:f>LOOKUP(B1201,$E$4:$E$9,$A$4:$A$9)</x:f>
        <x:v>2</x:v>
      </x:c>
    </x:row>
    <x:row r="1202">
      <x:c r="A1202" t="n">
        <x:v>1188</x:v>
      </x:c>
      <x:c r="B1202" s="40" t="n">
        <x:v>0.3249300112112118</x:v>
      </x:c>
      <x:c r="C1202" t="n">
        <x:f>LOOKUP(B1202,$E$4:$E$9,$A$4:$A$9)</x:f>
        <x:v>2</x:v>
      </x:c>
    </x:row>
    <x:row r="1203">
      <x:c r="A1203" t="n">
        <x:v>1189</x:v>
      </x:c>
      <x:c r="B1203" s="40" t="n">
        <x:v>0.16295724578730442</x:v>
      </x:c>
      <x:c r="C1203" t="n">
        <x:f>LOOKUP(B1203,$E$4:$E$9,$A$4:$A$9)</x:f>
        <x:v>1</x:v>
      </x:c>
    </x:row>
    <x:row r="1204">
      <x:c r="A1204" t="n">
        <x:v>1190</x:v>
      </x:c>
      <x:c r="B1204" s="40" t="n">
        <x:v>0.6588400694456474</x:v>
      </x:c>
      <x:c r="C1204" t="n">
        <x:f>LOOKUP(B1204,$E$4:$E$9,$A$4:$A$9)</x:f>
        <x:v>3</x:v>
      </x:c>
    </x:row>
    <x:row r="1205">
      <x:c r="A1205" t="n">
        <x:v>1191</x:v>
      </x:c>
      <x:c r="B1205" s="40" t="n">
        <x:v>0.5266309332452249</x:v>
      </x:c>
      <x:c r="C1205" t="n">
        <x:f>LOOKUP(B1205,$E$4:$E$9,$A$4:$A$9)</x:f>
        <x:v>3</x:v>
      </x:c>
    </x:row>
    <x:row r="1206">
      <x:c r="A1206" t="n">
        <x:v>1192</x:v>
      </x:c>
      <x:c r="B1206" s="40" t="n">
        <x:v>0.2708631172953543</x:v>
      </x:c>
      <x:c r="C1206" t="n">
        <x:f>LOOKUP(B1206,$E$4:$E$9,$A$4:$A$9)</x:f>
        <x:v>2</x:v>
      </x:c>
    </x:row>
    <x:row r="1207">
      <x:c r="A1207" t="n">
        <x:v>1193</x:v>
      </x:c>
      <x:c r="B1207" s="40" t="n">
        <x:v>0.5538624813062414</x:v>
      </x:c>
      <x:c r="C1207" t="n">
        <x:f>LOOKUP(B1207,$E$4:$E$9,$A$4:$A$9)</x:f>
        <x:v>3</x:v>
      </x:c>
    </x:row>
    <x:row r="1208">
      <x:c r="A1208" t="n">
        <x:v>1194</x:v>
      </x:c>
      <x:c r="B1208" s="40" t="n">
        <x:v>0.49270784716723803</x:v>
      </x:c>
      <x:c r="C1208" t="n">
        <x:f>LOOKUP(B1208,$E$4:$E$9,$A$4:$A$9)</x:f>
        <x:v>2</x:v>
      </x:c>
    </x:row>
    <x:row r="1209">
      <x:c r="A1209" t="n">
        <x:v>1195</x:v>
      </x:c>
      <x:c r="B1209" s="40" t="n">
        <x:v>0.795974856566028</x:v>
      </x:c>
      <x:c r="C1209" t="n">
        <x:f>LOOKUP(B1209,$E$4:$E$9,$A$4:$A$9)</x:f>
        <x:v>4</x:v>
      </x:c>
    </x:row>
    <x:row r="1210">
      <x:c r="A1210" t="n">
        <x:v>1196</x:v>
      </x:c>
      <x:c r="B1210" s="40" t="n">
        <x:v>0.9559842693402016</x:v>
      </x:c>
      <x:c r="C1210" t="n">
        <x:f>LOOKUP(B1210,$E$4:$E$9,$A$4:$A$9)</x:f>
        <x:v>5</x:v>
      </x:c>
    </x:row>
    <x:row r="1211">
      <x:c r="A1211" t="n">
        <x:v>1197</x:v>
      </x:c>
      <x:c r="B1211" s="40" t="n">
        <x:v>0.13067050897865595</x:v>
      </x:c>
      <x:c r="C1211" t="n">
        <x:f>LOOKUP(B1211,$E$4:$E$9,$A$4:$A$9)</x:f>
        <x:v>1</x:v>
      </x:c>
    </x:row>
    <x:row r="1212">
      <x:c r="A1212" t="n">
        <x:v>1198</x:v>
      </x:c>
      <x:c r="B1212" s="40" t="n">
        <x:v>0.8839134789079829</x:v>
      </x:c>
      <x:c r="C1212" t="n">
        <x:f>LOOKUP(B1212,$E$4:$E$9,$A$4:$A$9)</x:f>
        <x:v>4</x:v>
      </x:c>
    </x:row>
    <x:row r="1213">
      <x:c r="A1213" t="n">
        <x:v>1199</x:v>
      </x:c>
      <x:c r="B1213" s="40" t="n">
        <x:v>0.7047969382849021</x:v>
      </x:c>
      <x:c r="C1213" t="n">
        <x:f>LOOKUP(B1213,$E$4:$E$9,$A$4:$A$9)</x:f>
        <x:v>3</x:v>
      </x:c>
    </x:row>
    <x:row r="1214">
      <x:c r="A1214" t="n">
        <x:v>1200</x:v>
      </x:c>
      <x:c r="B1214" s="40" t="n">
        <x:v>0.6925535452979048</x:v>
      </x:c>
      <x:c r="C1214" t="n">
        <x:f>LOOKUP(B1214,$E$4:$E$9,$A$4:$A$9)</x:f>
        <x:v>3</x:v>
      </x:c>
    </x:row>
    <x:row r="1215">
      <x:c r="A1215" t="n">
        <x:v>1201</x:v>
      </x:c>
      <x:c r="B1215" s="40" t="n">
        <x:v>0.3743008971424723</x:v>
      </x:c>
      <x:c r="C1215" t="n">
        <x:f>LOOKUP(B1215,$E$4:$E$9,$A$4:$A$9)</x:f>
        <x:v>2</x:v>
      </x:c>
    </x:row>
    <x:row r="1216">
      <x:c r="A1216" t="n">
        <x:v>1202</x:v>
      </x:c>
      <x:c r="B1216" s="40" t="n">
        <x:v>0.343908195464921</x:v>
      </x:c>
      <x:c r="C1216" t="n">
        <x:f>LOOKUP(B1216,$E$4:$E$9,$A$4:$A$9)</x:f>
        <x:v>2</x:v>
      </x:c>
    </x:row>
    <x:row r="1217">
      <x:c r="A1217" t="n">
        <x:v>1203</x:v>
      </x:c>
      <x:c r="B1217" s="40" t="n">
        <x:v>0.005639484822516971</x:v>
      </x:c>
      <x:c r="C1217" t="n">
        <x:f>LOOKUP(B1217,$E$4:$E$9,$A$4:$A$9)</x:f>
        <x:v>0</x:v>
      </x:c>
    </x:row>
    <x:row r="1218">
      <x:c r="A1218" t="n">
        <x:v>1204</x:v>
      </x:c>
      <x:c r="B1218" s="40" t="n">
        <x:v>0.9822048746373078</x:v>
      </x:c>
      <x:c r="C1218" t="n">
        <x:f>LOOKUP(B1218,$E$4:$E$9,$A$4:$A$9)</x:f>
        <x:v>5</x:v>
      </x:c>
    </x:row>
    <x:row r="1219">
      <x:c r="A1219" t="n">
        <x:v>1205</x:v>
      </x:c>
      <x:c r="B1219" s="40" t="n">
        <x:v>0.6065058323730488</x:v>
      </x:c>
      <x:c r="C1219" t="n">
        <x:f>LOOKUP(B1219,$E$4:$E$9,$A$4:$A$9)</x:f>
        <x:v>3</x:v>
      </x:c>
    </x:row>
    <x:row r="1220">
      <x:c r="A1220" t="n">
        <x:v>1206</x:v>
      </x:c>
      <x:c r="B1220" s="40" t="n">
        <x:v>0.40232862392392543</x:v>
      </x:c>
      <x:c r="C1220" t="n">
        <x:f>LOOKUP(B1220,$E$4:$E$9,$A$4:$A$9)</x:f>
        <x:v>2</x:v>
      </x:c>
    </x:row>
    <x:row r="1221">
      <x:c r="A1221" t="n">
        <x:v>1207</x:v>
      </x:c>
      <x:c r="B1221" s="40" t="n">
        <x:v>0.5437688218921786</x:v>
      </x:c>
      <x:c r="C1221" t="n">
        <x:f>LOOKUP(B1221,$E$4:$E$9,$A$4:$A$9)</x:f>
        <x:v>3</x:v>
      </x:c>
    </x:row>
    <x:row r="1222">
      <x:c r="A1222" t="n">
        <x:v>1208</x:v>
      </x:c>
      <x:c r="B1222" s="40" t="n">
        <x:v>0.04052703409626246</x:v>
      </x:c>
      <x:c r="C1222" t="n">
        <x:f>LOOKUP(B1222,$E$4:$E$9,$A$4:$A$9)</x:f>
        <x:v>0</x:v>
      </x:c>
    </x:row>
    <x:row r="1223">
      <x:c r="A1223" t="n">
        <x:v>1209</x:v>
      </x:c>
      <x:c r="B1223" s="40" t="n">
        <x:v>0.17365095529166885</x:v>
      </x:c>
      <x:c r="C1223" t="n">
        <x:f>LOOKUP(B1223,$E$4:$E$9,$A$4:$A$9)</x:f>
        <x:v>1</x:v>
      </x:c>
    </x:row>
    <x:row r="1224">
      <x:c r="A1224" t="n">
        <x:v>1210</x:v>
      </x:c>
      <x:c r="B1224" s="40" t="n">
        <x:v>0.6233599249634025</x:v>
      </x:c>
      <x:c r="C1224" t="n">
        <x:f>LOOKUP(B1224,$E$4:$E$9,$A$4:$A$9)</x:f>
        <x:v>3</x:v>
      </x:c>
    </x:row>
    <x:row r="1225">
      <x:c r="A1225" t="n">
        <x:v>1211</x:v>
      </x:c>
      <x:c r="B1225" s="40" t="n">
        <x:v>0.51426172968362</x:v>
      </x:c>
      <x:c r="C1225" t="n">
        <x:f>LOOKUP(B1225,$E$4:$E$9,$A$4:$A$9)</x:f>
        <x:v>3</x:v>
      </x:c>
    </x:row>
    <x:row r="1226">
      <x:c r="A1226" t="n">
        <x:v>1212</x:v>
      </x:c>
      <x:c r="B1226" s="40" t="n">
        <x:v>0.7870748229276331</x:v>
      </x:c>
      <x:c r="C1226" t="n">
        <x:f>LOOKUP(B1226,$E$4:$E$9,$A$4:$A$9)</x:f>
        <x:v>4</x:v>
      </x:c>
    </x:row>
    <x:row r="1227">
      <x:c r="A1227" t="n">
        <x:v>1213</x:v>
      </x:c>
      <x:c r="B1227" s="40" t="n">
        <x:v>0.6587426904453371</x:v>
      </x:c>
      <x:c r="C1227" t="n">
        <x:f>LOOKUP(B1227,$E$4:$E$9,$A$4:$A$9)</x:f>
        <x:v>3</x:v>
      </x:c>
    </x:row>
    <x:row r="1228">
      <x:c r="A1228" t="n">
        <x:v>1214</x:v>
      </x:c>
      <x:c r="B1228" s="40" t="n">
        <x:v>0.6014356759793872</x:v>
      </x:c>
      <x:c r="C1228" t="n">
        <x:f>LOOKUP(B1228,$E$4:$E$9,$A$4:$A$9)</x:f>
        <x:v>3</x:v>
      </x:c>
    </x:row>
    <x:row r="1229">
      <x:c r="A1229" t="n">
        <x:v>1215</x:v>
      </x:c>
      <x:c r="B1229" s="40" t="n">
        <x:v>0.8152657043053134</x:v>
      </x:c>
      <x:c r="C1229" t="n">
        <x:f>LOOKUP(B1229,$E$4:$E$9,$A$4:$A$9)</x:f>
        <x:v>4</x:v>
      </x:c>
    </x:row>
    <x:row r="1230">
      <x:c r="A1230" t="n">
        <x:v>1216</x:v>
      </x:c>
      <x:c r="B1230" s="40" t="n">
        <x:v>0.06826310555190063</x:v>
      </x:c>
      <x:c r="C1230" t="n">
        <x:f>LOOKUP(B1230,$E$4:$E$9,$A$4:$A$9)</x:f>
        <x:v>0</x:v>
      </x:c>
    </x:row>
    <x:row r="1231">
      <x:c r="A1231" t="n">
        <x:v>1217</x:v>
      </x:c>
      <x:c r="B1231" s="40" t="n">
        <x:v>0.6908867964312853</x:v>
      </x:c>
      <x:c r="C1231" t="n">
        <x:f>LOOKUP(B1231,$E$4:$E$9,$A$4:$A$9)</x:f>
        <x:v>3</x:v>
      </x:c>
    </x:row>
    <x:row r="1232">
      <x:c r="A1232" t="n">
        <x:v>1218</x:v>
      </x:c>
      <x:c r="B1232" s="40" t="n">
        <x:v>0.7155907132890155</x:v>
      </x:c>
      <x:c r="C1232" t="n">
        <x:f>LOOKUP(B1232,$E$4:$E$9,$A$4:$A$9)</x:f>
        <x:v>3</x:v>
      </x:c>
    </x:row>
    <x:row r="1233">
      <x:c r="A1233" t="n">
        <x:v>1219</x:v>
      </x:c>
      <x:c r="B1233" s="40" t="n">
        <x:v>0.275163549680011</x:v>
      </x:c>
      <x:c r="C1233" t="n">
        <x:f>LOOKUP(B1233,$E$4:$E$9,$A$4:$A$9)</x:f>
        <x:v>2</x:v>
      </x:c>
    </x:row>
    <x:row r="1234">
      <x:c r="A1234" t="n">
        <x:v>1220</x:v>
      </x:c>
      <x:c r="B1234" s="40" t="n">
        <x:v>0.19564963648739442</x:v>
      </x:c>
      <x:c r="C1234" t="n">
        <x:f>LOOKUP(B1234,$E$4:$E$9,$A$4:$A$9)</x:f>
        <x:v>1</x:v>
      </x:c>
    </x:row>
    <x:row r="1235">
      <x:c r="A1235" t="n">
        <x:v>1221</x:v>
      </x:c>
      <x:c r="B1235" s="40" t="n">
        <x:v>0.21385247545599917</x:v>
      </x:c>
      <x:c r="C1235" t="n">
        <x:f>LOOKUP(B1235,$E$4:$E$9,$A$4:$A$9)</x:f>
        <x:v>1</x:v>
      </x:c>
    </x:row>
    <x:row r="1236">
      <x:c r="A1236" t="n">
        <x:v>1222</x:v>
      </x:c>
      <x:c r="B1236" s="40" t="n">
        <x:v>0.19814086343199422</x:v>
      </x:c>
      <x:c r="C1236" t="n">
        <x:f>LOOKUP(B1236,$E$4:$E$9,$A$4:$A$9)</x:f>
        <x:v>1</x:v>
      </x:c>
    </x:row>
    <x:row r="1237">
      <x:c r="A1237" t="n">
        <x:v>1223</x:v>
      </x:c>
      <x:c r="B1237" s="40" t="n">
        <x:v>0.5237821909035946</x:v>
      </x:c>
      <x:c r="C1237" t="n">
        <x:f>LOOKUP(B1237,$E$4:$E$9,$A$4:$A$9)</x:f>
        <x:v>3</x:v>
      </x:c>
    </x:row>
    <x:row r="1238">
      <x:c r="A1238" t="n">
        <x:v>1224</x:v>
      </x:c>
      <x:c r="B1238" s="40" t="n">
        <x:v>0.13562631136582848</x:v>
      </x:c>
      <x:c r="C1238" t="n">
        <x:f>LOOKUP(B1238,$E$4:$E$9,$A$4:$A$9)</x:f>
        <x:v>1</x:v>
      </x:c>
    </x:row>
    <x:row r="1239">
      <x:c r="A1239" t="n">
        <x:v>1225</x:v>
      </x:c>
      <x:c r="B1239" s="40" t="n">
        <x:v>0.6592858614193504</x:v>
      </x:c>
      <x:c r="C1239" t="n">
        <x:f>LOOKUP(B1239,$E$4:$E$9,$A$4:$A$9)</x:f>
        <x:v>3</x:v>
      </x:c>
    </x:row>
    <x:row r="1240">
      <x:c r="A1240" t="n">
        <x:v>1226</x:v>
      </x:c>
      <x:c r="B1240" s="40" t="n">
        <x:v>0.10507825894876954</x:v>
      </x:c>
      <x:c r="C1240" t="n">
        <x:f>LOOKUP(B1240,$E$4:$E$9,$A$4:$A$9)</x:f>
        <x:v>1</x:v>
      </x:c>
    </x:row>
    <x:row r="1241">
      <x:c r="A1241" t="n">
        <x:v>1227</x:v>
      </x:c>
      <x:c r="B1241" s="40" t="n">
        <x:v>0.026889640310256202</x:v>
      </x:c>
      <x:c r="C1241" t="n">
        <x:f>LOOKUP(B1241,$E$4:$E$9,$A$4:$A$9)</x:f>
        <x:v>0</x:v>
      </x:c>
    </x:row>
    <x:row r="1242">
      <x:c r="A1242" t="n">
        <x:v>1228</x:v>
      </x:c>
      <x:c r="B1242" s="40" t="n">
        <x:v>0.3192902424458711</x:v>
      </x:c>
      <x:c r="C1242" t="n">
        <x:f>LOOKUP(B1242,$E$4:$E$9,$A$4:$A$9)</x:f>
        <x:v>2</x:v>
      </x:c>
    </x:row>
    <x:row r="1243">
      <x:c r="A1243" t="n">
        <x:v>1229</x:v>
      </x:c>
      <x:c r="B1243" s="40" t="n">
        <x:v>0.19185972373304105</x:v>
      </x:c>
      <x:c r="C1243" t="n">
        <x:f>LOOKUP(B1243,$E$4:$E$9,$A$4:$A$9)</x:f>
        <x:v>1</x:v>
      </x:c>
    </x:row>
    <x:row r="1244">
      <x:c r="A1244" t="n">
        <x:v>1230</x:v>
      </x:c>
      <x:c r="B1244" s="40" t="n">
        <x:v>0.9886620554100823</x:v>
      </x:c>
      <x:c r="C1244" t="n">
        <x:f>LOOKUP(B1244,$E$4:$E$9,$A$4:$A$9)</x:f>
        <x:v>5</x:v>
      </x:c>
    </x:row>
    <x:row r="1245">
      <x:c r="A1245" t="n">
        <x:v>1231</x:v>
      </x:c>
      <x:c r="B1245" s="40" t="n">
        <x:v>0.3029963006172174</x:v>
      </x:c>
      <x:c r="C1245" t="n">
        <x:f>LOOKUP(B1245,$E$4:$E$9,$A$4:$A$9)</x:f>
        <x:v>2</x:v>
      </x:c>
    </x:row>
    <x:row r="1246">
      <x:c r="A1246" t="n">
        <x:v>1232</x:v>
      </x:c>
      <x:c r="B1246" s="40" t="n">
        <x:v>0.22206408602551375</x:v>
      </x:c>
      <x:c r="C1246" t="n">
        <x:f>LOOKUP(B1246,$E$4:$E$9,$A$4:$A$9)</x:f>
        <x:v>1</x:v>
      </x:c>
    </x:row>
    <x:row r="1247">
      <x:c r="A1247" t="n">
        <x:v>1233</x:v>
      </x:c>
      <x:c r="B1247" s="40" t="n">
        <x:v>0.19676982349921457</x:v>
      </x:c>
      <x:c r="C1247" t="n">
        <x:f>LOOKUP(B1247,$E$4:$E$9,$A$4:$A$9)</x:f>
        <x:v>1</x:v>
      </x:c>
    </x:row>
    <x:row r="1248">
      <x:c r="A1248" t="n">
        <x:v>1234</x:v>
      </x:c>
      <x:c r="B1248" s="40" t="n">
        <x:v>0.3738529048034903</x:v>
      </x:c>
      <x:c r="C1248" t="n">
        <x:f>LOOKUP(B1248,$E$4:$E$9,$A$4:$A$9)</x:f>
        <x:v>2</x:v>
      </x:c>
    </x:row>
    <x:row r="1249">
      <x:c r="A1249" t="n">
        <x:v>1235</x:v>
      </x:c>
      <x:c r="B1249" s="40" t="n">
        <x:v>0.6058488953315778</x:v>
      </x:c>
      <x:c r="C1249" t="n">
        <x:f>LOOKUP(B1249,$E$4:$E$9,$A$4:$A$9)</x:f>
        <x:v>3</x:v>
      </x:c>
    </x:row>
    <x:row r="1250">
      <x:c r="A1250" t="n">
        <x:v>1236</x:v>
      </x:c>
      <x:c r="B1250" s="40" t="n">
        <x:v>0.7819452750462824</x:v>
      </x:c>
      <x:c r="C1250" t="n">
        <x:f>LOOKUP(B1250,$E$4:$E$9,$A$4:$A$9)</x:f>
        <x:v>4</x:v>
      </x:c>
    </x:row>
    <x:row r="1251">
      <x:c r="A1251" t="n">
        <x:v>1237</x:v>
      </x:c>
      <x:c r="B1251" s="40" t="n">
        <x:v>0.3645762477430684</x:v>
      </x:c>
      <x:c r="C1251" t="n">
        <x:f>LOOKUP(B1251,$E$4:$E$9,$A$4:$A$9)</x:f>
        <x:v>2</x:v>
      </x:c>
    </x:row>
    <x:row r="1252">
      <x:c r="A1252" t="n">
        <x:v>1238</x:v>
      </x:c>
      <x:c r="B1252" s="40" t="n">
        <x:v>0.6259709800427894</x:v>
      </x:c>
      <x:c r="C1252" t="n">
        <x:f>LOOKUP(B1252,$E$4:$E$9,$A$4:$A$9)</x:f>
        <x:v>3</x:v>
      </x:c>
    </x:row>
    <x:row r="1253">
      <x:c r="A1253" t="n">
        <x:v>1239</x:v>
      </x:c>
      <x:c r="B1253" s="40" t="n">
        <x:v>0.48205989827938744</x:v>
      </x:c>
      <x:c r="C1253" t="n">
        <x:f>LOOKUP(B1253,$E$4:$E$9,$A$4:$A$9)</x:f>
        <x:v>2</x:v>
      </x:c>
    </x:row>
    <x:row r="1254">
      <x:c r="A1254" t="n">
        <x:v>1240</x:v>
      </x:c>
      <x:c r="B1254" s="40" t="n">
        <x:v>0.8464953462533984</x:v>
      </x:c>
      <x:c r="C1254" t="n">
        <x:f>LOOKUP(B1254,$E$4:$E$9,$A$4:$A$9)</x:f>
        <x:v>4</x:v>
      </x:c>
    </x:row>
    <x:row r="1255">
      <x:c r="A1255" t="n">
        <x:v>1241</x:v>
      </x:c>
      <x:c r="B1255" s="40" t="n">
        <x:v>0.5690417771584352</x:v>
      </x:c>
      <x:c r="C1255" t="n">
        <x:f>LOOKUP(B1255,$E$4:$E$9,$A$4:$A$9)</x:f>
        <x:v>3</x:v>
      </x:c>
    </x:row>
    <x:row r="1256">
      <x:c r="A1256" t="n">
        <x:v>1242</x:v>
      </x:c>
      <x:c r="B1256" s="40" t="n">
        <x:v>0.28989167187910014</x:v>
      </x:c>
      <x:c r="C1256" t="n">
        <x:f>LOOKUP(B1256,$E$4:$E$9,$A$4:$A$9)</x:f>
        <x:v>2</x:v>
      </x:c>
    </x:row>
    <x:row r="1257">
      <x:c r="A1257" t="n">
        <x:v>1243</x:v>
      </x:c>
      <x:c r="B1257" s="40" t="n">
        <x:v>0.7035872571782559</x:v>
      </x:c>
      <x:c r="C1257" t="n">
        <x:f>LOOKUP(B1257,$E$4:$E$9,$A$4:$A$9)</x:f>
        <x:v>3</x:v>
      </x:c>
    </x:row>
    <x:row r="1258">
      <x:c r="A1258" t="n">
        <x:v>1244</x:v>
      </x:c>
      <x:c r="B1258" s="40" t="n">
        <x:v>0.8200644880229958</x:v>
      </x:c>
      <x:c r="C1258" t="n">
        <x:f>LOOKUP(B1258,$E$4:$E$9,$A$4:$A$9)</x:f>
        <x:v>4</x:v>
      </x:c>
    </x:row>
    <x:row r="1259">
      <x:c r="A1259" t="n">
        <x:v>1245</x:v>
      </x:c>
      <x:c r="B1259" s="40" t="n">
        <x:v>0.46544065676396507</x:v>
      </x:c>
      <x:c r="C1259" t="n">
        <x:f>LOOKUP(B1259,$E$4:$E$9,$A$4:$A$9)</x:f>
        <x:v>2</x:v>
      </x:c>
    </x:row>
    <x:row r="1260">
      <x:c r="A1260" t="n">
        <x:v>1246</x:v>
      </x:c>
      <x:c r="B1260" s="40" t="n">
        <x:v>0.9871972388823189</x:v>
      </x:c>
      <x:c r="C1260" t="n">
        <x:f>LOOKUP(B1260,$E$4:$E$9,$A$4:$A$9)</x:f>
        <x:v>5</x:v>
      </x:c>
    </x:row>
    <x:row r="1261">
      <x:c r="A1261" t="n">
        <x:v>1247</x:v>
      </x:c>
      <x:c r="B1261" s="40" t="n">
        <x:v>0.8790968791913134</x:v>
      </x:c>
      <x:c r="C1261" t="n">
        <x:f>LOOKUP(B1261,$E$4:$E$9,$A$4:$A$9)</x:f>
        <x:v>4</x:v>
      </x:c>
    </x:row>
    <x:row r="1262">
      <x:c r="A1262" t="n">
        <x:v>1248</x:v>
      </x:c>
      <x:c r="B1262" s="40" t="n">
        <x:v>0.19695466966549147</x:v>
      </x:c>
      <x:c r="C1262" t="n">
        <x:f>LOOKUP(B1262,$E$4:$E$9,$A$4:$A$9)</x:f>
        <x:v>1</x:v>
      </x:c>
    </x:row>
    <x:row r="1263">
      <x:c r="A1263" t="n">
        <x:v>1249</x:v>
      </x:c>
      <x:c r="B1263" s="40" t="n">
        <x:v>0.7867558721562373</x:v>
      </x:c>
      <x:c r="C1263" t="n">
        <x:f>LOOKUP(B1263,$E$4:$E$9,$A$4:$A$9)</x:f>
        <x:v>4</x:v>
      </x:c>
    </x:row>
    <x:row r="1264">
      <x:c r="A1264" t="n">
        <x:v>1250</x:v>
      </x:c>
      <x:c r="B1264" s="40" t="n">
        <x:v>0.6009512443497661</x:v>
      </x:c>
      <x:c r="C1264" t="n">
        <x:f>LOOKUP(B1264,$E$4:$E$9,$A$4:$A$9)</x:f>
        <x:v>3</x:v>
      </x:c>
    </x:row>
    <x:row r="1265">
      <x:c r="A1265" t="n">
        <x:v>1251</x:v>
      </x:c>
      <x:c r="B1265" s="40" t="n">
        <x:v>0.5348112978078347</x:v>
      </x:c>
      <x:c r="C1265" t="n">
        <x:f>LOOKUP(B1265,$E$4:$E$9,$A$4:$A$9)</x:f>
        <x:v>3</x:v>
      </x:c>
    </x:row>
    <x:row r="1266">
      <x:c r="A1266" t="n">
        <x:v>1252</x:v>
      </x:c>
      <x:c r="B1266" s="40" t="n">
        <x:v>0.5139385865795684</x:v>
      </x:c>
      <x:c r="C1266" t="n">
        <x:f>LOOKUP(B1266,$E$4:$E$9,$A$4:$A$9)</x:f>
        <x:v>3</x:v>
      </x:c>
    </x:row>
    <x:row r="1267">
      <x:c r="A1267" t="n">
        <x:v>1253</x:v>
      </x:c>
      <x:c r="B1267" s="40" t="n">
        <x:v>0.853411142782429</x:v>
      </x:c>
      <x:c r="C1267" t="n">
        <x:f>LOOKUP(B1267,$E$4:$E$9,$A$4:$A$9)</x:f>
        <x:v>4</x:v>
      </x:c>
    </x:row>
    <x:row r="1268">
      <x:c r="A1268" t="n">
        <x:v>1254</x:v>
      </x:c>
      <x:c r="B1268" s="40" t="n">
        <x:v>0.6108727889034485</x:v>
      </x:c>
      <x:c r="C1268" t="n">
        <x:f>LOOKUP(B1268,$E$4:$E$9,$A$4:$A$9)</x:f>
        <x:v>3</x:v>
      </x:c>
    </x:row>
    <x:row r="1269">
      <x:c r="A1269" t="n">
        <x:v>1255</x:v>
      </x:c>
      <x:c r="B1269" s="40" t="n">
        <x:v>0.5377059850537337</x:v>
      </x:c>
      <x:c r="C1269" t="n">
        <x:f>LOOKUP(B1269,$E$4:$E$9,$A$4:$A$9)</x:f>
        <x:v>3</x:v>
      </x:c>
    </x:row>
    <x:row r="1270">
      <x:c r="A1270" t="n">
        <x:v>1256</x:v>
      </x:c>
      <x:c r="B1270" s="40" t="n">
        <x:v>0.048859906758049076</x:v>
      </x:c>
      <x:c r="C1270" t="n">
        <x:f>LOOKUP(B1270,$E$4:$E$9,$A$4:$A$9)</x:f>
        <x:v>0</x:v>
      </x:c>
    </x:row>
    <x:row r="1271">
      <x:c r="A1271" t="n">
        <x:v>1257</x:v>
      </x:c>
      <x:c r="B1271" s="40" t="n">
        <x:v>0.4483028697585574</x:v>
      </x:c>
      <x:c r="C1271" t="n">
        <x:f>LOOKUP(B1271,$E$4:$E$9,$A$4:$A$9)</x:f>
        <x:v>2</x:v>
      </x:c>
    </x:row>
    <x:row r="1272">
      <x:c r="A1272" t="n">
        <x:v>1258</x:v>
      </x:c>
      <x:c r="B1272" s="40" t="n">
        <x:v>0.9080415620455077</x:v>
      </x:c>
      <x:c r="C1272" t="n">
        <x:f>LOOKUP(B1272,$E$4:$E$9,$A$4:$A$9)</x:f>
        <x:v>5</x:v>
      </x:c>
    </x:row>
    <x:row r="1273">
      <x:c r="A1273" t="n">
        <x:v>1259</x:v>
      </x:c>
      <x:c r="B1273" s="40" t="n">
        <x:v>0.711736729344619</x:v>
      </x:c>
      <x:c r="C1273" t="n">
        <x:f>LOOKUP(B1273,$E$4:$E$9,$A$4:$A$9)</x:f>
        <x:v>3</x:v>
      </x:c>
    </x:row>
    <x:row r="1274">
      <x:c r="A1274" t="n">
        <x:v>1260</x:v>
      </x:c>
      <x:c r="B1274" s="40" t="n">
        <x:v>0.050953978056153426</x:v>
      </x:c>
      <x:c r="C1274" t="n">
        <x:f>LOOKUP(B1274,$E$4:$E$9,$A$4:$A$9)</x:f>
        <x:v>0</x:v>
      </x:c>
    </x:row>
    <x:row r="1275">
      <x:c r="A1275" t="n">
        <x:v>1261</x:v>
      </x:c>
      <x:c r="B1275" s="40" t="n">
        <x:v>0.8839922821510423</x:v>
      </x:c>
      <x:c r="C1275" t="n">
        <x:f>LOOKUP(B1275,$E$4:$E$9,$A$4:$A$9)</x:f>
        <x:v>4</x:v>
      </x:c>
    </x:row>
    <x:row r="1276">
      <x:c r="A1276" t="n">
        <x:v>1262</x:v>
      </x:c>
      <x:c r="B1276" s="40" t="n">
        <x:v>0.8266672213770541</x:v>
      </x:c>
      <x:c r="C1276" t="n">
        <x:f>LOOKUP(B1276,$E$4:$E$9,$A$4:$A$9)</x:f>
        <x:v>4</x:v>
      </x:c>
    </x:row>
    <x:row r="1277">
      <x:c r="A1277" t="n">
        <x:v>1263</x:v>
      </x:c>
      <x:c r="B1277" s="40" t="n">
        <x:v>0.546684211569528</x:v>
      </x:c>
      <x:c r="C1277" t="n">
        <x:f>LOOKUP(B1277,$E$4:$E$9,$A$4:$A$9)</x:f>
        <x:v>3</x:v>
      </x:c>
    </x:row>
    <x:row r="1278">
      <x:c r="A1278" t="n">
        <x:v>1264</x:v>
      </x:c>
      <x:c r="B1278" s="40" t="n">
        <x:v>0.02240546518228148</x:v>
      </x:c>
      <x:c r="C1278" t="n">
        <x:f>LOOKUP(B1278,$E$4:$E$9,$A$4:$A$9)</x:f>
        <x:v>0</x:v>
      </x:c>
    </x:row>
    <x:row r="1279">
      <x:c r="A1279" t="n">
        <x:v>1265</x:v>
      </x:c>
      <x:c r="B1279" s="40" t="n">
        <x:v>0.5624296180338006</x:v>
      </x:c>
      <x:c r="C1279" t="n">
        <x:f>LOOKUP(B1279,$E$4:$E$9,$A$4:$A$9)</x:f>
        <x:v>3</x:v>
      </x:c>
    </x:row>
    <x:row r="1280">
      <x:c r="A1280" t="n">
        <x:v>1266</x:v>
      </x:c>
      <x:c r="B1280" s="40" t="n">
        <x:v>0.0545890499264261</x:v>
      </x:c>
      <x:c r="C1280" t="n">
        <x:f>LOOKUP(B1280,$E$4:$E$9,$A$4:$A$9)</x:f>
        <x:v>0</x:v>
      </x:c>
    </x:row>
    <x:row r="1281">
      <x:c r="A1281" t="n">
        <x:v>1267</x:v>
      </x:c>
      <x:c r="B1281" s="40" t="n">
        <x:v>0.3203789596374804</x:v>
      </x:c>
      <x:c r="C1281" t="n">
        <x:f>LOOKUP(B1281,$E$4:$E$9,$A$4:$A$9)</x:f>
        <x:v>2</x:v>
      </x:c>
    </x:row>
    <x:row r="1282">
      <x:c r="A1282" t="n">
        <x:v>1268</x:v>
      </x:c>
      <x:c r="B1282" s="40" t="n">
        <x:v>0.6289096189027389</x:v>
      </x:c>
      <x:c r="C1282" t="n">
        <x:f>LOOKUP(B1282,$E$4:$E$9,$A$4:$A$9)</x:f>
        <x:v>3</x:v>
      </x:c>
    </x:row>
    <x:row r="1283">
      <x:c r="A1283" t="n">
        <x:v>1269</x:v>
      </x:c>
      <x:c r="B1283" s="40" t="n">
        <x:v>0.9129130838821744</x:v>
      </x:c>
      <x:c r="C1283" t="n">
        <x:f>LOOKUP(B1283,$E$4:$E$9,$A$4:$A$9)</x:f>
        <x:v>5</x:v>
      </x:c>
    </x:row>
    <x:row r="1284">
      <x:c r="A1284" t="n">
        <x:v>1270</x:v>
      </x:c>
      <x:c r="B1284" s="40" t="n">
        <x:v>0.3577956372594787</x:v>
      </x:c>
      <x:c r="C1284" t="n">
        <x:f>LOOKUP(B1284,$E$4:$E$9,$A$4:$A$9)</x:f>
        <x:v>2</x:v>
      </x:c>
    </x:row>
    <x:row r="1285">
      <x:c r="A1285" t="n">
        <x:v>1271</x:v>
      </x:c>
      <x:c r="B1285" s="40" t="n">
        <x:v>0.8600237828834533</x:v>
      </x:c>
      <x:c r="C1285" t="n">
        <x:f>LOOKUP(B1285,$E$4:$E$9,$A$4:$A$9)</x:f>
        <x:v>4</x:v>
      </x:c>
    </x:row>
    <x:row r="1286">
      <x:c r="A1286" t="n">
        <x:v>1272</x:v>
      </x:c>
      <x:c r="B1286" s="40" t="n">
        <x:v>0.9183610104005163</x:v>
      </x:c>
      <x:c r="C1286" t="n">
        <x:f>LOOKUP(B1286,$E$4:$E$9,$A$4:$A$9)</x:f>
        <x:v>5</x:v>
      </x:c>
    </x:row>
    <x:row r="1287">
      <x:c r="A1287" t="n">
        <x:v>1273</x:v>
      </x:c>
      <x:c r="B1287" s="40" t="n">
        <x:v>0.021043880457314312</x:v>
      </x:c>
      <x:c r="C1287" t="n">
        <x:f>LOOKUP(B1287,$E$4:$E$9,$A$4:$A$9)</x:f>
        <x:v>0</x:v>
      </x:c>
    </x:row>
    <x:row r="1288">
      <x:c r="A1288" t="n">
        <x:v>1274</x:v>
      </x:c>
      <x:c r="B1288" s="40" t="n">
        <x:v>0.2394278377525315</x:v>
      </x:c>
      <x:c r="C1288" t="n">
        <x:f>LOOKUP(B1288,$E$4:$E$9,$A$4:$A$9)</x:f>
        <x:v>1</x:v>
      </x:c>
    </x:row>
    <x:row r="1289">
      <x:c r="A1289" t="n">
        <x:v>1275</x:v>
      </x:c>
      <x:c r="B1289" s="40" t="n">
        <x:v>0.7098622992274988</x:v>
      </x:c>
      <x:c r="C1289" t="n">
        <x:f>LOOKUP(B1289,$E$4:$E$9,$A$4:$A$9)</x:f>
        <x:v>3</x:v>
      </x:c>
    </x:row>
    <x:row r="1290">
      <x:c r="A1290" t="n">
        <x:v>1276</x:v>
      </x:c>
      <x:c r="B1290" s="40" t="n">
        <x:v>0.7568430430795484</x:v>
      </x:c>
      <x:c r="C1290" t="n">
        <x:f>LOOKUP(B1290,$E$4:$E$9,$A$4:$A$9)</x:f>
        <x:v>4</x:v>
      </x:c>
    </x:row>
    <x:row r="1291">
      <x:c r="A1291" t="n">
        <x:v>1277</x:v>
      </x:c>
      <x:c r="B1291" s="40" t="n">
        <x:v>0.3924168502170541</x:v>
      </x:c>
      <x:c r="C1291" t="n">
        <x:f>LOOKUP(B1291,$E$4:$E$9,$A$4:$A$9)</x:f>
        <x:v>2</x:v>
      </x:c>
    </x:row>
    <x:row r="1292">
      <x:c r="A1292" t="n">
        <x:v>1278</x:v>
      </x:c>
      <x:c r="B1292" s="40" t="n">
        <x:v>0.656754612772855</x:v>
      </x:c>
      <x:c r="C1292" t="n">
        <x:f>LOOKUP(B1292,$E$4:$E$9,$A$4:$A$9)</x:f>
        <x:v>3</x:v>
      </x:c>
    </x:row>
    <x:row r="1293">
      <x:c r="A1293" t="n">
        <x:v>1279</x:v>
      </x:c>
      <x:c r="B1293" s="40" t="n">
        <x:v>0.6121586173620351</x:v>
      </x:c>
      <x:c r="C1293" t="n">
        <x:f>LOOKUP(B1293,$E$4:$E$9,$A$4:$A$9)</x:f>
        <x:v>3</x:v>
      </x:c>
    </x:row>
    <x:row r="1294">
      <x:c r="A1294" t="n">
        <x:v>1280</x:v>
      </x:c>
      <x:c r="B1294" s="40" t="n">
        <x:v>0.7397749616010599</x:v>
      </x:c>
      <x:c r="C1294" t="n">
        <x:f>LOOKUP(B1294,$E$4:$E$9,$A$4:$A$9)</x:f>
        <x:v>3</x:v>
      </x:c>
    </x:row>
    <x:row r="1295">
      <x:c r="A1295" t="n">
        <x:v>1281</x:v>
      </x:c>
      <x:c r="B1295" s="40" t="n">
        <x:v>0.7186584277451218</x:v>
      </x:c>
      <x:c r="C1295" t="n">
        <x:f>LOOKUP(B1295,$E$4:$E$9,$A$4:$A$9)</x:f>
        <x:v>3</x:v>
      </x:c>
    </x:row>
    <x:row r="1296">
      <x:c r="A1296" t="n">
        <x:v>1282</x:v>
      </x:c>
      <x:c r="B1296" s="40" t="n">
        <x:v>0.08587079799036135</x:v>
      </x:c>
      <x:c r="C1296" t="n">
        <x:f>LOOKUP(B1296,$E$4:$E$9,$A$4:$A$9)</x:f>
        <x:v>0</x:v>
      </x:c>
    </x:row>
    <x:row r="1297">
      <x:c r="A1297" t="n">
        <x:v>1283</x:v>
      </x:c>
      <x:c r="B1297" s="40" t="n">
        <x:v>0.15825018094006094</x:v>
      </x:c>
      <x:c r="C1297" t="n">
        <x:f>LOOKUP(B1297,$E$4:$E$9,$A$4:$A$9)</x:f>
        <x:v>1</x:v>
      </x:c>
    </x:row>
    <x:row r="1298">
      <x:c r="A1298" t="n">
        <x:v>1284</x:v>
      </x:c>
      <x:c r="B1298" s="40" t="n">
        <x:v>0.132727147259316</x:v>
      </x:c>
      <x:c r="C1298" t="n">
        <x:f>LOOKUP(B1298,$E$4:$E$9,$A$4:$A$9)</x:f>
        <x:v>1</x:v>
      </x:c>
    </x:row>
    <x:row r="1299">
      <x:c r="A1299" t="n">
        <x:v>1285</x:v>
      </x:c>
      <x:c r="B1299" s="40" t="n">
        <x:v>0.932480069842819</x:v>
      </x:c>
      <x:c r="C1299" t="n">
        <x:f>LOOKUP(B1299,$E$4:$E$9,$A$4:$A$9)</x:f>
        <x:v>5</x:v>
      </x:c>
    </x:row>
    <x:row r="1300">
      <x:c r="A1300" t="n">
        <x:v>1286</x:v>
      </x:c>
      <x:c r="B1300" s="40" t="n">
        <x:v>0.9135426483529893</x:v>
      </x:c>
      <x:c r="C1300" t="n">
        <x:f>LOOKUP(B1300,$E$4:$E$9,$A$4:$A$9)</x:f>
        <x:v>5</x:v>
      </x:c>
    </x:row>
    <x:row r="1301">
      <x:c r="A1301" t="n">
        <x:v>1287</x:v>
      </x:c>
      <x:c r="B1301" s="40" t="n">
        <x:v>0.79741226959697</x:v>
      </x:c>
      <x:c r="C1301" t="n">
        <x:f>LOOKUP(B1301,$E$4:$E$9,$A$4:$A$9)</x:f>
        <x:v>4</x:v>
      </x:c>
    </x:row>
    <x:row r="1302">
      <x:c r="A1302" t="n">
        <x:v>1288</x:v>
      </x:c>
      <x:c r="B1302" s="40" t="n">
        <x:v>0.11671856067595932</x:v>
      </x:c>
      <x:c r="C1302" t="n">
        <x:f>LOOKUP(B1302,$E$4:$E$9,$A$4:$A$9)</x:f>
        <x:v>1</x:v>
      </x:c>
    </x:row>
    <x:row r="1303">
      <x:c r="A1303" t="n">
        <x:v>1289</x:v>
      </x:c>
      <x:c r="B1303" s="40" t="n">
        <x:v>0.5742714699195859</x:v>
      </x:c>
      <x:c r="C1303" t="n">
        <x:f>LOOKUP(B1303,$E$4:$E$9,$A$4:$A$9)</x:f>
        <x:v>3</x:v>
      </x:c>
    </x:row>
    <x:row r="1304">
      <x:c r="A1304" t="n">
        <x:v>1290</x:v>
      </x:c>
      <x:c r="B1304" s="40" t="n">
        <x:v>0.18723062608985142</x:v>
      </x:c>
      <x:c r="C1304" t="n">
        <x:f>LOOKUP(B1304,$E$4:$E$9,$A$4:$A$9)</x:f>
        <x:v>1</x:v>
      </x:c>
    </x:row>
    <x:row r="1305">
      <x:c r="A1305" t="n">
        <x:v>1291</x:v>
      </x:c>
      <x:c r="B1305" s="40" t="n">
        <x:v>0.3683839375588025</x:v>
      </x:c>
      <x:c r="C1305" t="n">
        <x:f>LOOKUP(B1305,$E$4:$E$9,$A$4:$A$9)</x:f>
        <x:v>2</x:v>
      </x:c>
    </x:row>
    <x:row r="1306">
      <x:c r="A1306" t="n">
        <x:v>1292</x:v>
      </x:c>
      <x:c r="B1306" s="40" t="n">
        <x:v>0.26709127663741294</x:v>
      </x:c>
      <x:c r="C1306" t="n">
        <x:f>LOOKUP(B1306,$E$4:$E$9,$A$4:$A$9)</x:f>
        <x:v>2</x:v>
      </x:c>
    </x:row>
    <x:row r="1307">
      <x:c r="A1307" t="n">
        <x:v>1293</x:v>
      </x:c>
      <x:c r="B1307" s="40" t="n">
        <x:v>0.8289309814874659</x:v>
      </x:c>
      <x:c r="C1307" t="n">
        <x:f>LOOKUP(B1307,$E$4:$E$9,$A$4:$A$9)</x:f>
        <x:v>4</x:v>
      </x:c>
    </x:row>
    <x:row r="1308">
      <x:c r="A1308" t="n">
        <x:v>1294</x:v>
      </x:c>
      <x:c r="B1308" s="40" t="n">
        <x:v>0.14445139951927322</x:v>
      </x:c>
      <x:c r="C1308" t="n">
        <x:f>LOOKUP(B1308,$E$4:$E$9,$A$4:$A$9)</x:f>
        <x:v>1</x:v>
      </x:c>
    </x:row>
    <x:row r="1309">
      <x:c r="A1309" t="n">
        <x:v>1295</x:v>
      </x:c>
      <x:c r="B1309" s="40" t="n">
        <x:v>0.6461791686100757</x:v>
      </x:c>
      <x:c r="C1309" t="n">
        <x:f>LOOKUP(B1309,$E$4:$E$9,$A$4:$A$9)</x:f>
        <x:v>3</x:v>
      </x:c>
    </x:row>
    <x:row r="1310">
      <x:c r="A1310" t="n">
        <x:v>1296</x:v>
      </x:c>
      <x:c r="B1310" s="40" t="n">
        <x:v>0.9838946637761669</x:v>
      </x:c>
      <x:c r="C1310" t="n">
        <x:f>LOOKUP(B1310,$E$4:$E$9,$A$4:$A$9)</x:f>
        <x:v>5</x:v>
      </x:c>
    </x:row>
    <x:row r="1311">
      <x:c r="A1311" t="n">
        <x:v>1297</x:v>
      </x:c>
      <x:c r="B1311" s="40" t="n">
        <x:v>0.6870545832536334</x:v>
      </x:c>
      <x:c r="C1311" t="n">
        <x:f>LOOKUP(B1311,$E$4:$E$9,$A$4:$A$9)</x:f>
        <x:v>3</x:v>
      </x:c>
    </x:row>
    <x:row r="1312">
      <x:c r="A1312" t="n">
        <x:v>1298</x:v>
      </x:c>
      <x:c r="B1312" s="40" t="n">
        <x:v>0.0792334890069597</x:v>
      </x:c>
      <x:c r="C1312" t="n">
        <x:f>LOOKUP(B1312,$E$4:$E$9,$A$4:$A$9)</x:f>
        <x:v>0</x:v>
      </x:c>
    </x:row>
    <x:row r="1313">
      <x:c r="A1313" t="n">
        <x:v>1299</x:v>
      </x:c>
      <x:c r="B1313" s="40" t="n">
        <x:v>0.9078495019625249</x:v>
      </x:c>
      <x:c r="C1313" t="n">
        <x:f>LOOKUP(B1313,$E$4:$E$9,$A$4:$A$9)</x:f>
        <x:v>5</x:v>
      </x:c>
    </x:row>
    <x:row r="1314">
      <x:c r="A1314" t="n">
        <x:v>1300</x:v>
      </x:c>
      <x:c r="B1314" s="40" t="n">
        <x:v>0.6430796776895962</x:v>
      </x:c>
      <x:c r="C1314" t="n">
        <x:f>LOOKUP(B1314,$E$4:$E$9,$A$4:$A$9)</x:f>
        <x:v>3</x:v>
      </x:c>
    </x:row>
    <x:row r="1315">
      <x:c r="A1315" t="n">
        <x:v>1301</x:v>
      </x:c>
      <x:c r="B1315" s="40" t="n">
        <x:v>0.4563109796052035</x:v>
      </x:c>
      <x:c r="C1315" t="n">
        <x:f>LOOKUP(B1315,$E$4:$E$9,$A$4:$A$9)</x:f>
        <x:v>2</x:v>
      </x:c>
    </x:row>
    <x:row r="1316">
      <x:c r="A1316" t="n">
        <x:v>1302</x:v>
      </x:c>
      <x:c r="B1316" s="40" t="n">
        <x:v>0.6596924785411186</x:v>
      </x:c>
      <x:c r="C1316" t="n">
        <x:f>LOOKUP(B1316,$E$4:$E$9,$A$4:$A$9)</x:f>
        <x:v>3</x:v>
      </x:c>
    </x:row>
    <x:row r="1317">
      <x:c r="A1317" t="n">
        <x:v>1303</x:v>
      </x:c>
      <x:c r="B1317" s="40" t="n">
        <x:v>0.879044330472637</x:v>
      </x:c>
      <x:c r="C1317" t="n">
        <x:f>LOOKUP(B1317,$E$4:$E$9,$A$4:$A$9)</x:f>
        <x:v>4</x:v>
      </x:c>
    </x:row>
    <x:row r="1318">
      <x:c r="A1318" t="n">
        <x:v>1304</x:v>
      </x:c>
      <x:c r="B1318" s="40" t="n">
        <x:v>0.4771272279152493</x:v>
      </x:c>
      <x:c r="C1318" t="n">
        <x:f>LOOKUP(B1318,$E$4:$E$9,$A$4:$A$9)</x:f>
        <x:v>2</x:v>
      </x:c>
    </x:row>
    <x:row r="1319">
      <x:c r="A1319" t="n">
        <x:v>1305</x:v>
      </x:c>
      <x:c r="B1319" s="40" t="n">
        <x:v>0.5313214828122292</x:v>
      </x:c>
      <x:c r="C1319" t="n">
        <x:f>LOOKUP(B1319,$E$4:$E$9,$A$4:$A$9)</x:f>
        <x:v>3</x:v>
      </x:c>
    </x:row>
    <x:row r="1320">
      <x:c r="A1320" t="n">
        <x:v>1306</x:v>
      </x:c>
      <x:c r="B1320" s="40" t="n">
        <x:v>0.4524473992179535</x:v>
      </x:c>
      <x:c r="C1320" t="n">
        <x:f>LOOKUP(B1320,$E$4:$E$9,$A$4:$A$9)</x:f>
        <x:v>2</x:v>
      </x:c>
    </x:row>
    <x:row r="1321">
      <x:c r="A1321" t="n">
        <x:v>1307</x:v>
      </x:c>
      <x:c r="B1321" s="40" t="n">
        <x:v>0.07259142632366522</x:v>
      </x:c>
      <x:c r="C1321" t="n">
        <x:f>LOOKUP(B1321,$E$4:$E$9,$A$4:$A$9)</x:f>
        <x:v>0</x:v>
      </x:c>
    </x:row>
    <x:row r="1322">
      <x:c r="A1322" t="n">
        <x:v>1308</x:v>
      </x:c>
      <x:c r="B1322" s="40" t="n">
        <x:v>0.7870701269273584</x:v>
      </x:c>
      <x:c r="C1322" t="n">
        <x:f>LOOKUP(B1322,$E$4:$E$9,$A$4:$A$9)</x:f>
        <x:v>4</x:v>
      </x:c>
    </x:row>
    <x:row r="1323">
      <x:c r="A1323" t="n">
        <x:v>1309</x:v>
      </x:c>
      <x:c r="B1323" s="40" t="n">
        <x:v>0.12641174364183894</x:v>
      </x:c>
      <x:c r="C1323" t="n">
        <x:f>LOOKUP(B1323,$E$4:$E$9,$A$4:$A$9)</x:f>
        <x:v>1</x:v>
      </x:c>
    </x:row>
    <x:row r="1324">
      <x:c r="A1324" t="n">
        <x:v>1310</x:v>
      </x:c>
      <x:c r="B1324" s="40" t="n">
        <x:v>0.3945700102883103</x:v>
      </x:c>
      <x:c r="C1324" t="n">
        <x:f>LOOKUP(B1324,$E$4:$E$9,$A$4:$A$9)</x:f>
        <x:v>2</x:v>
      </x:c>
    </x:row>
    <x:row r="1325">
      <x:c r="A1325" t="n">
        <x:v>1311</x:v>
      </x:c>
      <x:c r="B1325" s="40" t="n">
        <x:v>0.38682284560772917</x:v>
      </x:c>
      <x:c r="C1325" t="n">
        <x:f>LOOKUP(B1325,$E$4:$E$9,$A$4:$A$9)</x:f>
        <x:v>2</x:v>
      </x:c>
    </x:row>
    <x:row r="1326">
      <x:c r="A1326" t="n">
        <x:v>1312</x:v>
      </x:c>
      <x:c r="B1326" s="40" t="n">
        <x:v>0.28004079208673793</x:v>
      </x:c>
      <x:c r="C1326" t="n">
        <x:f>LOOKUP(B1326,$E$4:$E$9,$A$4:$A$9)</x:f>
        <x:v>2</x:v>
      </x:c>
    </x:row>
    <x:row r="1327">
      <x:c r="A1327" t="n">
        <x:v>1313</x:v>
      </x:c>
      <x:c r="B1327" s="40" t="n">
        <x:v>0.4025071258944184</x:v>
      </x:c>
      <x:c r="C1327" t="n">
        <x:f>LOOKUP(B1327,$E$4:$E$9,$A$4:$A$9)</x:f>
        <x:v>2</x:v>
      </x:c>
    </x:row>
    <x:row r="1328">
      <x:c r="A1328" t="n">
        <x:v>1314</x:v>
      </x:c>
      <x:c r="B1328" s="40" t="n">
        <x:v>0.6180091103824286</x:v>
      </x:c>
      <x:c r="C1328" t="n">
        <x:f>LOOKUP(B1328,$E$4:$E$9,$A$4:$A$9)</x:f>
        <x:v>3</x:v>
      </x:c>
    </x:row>
    <x:row r="1329">
      <x:c r="A1329" t="n">
        <x:v>1315</x:v>
      </x:c>
      <x:c r="B1329" s="40" t="n">
        <x:v>0.31138731220771176</x:v>
      </x:c>
      <x:c r="C1329" t="n">
        <x:f>LOOKUP(B1329,$E$4:$E$9,$A$4:$A$9)</x:f>
        <x:v>2</x:v>
      </x:c>
    </x:row>
    <x:row r="1330">
      <x:c r="A1330" t="n">
        <x:v>1316</x:v>
      </x:c>
      <x:c r="B1330" s="40" t="n">
        <x:v>0.17251193769827644</x:v>
      </x:c>
      <x:c r="C1330" t="n">
        <x:f>LOOKUP(B1330,$E$4:$E$9,$A$4:$A$9)</x:f>
        <x:v>1</x:v>
      </x:c>
    </x:row>
    <x:row r="1331">
      <x:c r="A1331" t="n">
        <x:v>1317</x:v>
      </x:c>
      <x:c r="B1331" s="40" t="n">
        <x:v>0.8693675105072666</x:v>
      </x:c>
      <x:c r="C1331" t="n">
        <x:f>LOOKUP(B1331,$E$4:$E$9,$A$4:$A$9)</x:f>
        <x:v>4</x:v>
      </x:c>
    </x:row>
    <x:row r="1332">
      <x:c r="A1332" t="n">
        <x:v>1318</x:v>
      </x:c>
      <x:c r="B1332" s="40" t="n">
        <x:v>0.9708326498571355</x:v>
      </x:c>
      <x:c r="C1332" t="n">
        <x:f>LOOKUP(B1332,$E$4:$E$9,$A$4:$A$9)</x:f>
        <x:v>5</x:v>
      </x:c>
    </x:row>
    <x:row r="1333">
      <x:c r="A1333" t="n">
        <x:v>1319</x:v>
      </x:c>
      <x:c r="B1333" s="40" t="n">
        <x:v>0.4585838238763206</x:v>
      </x:c>
      <x:c r="C1333" t="n">
        <x:f>LOOKUP(B1333,$E$4:$E$9,$A$4:$A$9)</x:f>
        <x:v>2</x:v>
      </x:c>
    </x:row>
    <x:row r="1334">
      <x:c r="A1334" t="n">
        <x:v>1320</x:v>
      </x:c>
      <x:c r="B1334" s="40" t="n">
        <x:v>0.3270197123445858</x:v>
      </x:c>
      <x:c r="C1334" t="n">
        <x:f>LOOKUP(B1334,$E$4:$E$9,$A$4:$A$9)</x:f>
        <x:v>2</x:v>
      </x:c>
    </x:row>
    <x:row r="1335">
      <x:c r="A1335" t="n">
        <x:v>1321</x:v>
      </x:c>
      <x:c r="B1335" s="40" t="n">
        <x:v>0.047482077778229326</x:v>
      </x:c>
      <x:c r="C1335" t="n">
        <x:f>LOOKUP(B1335,$E$4:$E$9,$A$4:$A$9)</x:f>
        <x:v>0</x:v>
      </x:c>
    </x:row>
    <x:row r="1336">
      <x:c r="A1336" t="n">
        <x:v>1322</x:v>
      </x:c>
      <x:c r="B1336" s="40" t="n">
        <x:v>0.036851540610053135</x:v>
      </x:c>
      <x:c r="C1336" t="n">
        <x:f>LOOKUP(B1336,$E$4:$E$9,$A$4:$A$9)</x:f>
        <x:v>0</x:v>
      </x:c>
    </x:row>
    <x:row r="1337">
      <x:c r="A1337" t="n">
        <x:v>1323</x:v>
      </x:c>
      <x:c r="B1337" s="40" t="n">
        <x:v>0.39288199564540205</x:v>
      </x:c>
      <x:c r="C1337" t="n">
        <x:f>LOOKUP(B1337,$E$4:$E$9,$A$4:$A$9)</x:f>
        <x:v>2</x:v>
      </x:c>
    </x:row>
    <x:row r="1338">
      <x:c r="A1338" t="n">
        <x:v>1324</x:v>
      </x:c>
      <x:c r="B1338" s="40" t="n">
        <x:v>0.9302420183009658</x:v>
      </x:c>
      <x:c r="C1338" t="n">
        <x:f>LOOKUP(B1338,$E$4:$E$9,$A$4:$A$9)</x:f>
        <x:v>5</x:v>
      </x:c>
    </x:row>
    <x:row r="1339">
      <x:c r="A1339" t="n">
        <x:v>1325</x:v>
      </x:c>
      <x:c r="B1339" s="40" t="n">
        <x:v>0.7307085434015644</x:v>
      </x:c>
      <x:c r="C1339" t="n">
        <x:f>LOOKUP(B1339,$E$4:$E$9,$A$4:$A$9)</x:f>
        <x:v>3</x:v>
      </x:c>
    </x:row>
    <x:row r="1340">
      <x:c r="A1340" t="n">
        <x:v>1326</x:v>
      </x:c>
      <x:c r="B1340" s="40" t="n">
        <x:v>0.349269418870775</x:v>
      </x:c>
      <x:c r="C1340" t="n">
        <x:f>LOOKUP(B1340,$E$4:$E$9,$A$4:$A$9)</x:f>
        <x:v>2</x:v>
      </x:c>
    </x:row>
    <x:row r="1341">
      <x:c r="A1341" t="n">
        <x:v>1327</x:v>
      </x:c>
      <x:c r="B1341" s="40" t="n">
        <x:v>0.968046425182061</x:v>
      </x:c>
      <x:c r="C1341" t="n">
        <x:f>LOOKUP(B1341,$E$4:$E$9,$A$4:$A$9)</x:f>
        <x:v>5</x:v>
      </x:c>
    </x:row>
    <x:row r="1342">
      <x:c r="A1342" t="n">
        <x:v>1328</x:v>
      </x:c>
      <x:c r="B1342" s="40" t="n">
        <x:v>0.4287579032557307</x:v>
      </x:c>
      <x:c r="C1342" t="n">
        <x:f>LOOKUP(B1342,$E$4:$E$9,$A$4:$A$9)</x:f>
        <x:v>2</x:v>
      </x:c>
    </x:row>
    <x:row r="1343">
      <x:c r="A1343" t="n">
        <x:v>1329</x:v>
      </x:c>
      <x:c r="B1343" s="40" t="n">
        <x:v>0.2767927439746457</x:v>
      </x:c>
      <x:c r="C1343" t="n">
        <x:f>LOOKUP(B1343,$E$4:$E$9,$A$4:$A$9)</x:f>
        <x:v>2</x:v>
      </x:c>
    </x:row>
    <x:row r="1344">
      <x:c r="A1344" t="n">
        <x:v>1330</x:v>
      </x:c>
      <x:c r="B1344" s="40" t="n">
        <x:v>0.4263532447243572</x:v>
      </x:c>
      <x:c r="C1344" t="n">
        <x:f>LOOKUP(B1344,$E$4:$E$9,$A$4:$A$9)</x:f>
        <x:v>2</x:v>
      </x:c>
    </x:row>
    <x:row r="1345">
      <x:c r="A1345" t="n">
        <x:v>1331</x:v>
      </x:c>
      <x:c r="B1345" s="40" t="n">
        <x:v>0.21154322698383277</x:v>
      </x:c>
      <x:c r="C1345" t="n">
        <x:f>LOOKUP(B1345,$E$4:$E$9,$A$4:$A$9)</x:f>
        <x:v>1</x:v>
      </x:c>
    </x:row>
    <x:row r="1346">
      <x:c r="A1346" t="n">
        <x:v>1332</x:v>
      </x:c>
      <x:c r="B1346" s="40" t="n">
        <x:v>0.8856387702007957</x:v>
      </x:c>
      <x:c r="C1346" t="n">
        <x:f>LOOKUP(B1346,$E$4:$E$9,$A$4:$A$9)</x:f>
        <x:v>4</x:v>
      </x:c>
    </x:row>
    <x:row r="1347">
      <x:c r="A1347" t="n">
        <x:v>1333</x:v>
      </x:c>
      <x:c r="B1347" s="40" t="n">
        <x:v>0.3611733104176903</x:v>
      </x:c>
      <x:c r="C1347" t="n">
        <x:f>LOOKUP(B1347,$E$4:$E$9,$A$4:$A$9)</x:f>
        <x:v>2</x:v>
      </x:c>
    </x:row>
    <x:row r="1348">
      <x:c r="A1348" t="n">
        <x:v>1334</x:v>
      </x:c>
      <x:c r="B1348" s="40" t="n">
        <x:v>0.6579689644943214</x:v>
      </x:c>
      <x:c r="C1348" t="n">
        <x:f>LOOKUP(B1348,$E$4:$E$9,$A$4:$A$9)</x:f>
        <x:v>3</x:v>
      </x:c>
    </x:row>
    <x:row r="1349">
      <x:c r="A1349" t="n">
        <x:v>1335</x:v>
      </x:c>
      <x:c r="B1349" s="40" t="n">
        <x:v>0.38904719882716354</x:v>
      </x:c>
      <x:c r="C1349" t="n">
        <x:f>LOOKUP(B1349,$E$4:$E$9,$A$4:$A$9)</x:f>
        <x:v>2</x:v>
      </x:c>
    </x:row>
    <x:row r="1350">
      <x:c r="A1350" t="n">
        <x:v>1336</x:v>
      </x:c>
      <x:c r="B1350" s="40" t="n">
        <x:v>0.9017314179639625</x:v>
      </x:c>
      <x:c r="C1350" t="n">
        <x:f>LOOKUP(B1350,$E$4:$E$9,$A$4:$A$9)</x:f>
        <x:v>5</x:v>
      </x:c>
    </x:row>
    <x:row r="1351">
      <x:c r="A1351" t="n">
        <x:v>1337</x:v>
      </x:c>
      <x:c r="B1351" s="40" t="n">
        <x:v>0.6423807517156301</x:v>
      </x:c>
      <x:c r="C1351" t="n">
        <x:f>LOOKUP(B1351,$E$4:$E$9,$A$4:$A$9)</x:f>
        <x:v>3</x:v>
      </x:c>
    </x:row>
    <x:row r="1352">
      <x:c r="A1352" t="n">
        <x:v>1338</x:v>
      </x:c>
      <x:c r="B1352" s="40" t="n">
        <x:v>0.48825189028129945</x:v>
      </x:c>
      <x:c r="C1352" t="n">
        <x:f>LOOKUP(B1352,$E$4:$E$9,$A$4:$A$9)</x:f>
        <x:v>2</x:v>
      </x:c>
    </x:row>
    <x:row r="1353">
      <x:c r="A1353" t="n">
        <x:v>1339</x:v>
      </x:c>
      <x:c r="B1353" s="40" t="n">
        <x:v>0.1321429691813385</x:v>
      </x:c>
      <x:c r="C1353" t="n">
        <x:f>LOOKUP(B1353,$E$4:$E$9,$A$4:$A$9)</x:f>
        <x:v>1</x:v>
      </x:c>
    </x:row>
    <x:row r="1354">
      <x:c r="A1354" t="n">
        <x:v>1340</x:v>
      </x:c>
      <x:c r="B1354" s="40" t="n">
        <x:v>0.9019166628522043</x:v>
      </x:c>
      <x:c r="C1354" t="n">
        <x:f>LOOKUP(B1354,$E$4:$E$9,$A$4:$A$9)</x:f>
        <x:v>5</x:v>
      </x:c>
    </x:row>
    <x:row r="1355">
      <x:c r="A1355" t="n">
        <x:v>1341</x:v>
      </x:c>
      <x:c r="B1355" s="40" t="n">
        <x:v>0.5468168682717709</x:v>
      </x:c>
      <x:c r="C1355" t="n">
        <x:f>LOOKUP(B1355,$E$4:$E$9,$A$4:$A$9)</x:f>
        <x:v>3</x:v>
      </x:c>
    </x:row>
    <x:row r="1356">
      <x:c r="A1356" t="n">
        <x:v>1342</x:v>
      </x:c>
      <x:c r="B1356" s="40" t="n">
        <x:v>0.2850529729614175</x:v>
      </x:c>
      <x:c r="C1356" t="n">
        <x:f>LOOKUP(B1356,$E$4:$E$9,$A$4:$A$9)</x:f>
        <x:v>2</x:v>
      </x:c>
    </x:row>
    <x:row r="1357">
      <x:c r="A1357" t="n">
        <x:v>1343</x:v>
      </x:c>
      <x:c r="B1357" s="40" t="n">
        <x:v>0.8779268918167041</x:v>
      </x:c>
      <x:c r="C1357" t="n">
        <x:f>LOOKUP(B1357,$E$4:$E$9,$A$4:$A$9)</x:f>
        <x:v>4</x:v>
      </x:c>
    </x:row>
    <x:row r="1358">
      <x:c r="A1358" t="n">
        <x:v>1344</x:v>
      </x:c>
      <x:c r="B1358" s="40" t="n">
        <x:v>0.0544404273944078</x:v>
      </x:c>
      <x:c r="C1358" t="n">
        <x:f>LOOKUP(B1358,$E$4:$E$9,$A$4:$A$9)</x:f>
        <x:v>0</x:v>
      </x:c>
    </x:row>
    <x:row r="1359">
      <x:c r="A1359" t="n">
        <x:v>1345</x:v>
      </x:c>
      <x:c r="B1359" s="40" t="n">
        <x:v>0.31407691732957166</x:v>
      </x:c>
      <x:c r="C1359" t="n">
        <x:f>LOOKUP(B1359,$E$4:$E$9,$A$4:$A$9)</x:f>
        <x:v>2</x:v>
      </x:c>
    </x:row>
    <x:row r="1360">
      <x:c r="A1360" t="n">
        <x:v>1346</x:v>
      </x:c>
      <x:c r="B1360" s="40" t="n">
        <x:v>0.5368284012021476</x:v>
      </x:c>
      <x:c r="C1360" t="n">
        <x:f>LOOKUP(B1360,$E$4:$E$9,$A$4:$A$9)</x:f>
        <x:v>3</x:v>
      </x:c>
    </x:row>
    <x:row r="1361">
      <x:c r="A1361" t="n">
        <x:v>1347</x:v>
      </x:c>
      <x:c r="B1361" s="40" t="n">
        <x:v>0.33981433604329303</x:v>
      </x:c>
      <x:c r="C1361" t="n">
        <x:f>LOOKUP(B1361,$E$4:$E$9,$A$4:$A$9)</x:f>
        <x:v>2</x:v>
      </x:c>
    </x:row>
    <x:row r="1362">
      <x:c r="A1362" t="n">
        <x:v>1348</x:v>
      </x:c>
      <x:c r="B1362" s="40" t="n">
        <x:v>0.47673425537885783</x:v>
      </x:c>
      <x:c r="C1362" t="n">
        <x:f>LOOKUP(B1362,$E$4:$E$9,$A$4:$A$9)</x:f>
        <x:v>2</x:v>
      </x:c>
    </x:row>
    <x:row r="1363">
      <x:c r="A1363" t="n">
        <x:v>1349</x:v>
      </x:c>
      <x:c r="B1363" s="40" t="n">
        <x:v>0.2643162523309839</x:v>
      </x:c>
      <x:c r="C1363" t="n">
        <x:f>LOOKUP(B1363,$E$4:$E$9,$A$4:$A$9)</x:f>
        <x:v>2</x:v>
      </x:c>
    </x:row>
    <x:row r="1364">
      <x:c r="A1364" t="n">
        <x:v>1350</x:v>
      </x:c>
      <x:c r="B1364" s="40" t="n">
        <x:v>0.13008309093289716</x:v>
      </x:c>
      <x:c r="C1364" t="n">
        <x:f>LOOKUP(B1364,$E$4:$E$9,$A$4:$A$9)</x:f>
        <x:v>1</x:v>
      </x:c>
    </x:row>
    <x:row r="1365">
      <x:c r="A1365" t="n">
        <x:v>1351</x:v>
      </x:c>
      <x:c r="B1365" s="40" t="n">
        <x:v>0.03685413861685172</x:v>
      </x:c>
      <x:c r="C1365" t="n">
        <x:f>LOOKUP(B1365,$E$4:$E$9,$A$4:$A$9)</x:f>
        <x:v>0</x:v>
      </x:c>
    </x:row>
    <x:row r="1366">
      <x:c r="A1366" t="n">
        <x:v>1352</x:v>
      </x:c>
      <x:c r="B1366" s="40" t="n">
        <x:v>0.1576465649121419</x:v>
      </x:c>
      <x:c r="C1366" t="n">
        <x:f>LOOKUP(B1366,$E$4:$E$9,$A$4:$A$9)</x:f>
        <x:v>1</x:v>
      </x:c>
    </x:row>
    <x:row r="1367">
      <x:c r="A1367" t="n">
        <x:v>1353</x:v>
      </x:c>
      <x:c r="B1367" s="40" t="n">
        <x:v>0.9529465140248118</x:v>
      </x:c>
      <x:c r="C1367" t="n">
        <x:f>LOOKUP(B1367,$E$4:$E$9,$A$4:$A$9)</x:f>
        <x:v>5</x:v>
      </x:c>
    </x:row>
    <x:row r="1368">
      <x:c r="A1368" t="n">
        <x:v>1354</x:v>
      </x:c>
      <x:c r="B1368" s="40" t="n">
        <x:v>0.5754031333367384</x:v>
      </x:c>
      <x:c r="C1368" t="n">
        <x:f>LOOKUP(B1368,$E$4:$E$9,$A$4:$A$9)</x:f>
        <x:v>3</x:v>
      </x:c>
    </x:row>
    <x:row r="1369">
      <x:c r="A1369" t="n">
        <x:v>1355</x:v>
      </x:c>
      <x:c r="B1369" s="40" t="n">
        <x:v>0.4889601252779515</x:v>
      </x:c>
      <x:c r="C1369" t="n">
        <x:f>LOOKUP(B1369,$E$4:$E$9,$A$4:$A$9)</x:f>
        <x:v>2</x:v>
      </x:c>
    </x:row>
    <x:row r="1370">
      <x:c r="A1370" t="n">
        <x:v>1356</x:v>
      </x:c>
      <x:c r="B1370" s="40" t="n">
        <x:v>0.38432383930570857</x:v>
      </x:c>
      <x:c r="C1370" t="n">
        <x:f>LOOKUP(B1370,$E$4:$E$9,$A$4:$A$9)</x:f>
        <x:v>2</x:v>
      </x:c>
    </x:row>
    <x:row r="1371">
      <x:c r="A1371" t="n">
        <x:v>1357</x:v>
      </x:c>
      <x:c r="B1371" s="40" t="n">
        <x:v>0.7084201459833853</x:v>
      </x:c>
      <x:c r="C1371" t="n">
        <x:f>LOOKUP(B1371,$E$4:$E$9,$A$4:$A$9)</x:f>
        <x:v>3</x:v>
      </x:c>
    </x:row>
    <x:row r="1372">
      <x:c r="A1372" t="n">
        <x:v>1358</x:v>
      </x:c>
      <x:c r="B1372" s="40" t="n">
        <x:v>0.14125947590609333</x:v>
      </x:c>
      <x:c r="C1372" t="n">
        <x:f>LOOKUP(B1372,$E$4:$E$9,$A$4:$A$9)</x:f>
        <x:v>1</x:v>
      </x:c>
    </x:row>
    <x:row r="1373">
      <x:c r="A1373" t="n">
        <x:v>1359</x:v>
      </x:c>
      <x:c r="B1373" s="40" t="n">
        <x:v>0.27612986765266345</x:v>
      </x:c>
      <x:c r="C1373" t="n">
        <x:f>LOOKUP(B1373,$E$4:$E$9,$A$4:$A$9)</x:f>
        <x:v>2</x:v>
      </x:c>
    </x:row>
    <x:row r="1374">
      <x:c r="A1374" t="n">
        <x:v>1360</x:v>
      </x:c>
      <x:c r="B1374" s="40" t="n">
        <x:v>0.6559021196637528</x:v>
      </x:c>
      <x:c r="C1374" t="n">
        <x:f>LOOKUP(B1374,$E$4:$E$9,$A$4:$A$9)</x:f>
        <x:v>3</x:v>
      </x:c>
    </x:row>
    <x:row r="1375">
      <x:c r="A1375" t="n">
        <x:v>1361</x:v>
      </x:c>
      <x:c r="B1375" s="40" t="n">
        <x:v>0.47906436458522794</x:v>
      </x:c>
      <x:c r="C1375" t="n">
        <x:f>LOOKUP(B1375,$E$4:$E$9,$A$4:$A$9)</x:f>
        <x:v>2</x:v>
      </x:c>
    </x:row>
    <x:row r="1376">
      <x:c r="A1376" t="n">
        <x:v>1362</x:v>
      </x:c>
      <x:c r="B1376" s="40" t="n">
        <x:v>0.7700925389590887</x:v>
      </x:c>
      <x:c r="C1376" t="n">
        <x:f>LOOKUP(B1376,$E$4:$E$9,$A$4:$A$9)</x:f>
        <x:v>4</x:v>
      </x:c>
    </x:row>
    <x:row r="1377">
      <x:c r="A1377" t="n">
        <x:v>1363</x:v>
      </x:c>
      <x:c r="B1377" s="40" t="n">
        <x:v>0.8971098439566533</x:v>
      </x:c>
      <x:c r="C1377" t="n">
        <x:f>LOOKUP(B1377,$E$4:$E$9,$A$4:$A$9)</x:f>
        <x:v>5</x:v>
      </x:c>
    </x:row>
    <x:row r="1378">
      <x:c r="A1378" t="n">
        <x:v>1364</x:v>
      </x:c>
      <x:c r="B1378" s="40" t="n">
        <x:v>0.8233725913706561</x:v>
      </x:c>
      <x:c r="C1378" t="n">
        <x:f>LOOKUP(B1378,$E$4:$E$9,$A$4:$A$9)</x:f>
        <x:v>4</x:v>
      </x:c>
    </x:row>
    <x:row r="1379">
      <x:c r="A1379" t="n">
        <x:v>1365</x:v>
      </x:c>
      <x:c r="B1379" s="40" t="n">
        <x:v>0.18420771426073201</x:v>
      </x:c>
      <x:c r="C1379" t="n">
        <x:f>LOOKUP(B1379,$E$4:$E$9,$A$4:$A$9)</x:f>
        <x:v>1</x:v>
      </x:c>
    </x:row>
    <x:row r="1380">
      <x:c r="A1380" t="n">
        <x:v>1366</x:v>
      </x:c>
      <x:c r="B1380" s="40" t="n">
        <x:v>0.09147023552697853</x:v>
      </x:c>
      <x:c r="C1380" t="n">
        <x:f>LOOKUP(B1380,$E$4:$E$9,$A$4:$A$9)</x:f>
        <x:v>1</x:v>
      </x:c>
    </x:row>
    <x:row r="1381">
      <x:c r="A1381" t="n">
        <x:v>1367</x:v>
      </x:c>
      <x:c r="B1381" s="40" t="n">
        <x:v>0.1694406005450485</x:v>
      </x:c>
      <x:c r="C1381" t="n">
        <x:f>LOOKUP(B1381,$E$4:$E$9,$A$4:$A$9)</x:f>
        <x:v>1</x:v>
      </x:c>
    </x:row>
    <x:row r="1382">
      <x:c r="A1382" t="n">
        <x:v>1368</x:v>
      </x:c>
      <x:c r="B1382" s="40" t="n">
        <x:v>0.7835306916002306</x:v>
      </x:c>
      <x:c r="C1382" t="n">
        <x:f>LOOKUP(B1382,$E$4:$E$9,$A$4:$A$9)</x:f>
        <x:v>4</x:v>
      </x:c>
    </x:row>
    <x:row r="1383">
      <x:c r="A1383" t="n">
        <x:v>1369</x:v>
      </x:c>
      <x:c r="B1383" s="40" t="n">
        <x:v>0.9138310894927105</x:v>
      </x:c>
      <x:c r="C1383" t="n">
        <x:f>LOOKUP(B1383,$E$4:$E$9,$A$4:$A$9)</x:f>
        <x:v>5</x:v>
      </x:c>
    </x:row>
    <x:row r="1384">
      <x:c r="A1384" t="n">
        <x:v>1370</x:v>
      </x:c>
      <x:c r="B1384" s="40" t="n">
        <x:v>0.9254488677038575</x:v>
      </x:c>
      <x:c r="C1384" t="n">
        <x:f>LOOKUP(B1384,$E$4:$E$9,$A$4:$A$9)</x:f>
        <x:v>5</x:v>
      </x:c>
    </x:row>
    <x:row r="1385">
      <x:c r="A1385" t="n">
        <x:v>1371</x:v>
      </x:c>
      <x:c r="B1385" s="40" t="n">
        <x:v>0.29821578937044557</x:v>
      </x:c>
      <x:c r="C1385" t="n">
        <x:f>LOOKUP(B1385,$E$4:$E$9,$A$4:$A$9)</x:f>
        <x:v>2</x:v>
      </x:c>
    </x:row>
    <x:row r="1386">
      <x:c r="A1386" t="n">
        <x:v>1372</x:v>
      </x:c>
      <x:c r="B1386" s="40" t="n">
        <x:v>0.8403413780135583</x:v>
      </x:c>
      <x:c r="C1386" t="n">
        <x:f>LOOKUP(B1386,$E$4:$E$9,$A$4:$A$9)</x:f>
        <x:v>4</x:v>
      </x:c>
    </x:row>
    <x:row r="1387">
      <x:c r="A1387" t="n">
        <x:v>1373</x:v>
      </x:c>
      <x:c r="B1387" s="40" t="n">
        <x:v>0.5362355350220966</x:v>
      </x:c>
      <x:c r="C1387" t="n">
        <x:f>LOOKUP(B1387,$E$4:$E$9,$A$4:$A$9)</x:f>
        <x:v>3</x:v>
      </x:c>
    </x:row>
    <x:row r="1388">
      <x:c r="A1388" t="n">
        <x:v>1374</x:v>
      </x:c>
      <x:c r="B1388" s="40" t="n">
        <x:v>0.8227918483482073</x:v>
      </x:c>
      <x:c r="C1388" t="n">
        <x:f>LOOKUP(B1388,$E$4:$E$9,$A$4:$A$9)</x:f>
        <x:v>4</x:v>
      </x:c>
    </x:row>
    <x:row r="1389">
      <x:c r="A1389" t="n">
        <x:v>1375</x:v>
      </x:c>
      <x:c r="B1389" s="40" t="n">
        <x:v>0.548364842380001</x:v>
      </x:c>
      <x:c r="C1389" t="n">
        <x:f>LOOKUP(B1389,$E$4:$E$9,$A$4:$A$9)</x:f>
        <x:v>3</x:v>
      </x:c>
    </x:row>
    <x:row r="1390">
      <x:c r="A1390" t="n">
        <x:v>1376</x:v>
      </x:c>
      <x:c r="B1390" s="40" t="n">
        <x:v>0.14589321977911818</x:v>
      </x:c>
      <x:c r="C1390" t="n">
        <x:f>LOOKUP(B1390,$E$4:$E$9,$A$4:$A$9)</x:f>
        <x:v>1</x:v>
      </x:c>
    </x:row>
    <x:row r="1391">
      <x:c r="A1391" t="n">
        <x:v>1377</x:v>
      </x:c>
      <x:c r="B1391" s="40" t="n">
        <x:v>0.07921955107309742</x:v>
      </x:c>
      <x:c r="C1391" t="n">
        <x:f>LOOKUP(B1391,$E$4:$E$9,$A$4:$A$9)</x:f>
        <x:v>0</x:v>
      </x:c>
    </x:row>
    <x:row r="1392">
      <x:c r="A1392" t="n">
        <x:v>1378</x:v>
      </x:c>
      <x:c r="B1392" s="40" t="n">
        <x:v>0.9572191492093396</x:v>
      </x:c>
      <x:c r="C1392" t="n">
        <x:f>LOOKUP(B1392,$E$4:$E$9,$A$4:$A$9)</x:f>
        <x:v>5</x:v>
      </x:c>
    </x:row>
    <x:row r="1393">
      <x:c r="A1393" t="n">
        <x:v>1379</x:v>
      </x:c>
      <x:c r="B1393" s="40" t="n">
        <x:v>0.42580255643157894</x:v>
      </x:c>
      <x:c r="C1393" t="n">
        <x:f>LOOKUP(B1393,$E$4:$E$9,$A$4:$A$9)</x:f>
        <x:v>2</x:v>
      </x:c>
    </x:row>
    <x:row r="1394">
      <x:c r="A1394" t="n">
        <x:v>1380</x:v>
      </x:c>
      <x:c r="B1394" s="40" t="n">
        <x:v>0.3505206448973178</x:v>
      </x:c>
      <x:c r="C1394" t="n">
        <x:f>LOOKUP(B1394,$E$4:$E$9,$A$4:$A$9)</x:f>
        <x:v>2</x:v>
      </x:c>
    </x:row>
    <x:row r="1395">
      <x:c r="A1395" t="n">
        <x:v>1381</x:v>
      </x:c>
      <x:c r="B1395" s="40" t="n">
        <x:v>0.3563030847683104</x:v>
      </x:c>
      <x:c r="C1395" t="n">
        <x:f>LOOKUP(B1395,$E$4:$E$9,$A$4:$A$9)</x:f>
        <x:v>2</x:v>
      </x:c>
    </x:row>
    <x:row r="1396">
      <x:c r="A1396" t="n">
        <x:v>1382</x:v>
      </x:c>
      <x:c r="B1396" s="40" t="n">
        <x:v>0.378934411475472</x:v>
      </x:c>
      <x:c r="C1396" t="n">
        <x:f>LOOKUP(B1396,$E$4:$E$9,$A$4:$A$9)</x:f>
        <x:v>2</x:v>
      </x:c>
    </x:row>
    <x:row r="1397">
      <x:c r="A1397" t="n">
        <x:v>1383</x:v>
      </x:c>
      <x:c r="B1397" s="40" t="n">
        <x:v>0.9449968278943381</x:v>
      </x:c>
      <x:c r="C1397" t="n">
        <x:f>LOOKUP(B1397,$E$4:$E$9,$A$4:$A$9)</x:f>
        <x:v>5</x:v>
      </x:c>
    </x:row>
    <x:row r="1398">
      <x:c r="A1398" t="n">
        <x:v>1384</x:v>
      </x:c>
      <x:c r="B1398" s="40" t="n">
        <x:v>0.06270458740317586</x:v>
      </x:c>
      <x:c r="C1398" t="n">
        <x:f>LOOKUP(B1398,$E$4:$E$9,$A$4:$A$9)</x:f>
        <x:v>0</x:v>
      </x:c>
    </x:row>
    <x:row r="1399">
      <x:c r="A1399" t="n">
        <x:v>1385</x:v>
      </x:c>
      <x:c r="B1399" s="40" t="n">
        <x:v>0.11906128738229915</x:v>
      </x:c>
      <x:c r="C1399" t="n">
        <x:f>LOOKUP(B1399,$E$4:$E$9,$A$4:$A$9)</x:f>
        <x:v>1</x:v>
      </x:c>
    </x:row>
    <x:row r="1400">
      <x:c r="A1400" t="n">
        <x:v>1386</x:v>
      </x:c>
      <x:c r="B1400" s="40" t="n">
        <x:v>0.7896515154818492</x:v>
      </x:c>
      <x:c r="C1400" t="n">
        <x:f>LOOKUP(B1400,$E$4:$E$9,$A$4:$A$9)</x:f>
        <x:v>4</x:v>
      </x:c>
    </x:row>
    <x:row r="1401">
      <x:c r="A1401" t="n">
        <x:v>1387</x:v>
      </x:c>
      <x:c r="B1401" s="40" t="n">
        <x:v>0.5494094913401387</x:v>
      </x:c>
      <x:c r="C1401" t="n">
        <x:f>LOOKUP(B1401,$E$4:$E$9,$A$4:$A$9)</x:f>
        <x:v>3</x:v>
      </x:c>
    </x:row>
    <x:row r="1402">
      <x:c r="A1402" t="n">
        <x:v>1388</x:v>
      </x:c>
      <x:c r="B1402" s="40" t="n">
        <x:v>0.128536757960952</x:v>
      </x:c>
      <x:c r="C1402" t="n">
        <x:f>LOOKUP(B1402,$E$4:$E$9,$A$4:$A$9)</x:f>
        <x:v>1</x:v>
      </x:c>
    </x:row>
    <x:row r="1403">
      <x:c r="A1403" t="n">
        <x:v>1389</x:v>
      </x:c>
      <x:c r="B1403" s="40" t="n">
        <x:v>0.03446013677833637</x:v>
      </x:c>
      <x:c r="C1403" t="n">
        <x:f>LOOKUP(B1403,$E$4:$E$9,$A$4:$A$9)</x:f>
        <x:v>0</x:v>
      </x:c>
    </x:row>
    <x:row r="1404">
      <x:c r="A1404" t="n">
        <x:v>1390</x:v>
      </x:c>
      <x:c r="B1404" s="40" t="n">
        <x:v>0.2242343482792274</x:v>
      </x:c>
      <x:c r="C1404" t="n">
        <x:f>LOOKUP(B1404,$E$4:$E$9,$A$4:$A$9)</x:f>
        <x:v>1</x:v>
      </x:c>
    </x:row>
    <x:row r="1405">
      <x:c r="A1405" t="n">
        <x:v>1391</x:v>
      </x:c>
      <x:c r="B1405" s="40" t="n">
        <x:v>0.2608107377102711</x:v>
      </x:c>
      <x:c r="C1405" t="n">
        <x:f>LOOKUP(B1405,$E$4:$E$9,$A$4:$A$9)</x:f>
        <x:v>2</x:v>
      </x:c>
    </x:row>
    <x:row r="1406">
      <x:c r="A1406" t="n">
        <x:v>1392</x:v>
      </x:c>
      <x:c r="B1406" s="40" t="n">
        <x:v>0.014213029574641989</x:v>
      </x:c>
      <x:c r="C1406" t="n">
        <x:f>LOOKUP(B1406,$E$4:$E$9,$A$4:$A$9)</x:f>
        <x:v>0</x:v>
      </x:c>
    </x:row>
    <x:row r="1407">
      <x:c r="A1407" t="n">
        <x:v>1393</x:v>
      </x:c>
      <x:c r="B1407" s="40" t="n">
        <x:v>0.21609053833719338</x:v>
      </x:c>
      <x:c r="C1407" t="n">
        <x:f>LOOKUP(B1407,$E$4:$E$9,$A$4:$A$9)</x:f>
        <x:v>1</x:v>
      </x:c>
    </x:row>
    <x:row r="1408">
      <x:c r="A1408" t="n">
        <x:v>1394</x:v>
      </x:c>
      <x:c r="B1408" s="40" t="n">
        <x:v>0.7383189369523997</x:v>
      </x:c>
      <x:c r="C1408" t="n">
        <x:f>LOOKUP(B1408,$E$4:$E$9,$A$4:$A$9)</x:f>
        <x:v>3</x:v>
      </x:c>
    </x:row>
    <x:row r="1409">
      <x:c r="A1409" t="n">
        <x:v>1395</x:v>
      </x:c>
      <x:c r="B1409" s="40" t="n">
        <x:v>0.8554336896370037</x:v>
      </x:c>
      <x:c r="C1409" t="n">
        <x:f>LOOKUP(B1409,$E$4:$E$9,$A$4:$A$9)</x:f>
        <x:v>4</x:v>
      </x:c>
    </x:row>
    <x:row r="1410">
      <x:c r="A1410" t="n">
        <x:v>1396</x:v>
      </x:c>
      <x:c r="B1410" s="40" t="n">
        <x:v>0.8982358297697178</x:v>
      </x:c>
      <x:c r="C1410" t="n">
        <x:f>LOOKUP(B1410,$E$4:$E$9,$A$4:$A$9)</x:f>
        <x:v>5</x:v>
      </x:c>
    </x:row>
    <x:row r="1411">
      <x:c r="A1411" t="n">
        <x:v>1397</x:v>
      </x:c>
      <x:c r="B1411" s="40" t="n">
        <x:v>0.3899140326435434</x:v>
      </x:c>
      <x:c r="C1411" t="n">
        <x:f>LOOKUP(B1411,$E$4:$E$9,$A$4:$A$9)</x:f>
        <x:v>2</x:v>
      </x:c>
    </x:row>
    <x:row r="1412">
      <x:c r="A1412" t="n">
        <x:v>1398</x:v>
      </x:c>
      <x:c r="B1412" s="40" t="n">
        <x:v>0.31941372590355765</x:v>
      </x:c>
      <x:c r="C1412" t="n">
        <x:f>LOOKUP(B1412,$E$4:$E$9,$A$4:$A$9)</x:f>
        <x:v>2</x:v>
      </x:c>
    </x:row>
    <x:row r="1413">
      <x:c r="A1413" t="n">
        <x:v>1399</x:v>
      </x:c>
      <x:c r="B1413" s="40" t="n">
        <x:v>0.9998608482078876</x:v>
      </x:c>
      <x:c r="C1413" t="n">
        <x:f>LOOKUP(B1413,$E$4:$E$9,$A$4:$A$9)</x:f>
        <x:v>5</x:v>
      </x:c>
    </x:row>
    <x:row r="1414">
      <x:c r="A1414" t="n">
        <x:v>1400</x:v>
      </x:c>
      <x:c r="B1414" s="40" t="n">
        <x:v>0.7693404509215888</x:v>
      </x:c>
      <x:c r="C1414" t="n">
        <x:f>LOOKUP(B1414,$E$4:$E$9,$A$4:$A$9)</x:f>
        <x:v>4</x:v>
      </x:c>
    </x:row>
    <x:row r="1415">
      <x:c r="A1415" t="n">
        <x:v>1401</x:v>
      </x:c>
      <x:c r="B1415" s="40" t="n">
        <x:v>0.5373520809075544</x:v>
      </x:c>
      <x:c r="C1415" t="n">
        <x:f>LOOKUP(B1415,$E$4:$E$9,$A$4:$A$9)</x:f>
        <x:v>3</x:v>
      </x:c>
    </x:row>
    <x:row r="1416">
      <x:c r="A1416" t="n">
        <x:v>1402</x:v>
      </x:c>
      <x:c r="B1416" s="40" t="n">
        <x:v>0.2547714326893966</x:v>
      </x:c>
      <x:c r="C1416" t="n">
        <x:f>LOOKUP(B1416,$E$4:$E$9,$A$4:$A$9)</x:f>
        <x:v>2</x:v>
      </x:c>
    </x:row>
    <x:row r="1417">
      <x:c r="A1417" t="n">
        <x:v>1403</x:v>
      </x:c>
      <x:c r="B1417" s="40" t="n">
        <x:v>0.3213054528851047</x:v>
      </x:c>
      <x:c r="C1417" t="n">
        <x:f>LOOKUP(B1417,$E$4:$E$9,$A$4:$A$9)</x:f>
        <x:v>2</x:v>
      </x:c>
    </x:row>
    <x:row r="1418">
      <x:c r="A1418" t="n">
        <x:v>1404</x:v>
      </x:c>
      <x:c r="B1418" s="40" t="n">
        <x:v>0.5153643488293872</x:v>
      </x:c>
      <x:c r="C1418" t="n">
        <x:f>LOOKUP(B1418,$E$4:$E$9,$A$4:$A$9)</x:f>
        <x:v>3</x:v>
      </x:c>
    </x:row>
    <x:row r="1419">
      <x:c r="A1419" t="n">
        <x:v>1405</x:v>
      </x:c>
      <x:c r="B1419" s="40" t="n">
        <x:v>0.5420829197907506</x:v>
      </x:c>
      <x:c r="C1419" t="n">
        <x:f>LOOKUP(B1419,$E$4:$E$9,$A$4:$A$9)</x:f>
        <x:v>3</x:v>
      </x:c>
    </x:row>
    <x:row r="1420">
      <x:c r="A1420" t="n">
        <x:v>1406</x:v>
      </x:c>
      <x:c r="B1420" s="40" t="n">
        <x:v>0.01367864427367782</x:v>
      </x:c>
      <x:c r="C1420" t="n">
        <x:f>LOOKUP(B1420,$E$4:$E$9,$A$4:$A$9)</x:f>
        <x:v>0</x:v>
      </x:c>
    </x:row>
    <x:row r="1421">
      <x:c r="A1421" t="n">
        <x:v>1407</x:v>
      </x:c>
      <x:c r="B1421" s="40" t="n">
        <x:v>0.9594000852714745</x:v>
      </x:c>
      <x:c r="C1421" t="n">
        <x:f>LOOKUP(B1421,$E$4:$E$9,$A$4:$A$9)</x:f>
        <x:v>5</x:v>
      </x:c>
    </x:row>
    <x:row r="1422">
      <x:c r="A1422" t="n">
        <x:v>1408</x:v>
      </x:c>
      <x:c r="B1422" s="40" t="n">
        <x:v>0.5756062473515635</x:v>
      </x:c>
      <x:c r="C1422" t="n">
        <x:f>LOOKUP(B1422,$E$4:$E$9,$A$4:$A$9)</x:f>
        <x:v>3</x:v>
      </x:c>
    </x:row>
    <x:row r="1423">
      <x:c r="A1423" t="n">
        <x:v>1409</x:v>
      </x:c>
      <x:c r="B1423" s="40" t="n">
        <x:v>0.5891582444091333</x:v>
      </x:c>
      <x:c r="C1423" t="n">
        <x:f>LOOKUP(B1423,$E$4:$E$9,$A$4:$A$9)</x:f>
        <x:v>3</x:v>
      </x:c>
    </x:row>
    <x:row r="1424">
      <x:c r="A1424" t="n">
        <x:v>1410</x:v>
      </x:c>
      <x:c r="B1424" s="40" t="n">
        <x:v>0.2114711337538192</x:v>
      </x:c>
      <x:c r="C1424" t="n">
        <x:f>LOOKUP(B1424,$E$4:$E$9,$A$4:$A$9)</x:f>
        <x:v>1</x:v>
      </x:c>
    </x:row>
    <x:row r="1425">
      <x:c r="A1425" t="n">
        <x:v>1411</x:v>
      </x:c>
      <x:c r="B1425" s="40" t="n">
        <x:v>0.7649871788012479</x:v>
      </x:c>
      <x:c r="C1425" t="n">
        <x:f>LOOKUP(B1425,$E$4:$E$9,$A$4:$A$9)</x:f>
        <x:v>4</x:v>
      </x:c>
    </x:row>
    <x:row r="1426">
      <x:c r="A1426" t="n">
        <x:v>1412</x:v>
      </x:c>
      <x:c r="B1426" s="40" t="n">
        <x:v>0.7372645200918427</x:v>
      </x:c>
      <x:c r="C1426" t="n">
        <x:f>LOOKUP(B1426,$E$4:$E$9,$A$4:$A$9)</x:f>
        <x:v>3</x:v>
      </x:c>
    </x:row>
    <x:row r="1427">
      <x:c r="A1427" t="n">
        <x:v>1413</x:v>
      </x:c>
      <x:c r="B1427" s="40" t="n">
        <x:v>0.09515797340476406</x:v>
      </x:c>
      <x:c r="C1427" t="n">
        <x:f>LOOKUP(B1427,$E$4:$E$9,$A$4:$A$9)</x:f>
        <x:v>1</x:v>
      </x:c>
    </x:row>
    <x:row r="1428">
      <x:c r="A1428" t="n">
        <x:v>1414</x:v>
      </x:c>
      <x:c r="B1428" s="40" t="n">
        <x:v>0.5949943722599202</x:v>
      </x:c>
      <x:c r="C1428" t="n">
        <x:f>LOOKUP(B1428,$E$4:$E$9,$A$4:$A$9)</x:f>
        <x:v>3</x:v>
      </x:c>
    </x:row>
    <x:row r="1429">
      <x:c r="A1429" t="n">
        <x:v>1415</x:v>
      </x:c>
      <x:c r="B1429" s="40" t="n">
        <x:v>0.6581937453298798</x:v>
      </x:c>
      <x:c r="C1429" t="n">
        <x:f>LOOKUP(B1429,$E$4:$E$9,$A$4:$A$9)</x:f>
        <x:v>3</x:v>
      </x:c>
    </x:row>
    <x:row r="1430">
      <x:c r="A1430" t="n">
        <x:v>1416</x:v>
      </x:c>
      <x:c r="B1430" s="40" t="n">
        <x:v>0.8355681745738773</x:v>
      </x:c>
      <x:c r="C1430" t="n">
        <x:f>LOOKUP(B1430,$E$4:$E$9,$A$4:$A$9)</x:f>
        <x:v>4</x:v>
      </x:c>
    </x:row>
    <x:row r="1431">
      <x:c r="A1431" t="n">
        <x:v>1417</x:v>
      </x:c>
      <x:c r="B1431" s="40" t="n">
        <x:v>0.20609117891771067</x:v>
      </x:c>
      <x:c r="C1431" t="n">
        <x:f>LOOKUP(B1431,$E$4:$E$9,$A$4:$A$9)</x:f>
        <x:v>1</x:v>
      </x:c>
    </x:row>
    <x:row r="1432">
      <x:c r="A1432" t="n">
        <x:v>1418</x:v>
      </x:c>
      <x:c r="B1432" s="40" t="n">
        <x:v>0.8776347968064059</x:v>
      </x:c>
      <x:c r="C1432" t="n">
        <x:f>LOOKUP(B1432,$E$4:$E$9,$A$4:$A$9)</x:f>
        <x:v>4</x:v>
      </x:c>
    </x:row>
    <x:row r="1433">
      <x:c r="A1433" t="n">
        <x:v>1419</x:v>
      </x:c>
      <x:c r="B1433" s="40" t="n">
        <x:v>0.46148107170759567</x:v>
      </x:c>
      <x:c r="C1433" t="n">
        <x:f>LOOKUP(B1433,$E$4:$E$9,$A$4:$A$9)</x:f>
        <x:v>2</x:v>
      </x:c>
    </x:row>
    <x:row r="1434">
      <x:c r="A1434" t="n">
        <x:v>1420</x:v>
      </x:c>
      <x:c r="B1434" s="40" t="n">
        <x:v>0.09652361930564479</x:v>
      </x:c>
      <x:c r="C1434" t="n">
        <x:f>LOOKUP(B1434,$E$4:$E$9,$A$4:$A$9)</x:f>
        <x:v>1</x:v>
      </x:c>
    </x:row>
    <x:row r="1435">
      <x:c r="A1435" t="n">
        <x:v>1421</x:v>
      </x:c>
      <x:c r="B1435" s="40" t="n">
        <x:v>0.10562122151087594</x:v>
      </x:c>
      <x:c r="C1435" t="n">
        <x:f>LOOKUP(B1435,$E$4:$E$9,$A$4:$A$9)</x:f>
        <x:v>1</x:v>
      </x:c>
    </x:row>
    <x:row r="1436">
      <x:c r="A1436" t="n">
        <x:v>1422</x:v>
      </x:c>
      <x:c r="B1436" s="40" t="n">
        <x:v>0.19780445367316957</x:v>
      </x:c>
      <x:c r="C1436" t="n">
        <x:f>LOOKUP(B1436,$E$4:$E$9,$A$4:$A$9)</x:f>
        <x:v>1</x:v>
      </x:c>
    </x:row>
    <x:row r="1437">
      <x:c r="A1437" t="n">
        <x:v>1423</x:v>
      </x:c>
      <x:c r="B1437" s="40" t="n">
        <x:v>0.2827507059853085</x:v>
      </x:c>
      <x:c r="C1437" t="n">
        <x:f>LOOKUP(B1437,$E$4:$E$9,$A$4:$A$9)</x:f>
        <x:v>2</x:v>
      </x:c>
    </x:row>
    <x:row r="1438">
      <x:c r="A1438" t="n">
        <x:v>1424</x:v>
      </x:c>
      <x:c r="B1438" s="40" t="n">
        <x:v>0.49640580445979965</x:v>
      </x:c>
      <x:c r="C1438" t="n">
        <x:f>LOOKUP(B1438,$E$4:$E$9,$A$4:$A$9)</x:f>
        <x:v>2</x:v>
      </x:c>
    </x:row>
    <x:row r="1439">
      <x:c r="A1439" t="n">
        <x:v>1425</x:v>
      </x:c>
      <x:c r="B1439" s="40" t="n">
        <x:v>0.7487511977445599</x:v>
      </x:c>
      <x:c r="C1439" t="n">
        <x:f>LOOKUP(B1439,$E$4:$E$9,$A$4:$A$9)</x:f>
        <x:v>4</x:v>
      </x:c>
    </x:row>
    <x:row r="1440">
      <x:c r="A1440" t="n">
        <x:v>1426</x:v>
      </x:c>
      <x:c r="B1440" s="40" t="n">
        <x:v>0.1867259020194323</x:v>
      </x:c>
      <x:c r="C1440" t="n">
        <x:f>LOOKUP(B1440,$E$4:$E$9,$A$4:$A$9)</x:f>
        <x:v>1</x:v>
      </x:c>
    </x:row>
    <x:row r="1441">
      <x:c r="A1441" t="n">
        <x:v>1427</x:v>
      </x:c>
      <x:c r="B1441" s="40" t="n">
        <x:v>0.9926517944995366</x:v>
      </x:c>
      <x:c r="C1441" t="n">
        <x:f>LOOKUP(B1441,$E$4:$E$9,$A$4:$A$9)</x:f>
        <x:v>5</x:v>
      </x:c>
    </x:row>
    <x:row r="1442">
      <x:c r="A1442" t="n">
        <x:v>1428</x:v>
      </x:c>
      <x:c r="B1442" s="40" t="n">
        <x:v>0.1615219317703126</x:v>
      </x:c>
      <x:c r="C1442" t="n">
        <x:f>LOOKUP(B1442,$E$4:$E$9,$A$4:$A$9)</x:f>
        <x:v>1</x:v>
      </x:c>
    </x:row>
    <x:row r="1443">
      <x:c r="A1443" t="n">
        <x:v>1429</x:v>
      </x:c>
      <x:c r="B1443" s="40" t="n">
        <x:v>0.5993779677221475</x:v>
      </x:c>
      <x:c r="C1443" t="n">
        <x:f>LOOKUP(B1443,$E$4:$E$9,$A$4:$A$9)</x:f>
        <x:v>3</x:v>
      </x:c>
    </x:row>
    <x:row r="1444">
      <x:c r="A1444" t="n">
        <x:v>1430</x:v>
      </x:c>
      <x:c r="B1444" s="40" t="n">
        <x:v>0.9289404358713399</x:v>
      </x:c>
      <x:c r="C1444" t="n">
        <x:f>LOOKUP(B1444,$E$4:$E$9,$A$4:$A$9)</x:f>
        <x:v>5</x:v>
      </x:c>
    </x:row>
    <x:row r="1445">
      <x:c r="A1445" t="n">
        <x:v>1431</x:v>
      </x:c>
      <x:c r="B1445" s="40" t="n">
        <x:v>0.8325074228768271</x:v>
      </x:c>
      <x:c r="C1445" t="n">
        <x:f>LOOKUP(B1445,$E$4:$E$9,$A$4:$A$9)</x:f>
        <x:v>4</x:v>
      </x:c>
    </x:row>
    <x:row r="1446">
      <x:c r="A1446" t="n">
        <x:v>1432</x:v>
      </x:c>
      <x:c r="B1446" s="40" t="n">
        <x:v>0.6478892016631599</x:v>
      </x:c>
      <x:c r="C1446" t="n">
        <x:f>LOOKUP(B1446,$E$4:$E$9,$A$4:$A$9)</x:f>
        <x:v>3</x:v>
      </x:c>
    </x:row>
    <x:row r="1447">
      <x:c r="A1447" t="n">
        <x:v>1433</x:v>
      </x:c>
      <x:c r="B1447" s="40" t="n">
        <x:v>0.7154929967908985</x:v>
      </x:c>
      <x:c r="C1447" t="n">
        <x:f>LOOKUP(B1447,$E$4:$E$9,$A$4:$A$9)</x:f>
        <x:v>3</x:v>
      </x:c>
    </x:row>
    <x:row r="1448">
      <x:c r="A1448" t="n">
        <x:v>1434</x:v>
      </x:c>
      <x:c r="B1448" s="40" t="n">
        <x:v>0.1342056267053643</x:v>
      </x:c>
      <x:c r="C1448" t="n">
        <x:f>LOOKUP(B1448,$E$4:$E$9,$A$4:$A$9)</x:f>
        <x:v>1</x:v>
      </x:c>
    </x:row>
    <x:row r="1449">
      <x:c r="A1449" t="n">
        <x:v>1435</x:v>
      </x:c>
      <x:c r="B1449" s="40" t="n">
        <x:v>0.00966305376024823</x:v>
      </x:c>
      <x:c r="C1449" t="n">
        <x:f>LOOKUP(B1449,$E$4:$E$9,$A$4:$A$9)</x:f>
        <x:v>0</x:v>
      </x:c>
    </x:row>
    <x:row r="1450">
      <x:c r="A1450" t="n">
        <x:v>1436</x:v>
      </x:c>
      <x:c r="B1450" s="40" t="n">
        <x:v>0.43414878436037274</x:v>
      </x:c>
      <x:c r="C1450" t="n">
        <x:f>LOOKUP(B1450,$E$4:$E$9,$A$4:$A$9)</x:f>
        <x:v>2</x:v>
      </x:c>
    </x:row>
    <x:row r="1451">
      <x:c r="A1451" t="n">
        <x:v>1437</x:v>
      </x:c>
      <x:c r="B1451" s="40" t="n">
        <x:v>0.08951892633830305</x:v>
      </x:c>
      <x:c r="C1451" t="n">
        <x:f>LOOKUP(B1451,$E$4:$E$9,$A$4:$A$9)</x:f>
        <x:v>0</x:v>
      </x:c>
    </x:row>
    <x:row r="1452">
      <x:c r="A1452" t="n">
        <x:v>1438</x:v>
      </x:c>
      <x:c r="B1452" s="40" t="n">
        <x:v>0.35775256191282434</x:v>
      </x:c>
      <x:c r="C1452" t="n">
        <x:f>LOOKUP(B1452,$E$4:$E$9,$A$4:$A$9)</x:f>
        <x:v>2</x:v>
      </x:c>
    </x:row>
    <x:row r="1453">
      <x:c r="A1453" t="n">
        <x:v>1439</x:v>
      </x:c>
      <x:c r="B1453" s="40" t="n">
        <x:v>0.22374279356973759</x:v>
      </x:c>
      <x:c r="C1453" t="n">
        <x:f>LOOKUP(B1453,$E$4:$E$9,$A$4:$A$9)</x:f>
        <x:v>1</x:v>
      </x:c>
    </x:row>
    <x:row r="1454">
      <x:c r="A1454" t="n">
        <x:v>1440</x:v>
      </x:c>
      <x:c r="B1454" s="40" t="n">
        <x:v>0.9163467223807427</x:v>
      </x:c>
      <x:c r="C1454" t="n">
        <x:f>LOOKUP(B1454,$E$4:$E$9,$A$4:$A$9)</x:f>
        <x:v>5</x:v>
      </x:c>
    </x:row>
    <x:row r="1455">
      <x:c r="A1455" t="n">
        <x:v>1441</x:v>
      </x:c>
      <x:c r="B1455" s="40" t="n">
        <x:v>0.8800559990080575</x:v>
      </x:c>
      <x:c r="C1455" t="n">
        <x:f>LOOKUP(B1455,$E$4:$E$9,$A$4:$A$9)</x:f>
        <x:v>4</x:v>
      </x:c>
    </x:row>
    <x:row r="1456">
      <x:c r="A1456" t="n">
        <x:v>1442</x:v>
      </x:c>
      <x:c r="B1456" s="40" t="n">
        <x:v>0.8189428485310084</x:v>
      </x:c>
      <x:c r="C1456" t="n">
        <x:f>LOOKUP(B1456,$E$4:$E$9,$A$4:$A$9)</x:f>
        <x:v>4</x:v>
      </x:c>
    </x:row>
    <x:row r="1457">
      <x:c r="A1457" t="n">
        <x:v>1443</x:v>
      </x:c>
      <x:c r="B1457" s="40" t="n">
        <x:v>0.7139442984139875</x:v>
      </x:c>
      <x:c r="C1457" t="n">
        <x:f>LOOKUP(B1457,$E$4:$E$9,$A$4:$A$9)</x:f>
        <x:v>3</x:v>
      </x:c>
    </x:row>
    <x:row r="1458">
      <x:c r="A1458" t="n">
        <x:v>1444</x:v>
      </x:c>
      <x:c r="B1458" s="40" t="n">
        <x:v>0.154071929104027</x:v>
      </x:c>
      <x:c r="C1458" t="n">
        <x:f>LOOKUP(B1458,$E$4:$E$9,$A$4:$A$9)</x:f>
        <x:v>1</x:v>
      </x:c>
    </x:row>
    <x:row r="1459">
      <x:c r="A1459" t="n">
        <x:v>1445</x:v>
      </x:c>
      <x:c r="B1459" s="40" t="n">
        <x:v>0.048367426199151575</x:v>
      </x:c>
      <x:c r="C1459" t="n">
        <x:f>LOOKUP(B1459,$E$4:$E$9,$A$4:$A$9)</x:f>
        <x:v>0</x:v>
      </x:c>
    </x:row>
    <x:row r="1460">
      <x:c r="A1460" t="n">
        <x:v>1446</x:v>
      </x:c>
      <x:c r="B1460" s="40" t="n">
        <x:v>0.6538878578546925</x:v>
      </x:c>
      <x:c r="C1460" t="n">
        <x:f>LOOKUP(B1460,$E$4:$E$9,$A$4:$A$9)</x:f>
        <x:v>3</x:v>
      </x:c>
    </x:row>
    <x:row r="1461">
      <x:c r="A1461" t="n">
        <x:v>1447</x:v>
      </x:c>
      <x:c r="B1461" s="40" t="n">
        <x:v>0.6422581371750993</x:v>
      </x:c>
      <x:c r="C1461" t="n">
        <x:f>LOOKUP(B1461,$E$4:$E$9,$A$4:$A$9)</x:f>
        <x:v>3</x:v>
      </x:c>
    </x:row>
    <x:row r="1462">
      <x:c r="A1462" t="n">
        <x:v>1448</x:v>
      </x:c>
      <x:c r="B1462" s="40" t="n">
        <x:v>0.36942428475448097</x:v>
      </x:c>
      <x:c r="C1462" t="n">
        <x:f>LOOKUP(B1462,$E$4:$E$9,$A$4:$A$9)</x:f>
        <x:v>2</x:v>
      </x:c>
    </x:row>
    <x:row r="1463">
      <x:c r="A1463" t="n">
        <x:v>1449</x:v>
      </x:c>
      <x:c r="B1463" s="40" t="n">
        <x:v>0.4726866664355971</x:v>
      </x:c>
      <x:c r="C1463" t="n">
        <x:f>LOOKUP(B1463,$E$4:$E$9,$A$4:$A$9)</x:f>
        <x:v>2</x:v>
      </x:c>
    </x:row>
    <x:row r="1464">
      <x:c r="A1464" t="n">
        <x:v>1450</x:v>
      </x:c>
      <x:c r="B1464" s="40" t="n">
        <x:v>0.48914938823798937</x:v>
      </x:c>
      <x:c r="C1464" t="n">
        <x:f>LOOKUP(B1464,$E$4:$E$9,$A$4:$A$9)</x:f>
        <x:v>2</x:v>
      </x:c>
    </x:row>
    <x:row r="1465">
      <x:c r="A1465" t="n">
        <x:v>1451</x:v>
      </x:c>
      <x:c r="B1465" s="40" t="n">
        <x:v>0.23992813274650637</x:v>
      </x:c>
      <x:c r="C1465" t="n">
        <x:f>LOOKUP(B1465,$E$4:$E$9,$A$4:$A$9)</x:f>
        <x:v>1</x:v>
      </x:c>
    </x:row>
    <x:row r="1466">
      <x:c r="A1466" t="n">
        <x:v>1452</x:v>
      </x:c>
      <x:c r="B1466" s="40" t="n">
        <x:v>0.3141666119075859</x:v>
      </x:c>
      <x:c r="C1466" t="n">
        <x:f>LOOKUP(B1466,$E$4:$E$9,$A$4:$A$9)</x:f>
        <x:v>2</x:v>
      </x:c>
    </x:row>
    <x:row r="1467">
      <x:c r="A1467" t="n">
        <x:v>1453</x:v>
      </x:c>
      <x:c r="B1467" s="40" t="n">
        <x:v>0.4183895546635016</x:v>
      </x:c>
      <x:c r="C1467" t="n">
        <x:f>LOOKUP(B1467,$E$4:$E$9,$A$4:$A$9)</x:f>
        <x:v>2</x:v>
      </x:c>
    </x:row>
    <x:row r="1468">
      <x:c r="A1468" t="n">
        <x:v>1454</x:v>
      </x:c>
      <x:c r="B1468" s="40" t="n">
        <x:v>0.6031790299115898</x:v>
      </x:c>
      <x:c r="C1468" t="n">
        <x:f>LOOKUP(B1468,$E$4:$E$9,$A$4:$A$9)</x:f>
        <x:v>3</x:v>
      </x:c>
    </x:row>
    <x:row r="1469">
      <x:c r="A1469" t="n">
        <x:v>1455</x:v>
      </x:c>
      <x:c r="B1469" s="40" t="n">
        <x:v>0.9558192060173925</x:v>
      </x:c>
      <x:c r="C1469" t="n">
        <x:f>LOOKUP(B1469,$E$4:$E$9,$A$4:$A$9)</x:f>
        <x:v>5</x:v>
      </x:c>
    </x:row>
    <x:row r="1470">
      <x:c r="A1470" t="n">
        <x:v>1456</x:v>
      </x:c>
      <x:c r="B1470" s="40" t="n">
        <x:v>0.53848460951904</x:v>
      </x:c>
      <x:c r="C1470" t="n">
        <x:f>LOOKUP(B1470,$E$4:$E$9,$A$4:$A$9)</x:f>
        <x:v>3</x:v>
      </x:c>
    </x:row>
    <x:row r="1471">
      <x:c r="A1471" t="n">
        <x:v>1457</x:v>
      </x:c>
      <x:c r="B1471" s="40" t="n">
        <x:v>0.7311639095432015</x:v>
      </x:c>
      <x:c r="C1471" t="n">
        <x:f>LOOKUP(B1471,$E$4:$E$9,$A$4:$A$9)</x:f>
        <x:v>3</x:v>
      </x:c>
    </x:row>
    <x:row r="1472">
      <x:c r="A1472" t="n">
        <x:v>1458</x:v>
      </x:c>
      <x:c r="B1472" s="40" t="n">
        <x:v>0.8070011023955532</x:v>
      </x:c>
      <x:c r="C1472" t="n">
        <x:f>LOOKUP(B1472,$E$4:$E$9,$A$4:$A$9)</x:f>
        <x:v>4</x:v>
      </x:c>
    </x:row>
    <x:row r="1473">
      <x:c r="A1473" t="n">
        <x:v>1459</x:v>
      </x:c>
      <x:c r="B1473" s="40" t="n">
        <x:v>0.11350812130855359</x:v>
      </x:c>
      <x:c r="C1473" t="n">
        <x:f>LOOKUP(B1473,$E$4:$E$9,$A$4:$A$9)</x:f>
        <x:v>1</x:v>
      </x:c>
    </x:row>
    <x:row r="1474">
      <x:c r="A1474" t="n">
        <x:v>1460</x:v>
      </x:c>
      <x:c r="B1474" s="40" t="n">
        <x:v>0.6531246675539409</x:v>
      </x:c>
      <x:c r="C1474" t="n">
        <x:f>LOOKUP(B1474,$E$4:$E$9,$A$4:$A$9)</x:f>
        <x:v>3</x:v>
      </x:c>
    </x:row>
    <x:row r="1475">
      <x:c r="A1475" t="n">
        <x:v>1461</x:v>
      </x:c>
      <x:c r="B1475" s="40" t="n">
        <x:v>0.4821107202544245</x:v>
      </x:c>
      <x:c r="C1475" t="n">
        <x:f>LOOKUP(B1475,$E$4:$E$9,$A$4:$A$9)</x:f>
        <x:v>2</x:v>
      </x:c>
    </x:row>
    <x:row r="1476">
      <x:c r="A1476" t="n">
        <x:v>1462</x:v>
      </x:c>
      <x:c r="B1476" s="40" t="n">
        <x:v>0.5724309422478921</x:v>
      </x:c>
      <x:c r="C1476" t="n">
        <x:f>LOOKUP(B1476,$E$4:$E$9,$A$4:$A$9)</x:f>
        <x:v>3</x:v>
      </x:c>
    </x:row>
    <x:row r="1477">
      <x:c r="A1477" t="n">
        <x:v>1463</x:v>
      </x:c>
      <x:c r="B1477" s="40" t="n">
        <x:v>0.03841693576904459</x:v>
      </x:c>
      <x:c r="C1477" t="n">
        <x:f>LOOKUP(B1477,$E$4:$E$9,$A$4:$A$9)</x:f>
        <x:v>0</x:v>
      </x:c>
    </x:row>
    <x:row r="1478">
      <x:c r="A1478" t="n">
        <x:v>1464</x:v>
      </x:c>
      <x:c r="B1478" s="40" t="n">
        <x:v>0.9062157365473852</x:v>
      </x:c>
      <x:c r="C1478" t="n">
        <x:f>LOOKUP(B1478,$E$4:$E$9,$A$4:$A$9)</x:f>
        <x:v>5</x:v>
      </x:c>
    </x:row>
    <x:row r="1479">
      <x:c r="A1479" t="n">
        <x:v>1465</x:v>
      </x:c>
      <x:c r="B1479" s="40" t="n">
        <x:v>0.9527841495754501</x:v>
      </x:c>
      <x:c r="C1479" t="n">
        <x:f>LOOKUP(B1479,$E$4:$E$9,$A$4:$A$9)</x:f>
        <x:v>5</x:v>
      </x:c>
    </x:row>
    <x:row r="1480">
      <x:c r="A1480" t="n">
        <x:v>1466</x:v>
      </x:c>
      <x:c r="B1480" s="40" t="n">
        <x:v>0.003481923684611754</x:v>
      </x:c>
      <x:c r="C1480" t="n">
        <x:f>LOOKUP(B1480,$E$4:$E$9,$A$4:$A$9)</x:f>
        <x:v>0</x:v>
      </x:c>
    </x:row>
    <x:row r="1481">
      <x:c r="A1481" t="n">
        <x:v>1467</x:v>
      </x:c>
      <x:c r="B1481" s="40" t="n">
        <x:v>0.21279159204151088</x:v>
      </x:c>
      <x:c r="C1481" t="n">
        <x:f>LOOKUP(B1481,$E$4:$E$9,$A$4:$A$9)</x:f>
        <x:v>1</x:v>
      </x:c>
    </x:row>
    <x:row r="1482">
      <x:c r="A1482" t="n">
        <x:v>1468</x:v>
      </x:c>
      <x:c r="B1482" s="40" t="n">
        <x:v>0.18019417370894997</x:v>
      </x:c>
      <x:c r="C1482" t="n">
        <x:f>LOOKUP(B1482,$E$4:$E$9,$A$4:$A$9)</x:f>
        <x:v>1</x:v>
      </x:c>
    </x:row>
    <x:row r="1483">
      <x:c r="A1483" t="n">
        <x:v>1469</x:v>
      </x:c>
      <x:c r="B1483" s="40" t="n">
        <x:v>0.7813045172798514</x:v>
      </x:c>
      <x:c r="C1483" t="n">
        <x:f>LOOKUP(B1483,$E$4:$E$9,$A$4:$A$9)</x:f>
        <x:v>4</x:v>
      </x:c>
    </x:row>
    <x:row r="1484">
      <x:c r="A1484" t="n">
        <x:v>1470</x:v>
      </x:c>
      <x:c r="B1484" s="40" t="n">
        <x:v>0.5980800591118203</x:v>
      </x:c>
      <x:c r="C1484" t="n">
        <x:f>LOOKUP(B1484,$E$4:$E$9,$A$4:$A$9)</x:f>
        <x:v>3</x:v>
      </x:c>
    </x:row>
    <x:row r="1485">
      <x:c r="A1485" t="n">
        <x:v>1471</x:v>
      </x:c>
      <x:c r="B1485" s="40" t="n">
        <x:v>0.17733366329673173</x:v>
      </x:c>
      <x:c r="C1485" t="n">
        <x:f>LOOKUP(B1485,$E$4:$E$9,$A$4:$A$9)</x:f>
        <x:v>1</x:v>
      </x:c>
    </x:row>
    <x:row r="1486">
      <x:c r="A1486" t="n">
        <x:v>1472</x:v>
      </x:c>
      <x:c r="B1486" s="40" t="n">
        <x:v>0.8139709553188604</x:v>
      </x:c>
      <x:c r="C1486" t="n">
        <x:f>LOOKUP(B1486,$E$4:$E$9,$A$4:$A$9)</x:f>
        <x:v>4</x:v>
      </x:c>
    </x:row>
    <x:row r="1487">
      <x:c r="A1487" t="n">
        <x:v>1473</x:v>
      </x:c>
      <x:c r="B1487" s="40" t="n">
        <x:v>0.35347487180574844</x:v>
      </x:c>
      <x:c r="C1487" t="n">
        <x:f>LOOKUP(B1487,$E$4:$E$9,$A$4:$A$9)</x:f>
        <x:v>2</x:v>
      </x:c>
    </x:row>
    <x:row r="1488">
      <x:c r="A1488" t="n">
        <x:v>1474</x:v>
      </x:c>
      <x:c r="B1488" s="40" t="n">
        <x:v>0.46085687629310235</x:v>
      </x:c>
      <x:c r="C1488" t="n">
        <x:f>LOOKUP(B1488,$E$4:$E$9,$A$4:$A$9)</x:f>
        <x:v>2</x:v>
      </x:c>
    </x:row>
    <x:row r="1489">
      <x:c r="A1489" t="n">
        <x:v>1475</x:v>
      </x:c>
      <x:c r="B1489" s="40" t="n">
        <x:v>0.3873066053206454</x:v>
      </x:c>
      <x:c r="C1489" t="n">
        <x:f>LOOKUP(B1489,$E$4:$E$9,$A$4:$A$9)</x:f>
        <x:v>2</x:v>
      </x:c>
    </x:row>
    <x:row r="1490">
      <x:c r="A1490" t="n">
        <x:v>1476</x:v>
      </x:c>
      <x:c r="B1490" s="40" t="n">
        <x:v>0.5213802064412295</x:v>
      </x:c>
      <x:c r="C1490" t="n">
        <x:f>LOOKUP(B1490,$E$4:$E$9,$A$4:$A$9)</x:f>
        <x:v>3</x:v>
      </x:c>
    </x:row>
    <x:row r="1491">
      <x:c r="A1491" t="n">
        <x:v>1477</x:v>
      </x:c>
      <x:c r="B1491" s="40" t="n">
        <x:v>0.48014246882872536</x:v>
      </x:c>
      <x:c r="C1491" t="n">
        <x:f>LOOKUP(B1491,$E$4:$E$9,$A$4:$A$9)</x:f>
        <x:v>2</x:v>
      </x:c>
    </x:row>
    <x:row r="1492">
      <x:c r="A1492" t="n">
        <x:v>1478</x:v>
      </x:c>
      <x:c r="B1492" s="40" t="n">
        <x:v>0.27458400266244265</x:v>
      </x:c>
      <x:c r="C1492" t="n">
        <x:f>LOOKUP(B1492,$E$4:$E$9,$A$4:$A$9)</x:f>
        <x:v>2</x:v>
      </x:c>
    </x:row>
    <x:row r="1493">
      <x:c r="A1493" t="n">
        <x:v>1479</x:v>
      </x:c>
      <x:c r="B1493" s="40" t="n">
        <x:v>0.4245560374938403</x:v>
      </x:c>
      <x:c r="C1493" t="n">
        <x:f>LOOKUP(B1493,$E$4:$E$9,$A$4:$A$9)</x:f>
        <x:v>2</x:v>
      </x:c>
    </x:row>
    <x:row r="1494">
      <x:c r="A1494" t="n">
        <x:v>1480</x:v>
      </x:c>
      <x:c r="B1494" s="40" t="n">
        <x:v>0.9083371498543001</x:v>
      </x:c>
      <x:c r="C1494" t="n">
        <x:f>LOOKUP(B1494,$E$4:$E$9,$A$4:$A$9)</x:f>
        <x:v>5</x:v>
      </x:c>
    </x:row>
    <x:row r="1495">
      <x:c r="A1495" t="n">
        <x:v>1481</x:v>
      </x:c>
      <x:c r="B1495" s="40" t="n">
        <x:v>0.5028941364792451</x:v>
      </x:c>
      <x:c r="C1495" t="n">
        <x:f>LOOKUP(B1495,$E$4:$E$9,$A$4:$A$9)</x:f>
        <x:v>2</x:v>
      </x:c>
    </x:row>
    <x:row r="1496">
      <x:c r="A1496" t="n">
        <x:v>1482</x:v>
      </x:c>
      <x:c r="B1496" s="40" t="n">
        <x:v>0.9163864104223756</x:v>
      </x:c>
      <x:c r="C1496" t="n">
        <x:f>LOOKUP(B1496,$E$4:$E$9,$A$4:$A$9)</x:f>
        <x:v>5</x:v>
      </x:c>
    </x:row>
    <x:row r="1497">
      <x:c r="A1497" t="n">
        <x:v>1483</x:v>
      </x:c>
      <x:c r="B1497" s="40" t="n">
        <x:v>0.5501270478179646</x:v>
      </x:c>
      <x:c r="C1497" t="n">
        <x:f>LOOKUP(B1497,$E$4:$E$9,$A$4:$A$9)</x:f>
        <x:v>3</x:v>
      </x:c>
    </x:row>
    <x:row r="1498">
      <x:c r="A1498" t="n">
        <x:v>1484</x:v>
      </x:c>
      <x:c r="B1498" s="40" t="n">
        <x:v>0.7688172932641588</x:v>
      </x:c>
      <x:c r="C1498" t="n">
        <x:f>LOOKUP(B1498,$E$4:$E$9,$A$4:$A$9)</x:f>
        <x:v>4</x:v>
      </x:c>
    </x:row>
    <x:row r="1499">
      <x:c r="A1499" t="n">
        <x:v>1485</x:v>
      </x:c>
      <x:c r="B1499" s="40" t="n">
        <x:v>0.2935913096597129</x:v>
      </x:c>
      <x:c r="C1499" t="n">
        <x:f>LOOKUP(B1499,$E$4:$E$9,$A$4:$A$9)</x:f>
        <x:v>2</x:v>
      </x:c>
    </x:row>
    <x:row r="1500">
      <x:c r="A1500" t="n">
        <x:v>1486</x:v>
      </x:c>
      <x:c r="B1500" s="40" t="n">
        <x:v>0.7904134900444079</x:v>
      </x:c>
      <x:c r="C1500" t="n">
        <x:f>LOOKUP(B1500,$E$4:$E$9,$A$4:$A$9)</x:f>
        <x:v>4</x:v>
      </x:c>
    </x:row>
    <x:row r="1501">
      <x:c r="A1501" t="n">
        <x:v>1487</x:v>
      </x:c>
      <x:c r="B1501" s="40" t="n">
        <x:v>0.2643216129849856</x:v>
      </x:c>
      <x:c r="C1501" t="n">
        <x:f>LOOKUP(B1501,$E$4:$E$9,$A$4:$A$9)</x:f>
        <x:v>2</x:v>
      </x:c>
    </x:row>
    <x:row r="1502">
      <x:c r="A1502" t="n">
        <x:v>1488</x:v>
      </x:c>
      <x:c r="B1502" s="40" t="n">
        <x:v>0.019549971642973007</x:v>
      </x:c>
      <x:c r="C1502" t="n">
        <x:f>LOOKUP(B1502,$E$4:$E$9,$A$4:$A$9)</x:f>
        <x:v>0</x:v>
      </x:c>
    </x:row>
    <x:row r="1503">
      <x:c r="A1503" t="n">
        <x:v>1489</x:v>
      </x:c>
      <x:c r="B1503" s="40" t="n">
        <x:v>0.16072894317769304</x:v>
      </x:c>
      <x:c r="C1503" t="n">
        <x:f>LOOKUP(B1503,$E$4:$E$9,$A$4:$A$9)</x:f>
        <x:v>1</x:v>
      </x:c>
    </x:row>
    <x:row r="1504">
      <x:c r="A1504" t="n">
        <x:v>1490</x:v>
      </x:c>
      <x:c r="B1504" s="40" t="n">
        <x:v>0.021652875032036834</x:v>
      </x:c>
      <x:c r="C1504" t="n">
        <x:f>LOOKUP(B1504,$E$4:$E$9,$A$4:$A$9)</x:f>
        <x:v>0</x:v>
      </x:c>
    </x:row>
    <x:row r="1505">
      <x:c r="A1505" t="n">
        <x:v>1491</x:v>
      </x:c>
      <x:c r="B1505" s="40" t="n">
        <x:v>0.9470626418914286</x:v>
      </x:c>
      <x:c r="C1505" t="n">
        <x:f>LOOKUP(B1505,$E$4:$E$9,$A$4:$A$9)</x:f>
        <x:v>5</x:v>
      </x:c>
    </x:row>
    <x:row r="1506">
      <x:c r="A1506" t="n">
        <x:v>1492</x:v>
      </x:c>
      <x:c r="B1506" s="40" t="n">
        <x:v>0.9999770204176942</x:v>
      </x:c>
      <x:c r="C1506" t="n">
        <x:f>LOOKUP(B1506,$E$4:$E$9,$A$4:$A$9)</x:f>
        <x:v>5</x:v>
      </x:c>
    </x:row>
    <x:row r="1507">
      <x:c r="A1507" t="n">
        <x:v>1493</x:v>
      </x:c>
      <x:c r="B1507" s="40" t="n">
        <x:v>0.7622302636195206</x:v>
      </x:c>
      <x:c r="C1507" t="n">
        <x:f>LOOKUP(B1507,$E$4:$E$9,$A$4:$A$9)</x:f>
        <x:v>4</x:v>
      </x:c>
    </x:row>
    <x:row r="1508">
      <x:c r="A1508" t="n">
        <x:v>1494</x:v>
      </x:c>
      <x:c r="B1508" s="40" t="n">
        <x:v>0.10812816375158762</x:v>
      </x:c>
      <x:c r="C1508" t="n">
        <x:f>LOOKUP(B1508,$E$4:$E$9,$A$4:$A$9)</x:f>
        <x:v>1</x:v>
      </x:c>
    </x:row>
    <x:row r="1509">
      <x:c r="A1509" t="n">
        <x:v>1495</x:v>
      </x:c>
      <x:c r="B1509" s="40" t="n">
        <x:v>0.8989454603326495</x:v>
      </x:c>
      <x:c r="C1509" t="n">
        <x:f>LOOKUP(B1509,$E$4:$E$9,$A$4:$A$9)</x:f>
        <x:v>5</x:v>
      </x:c>
    </x:row>
    <x:row r="1510">
      <x:c r="A1510" t="n">
        <x:v>1496</x:v>
      </x:c>
      <x:c r="B1510" s="40" t="n">
        <x:v>0.7437761832661044</x:v>
      </x:c>
      <x:c r="C1510" t="n">
        <x:f>LOOKUP(B1510,$E$4:$E$9,$A$4:$A$9)</x:f>
        <x:v>3</x:v>
      </x:c>
    </x:row>
    <x:row r="1511">
      <x:c r="A1511" t="n">
        <x:v>1497</x:v>
      </x:c>
      <x:c r="B1511" s="40" t="n">
        <x:v>0.3322445154020879</x:v>
      </x:c>
      <x:c r="C1511" t="n">
        <x:f>LOOKUP(B1511,$E$4:$E$9,$A$4:$A$9)</x:f>
        <x:v>2</x:v>
      </x:c>
    </x:row>
    <x:row r="1512">
      <x:c r="A1512" t="n">
        <x:v>1498</x:v>
      </x:c>
      <x:c r="B1512" s="40" t="n">
        <x:v>0.5022779118089321</x:v>
      </x:c>
      <x:c r="C1512" t="n">
        <x:f>LOOKUP(B1512,$E$4:$E$9,$A$4:$A$9)</x:f>
        <x:v>2</x:v>
      </x:c>
    </x:row>
    <x:row r="1513">
      <x:c r="A1513" t="n">
        <x:v>1499</x:v>
      </x:c>
      <x:c r="B1513" s="40" t="n">
        <x:v>0.6617593412619689</x:v>
      </x:c>
      <x:c r="C1513" t="n">
        <x:f>LOOKUP(B1513,$E$4:$E$9,$A$4:$A$9)</x:f>
        <x:v>3</x:v>
      </x:c>
    </x:row>
    <x:row r="1514">
      <x:c r="A1514" t="n">
        <x:v>1500</x:v>
      </x:c>
      <x:c r="B1514" s="40" t="n">
        <x:v>0.024050475673271232</x:v>
      </x:c>
      <x:c r="C1514" t="n">
        <x:f>LOOKUP(B1514,$E$4:$E$9,$A$4:$A$9)</x:f>
        <x:v>0</x:v>
      </x:c>
    </x:row>
    <x:row r="1515">
      <x:c r="A1515" t="n">
        <x:v>1501</x:v>
      </x:c>
      <x:c r="B1515" s="40" t="n">
        <x:v>0.5015409120998952</x:v>
      </x:c>
      <x:c r="C1515" t="n">
        <x:f>LOOKUP(B1515,$E$4:$E$9,$A$4:$A$9)</x:f>
        <x:v>2</x:v>
      </x:c>
    </x:row>
    <x:row r="1516">
      <x:c r="A1516" t="n">
        <x:v>1502</x:v>
      </x:c>
      <x:c r="B1516" s="40" t="n">
        <x:v>0.7323954332549851</x:v>
      </x:c>
      <x:c r="C1516" t="n">
        <x:f>LOOKUP(B1516,$E$4:$E$9,$A$4:$A$9)</x:f>
        <x:v>3</x:v>
      </x:c>
    </x:row>
    <x:row r="1517">
      <x:c r="A1517" t="n">
        <x:v>1503</x:v>
      </x:c>
      <x:c r="B1517" s="40" t="n">
        <x:v>0.18822537189633282</x:v>
      </x:c>
      <x:c r="C1517" t="n">
        <x:f>LOOKUP(B1517,$E$4:$E$9,$A$4:$A$9)</x:f>
        <x:v>1</x:v>
      </x:c>
    </x:row>
    <x:row r="1518">
      <x:c r="A1518" t="n">
        <x:v>1504</x:v>
      </x:c>
      <x:c r="B1518" s="40" t="n">
        <x:v>0.44379057347933304</x:v>
      </x:c>
      <x:c r="C1518" t="n">
        <x:f>LOOKUP(B1518,$E$4:$E$9,$A$4:$A$9)</x:f>
        <x:v>2</x:v>
      </x:c>
    </x:row>
    <x:row r="1519">
      <x:c r="A1519" t="n">
        <x:v>1505</x:v>
      </x:c>
      <x:c r="B1519" s="40" t="n">
        <x:v>0.5325301291849333</x:v>
      </x:c>
      <x:c r="C1519" t="n">
        <x:f>LOOKUP(B1519,$E$4:$E$9,$A$4:$A$9)</x:f>
        <x:v>3</x:v>
      </x:c>
    </x:row>
    <x:row r="1520">
      <x:c r="A1520" t="n">
        <x:v>1506</x:v>
      </x:c>
      <x:c r="B1520" s="40" t="n">
        <x:v>0.7355653719592322</x:v>
      </x:c>
      <x:c r="C1520" t="n">
        <x:f>LOOKUP(B1520,$E$4:$E$9,$A$4:$A$9)</x:f>
        <x:v>3</x:v>
      </x:c>
    </x:row>
    <x:row r="1521">
      <x:c r="A1521" t="n">
        <x:v>1507</x:v>
      </x:c>
      <x:c r="B1521" s="40" t="n">
        <x:v>0.9644537107931075</x:v>
      </x:c>
      <x:c r="C1521" t="n">
        <x:f>LOOKUP(B1521,$E$4:$E$9,$A$4:$A$9)</x:f>
        <x:v>5</x:v>
      </x:c>
    </x:row>
    <x:row r="1522">
      <x:c r="A1522" t="n">
        <x:v>1508</x:v>
      </x:c>
      <x:c r="B1522" s="40" t="n">
        <x:v>0.8482755480042915</x:v>
      </x:c>
      <x:c r="C1522" t="n">
        <x:f>LOOKUP(B1522,$E$4:$E$9,$A$4:$A$9)</x:f>
        <x:v>4</x:v>
      </x:c>
    </x:row>
    <x:row r="1523">
      <x:c r="A1523" t="n">
        <x:v>1509</x:v>
      </x:c>
      <x:c r="B1523" s="40" t="n">
        <x:v>0.6215184202299502</x:v>
      </x:c>
      <x:c r="C1523" t="n">
        <x:f>LOOKUP(B1523,$E$4:$E$9,$A$4:$A$9)</x:f>
        <x:v>3</x:v>
      </x:c>
    </x:row>
    <x:row r="1524">
      <x:c r="A1524" t="n">
        <x:v>1510</x:v>
      </x:c>
      <x:c r="B1524" s="40" t="n">
        <x:v>0.5836406748348093</x:v>
      </x:c>
      <x:c r="C1524" t="n">
        <x:f>LOOKUP(B1524,$E$4:$E$9,$A$4:$A$9)</x:f>
        <x:v>3</x:v>
      </x:c>
    </x:row>
    <x:row r="1525">
      <x:c r="A1525" t="n">
        <x:v>1511</x:v>
      </x:c>
      <x:c r="B1525" s="40" t="n">
        <x:v>0.6031866930726707</x:v>
      </x:c>
      <x:c r="C1525" t="n">
        <x:f>LOOKUP(B1525,$E$4:$E$9,$A$4:$A$9)</x:f>
        <x:v>3</x:v>
      </x:c>
    </x:row>
    <x:row r="1526">
      <x:c r="A1526" t="n">
        <x:v>1512</x:v>
      </x:c>
      <x:c r="B1526" s="40" t="n">
        <x:v>0.5451786426597738</x:v>
      </x:c>
      <x:c r="C1526" t="n">
        <x:f>LOOKUP(B1526,$E$4:$E$9,$A$4:$A$9)</x:f>
        <x:v>3</x:v>
      </x:c>
    </x:row>
    <x:row r="1527">
      <x:c r="A1527" t="n">
        <x:v>1513</x:v>
      </x:c>
      <x:c r="B1527" s="40" t="n">
        <x:v>0.059362880258923556</x:v>
      </x:c>
      <x:c r="C1527" t="n">
        <x:f>LOOKUP(B1527,$E$4:$E$9,$A$4:$A$9)</x:f>
        <x:v>0</x:v>
      </x:c>
    </x:row>
    <x:row r="1528">
      <x:c r="A1528" t="n">
        <x:v>1514</x:v>
      </x:c>
      <x:c r="B1528" s="40" t="n">
        <x:v>0.698296394588205</x:v>
      </x:c>
      <x:c r="C1528" t="n">
        <x:f>LOOKUP(B1528,$E$4:$E$9,$A$4:$A$9)</x:f>
        <x:v>3</x:v>
      </x:c>
    </x:row>
    <x:row r="1529">
      <x:c r="A1529" t="n">
        <x:v>1515</x:v>
      </x:c>
      <x:c r="B1529" s="40" t="n">
        <x:v>0.716336800129603</x:v>
      </x:c>
      <x:c r="C1529" t="n">
        <x:f>LOOKUP(B1529,$E$4:$E$9,$A$4:$A$9)</x:f>
        <x:v>3</x:v>
      </x:c>
    </x:row>
    <x:row r="1530">
      <x:c r="A1530" t="n">
        <x:v>1516</x:v>
      </x:c>
      <x:c r="B1530" s="40" t="n">
        <x:v>0.5124803622670274</x:v>
      </x:c>
      <x:c r="C1530" t="n">
        <x:f>LOOKUP(B1530,$E$4:$E$9,$A$4:$A$9)</x:f>
        <x:v>3</x:v>
      </x:c>
    </x:row>
    <x:row r="1531">
      <x:c r="A1531" t="n">
        <x:v>1517</x:v>
      </x:c>
      <x:c r="B1531" s="40" t="n">
        <x:v>0.870387605402543</x:v>
      </x:c>
      <x:c r="C1531" t="n">
        <x:f>LOOKUP(B1531,$E$4:$E$9,$A$4:$A$9)</x:f>
        <x:v>4</x:v>
      </x:c>
    </x:row>
    <x:row r="1532">
      <x:c r="A1532" t="n">
        <x:v>1518</x:v>
      </x:c>
      <x:c r="B1532" s="40" t="n">
        <x:v>0.6724368027566785</x:v>
      </x:c>
      <x:c r="C1532" t="n">
        <x:f>LOOKUP(B1532,$E$4:$E$9,$A$4:$A$9)</x:f>
        <x:v>3</x:v>
      </x:c>
    </x:row>
    <x:row r="1533">
      <x:c r="A1533" t="n">
        <x:v>1519</x:v>
      </x:c>
      <x:c r="B1533" s="40" t="n">
        <x:v>0.36266465785701696</x:v>
      </x:c>
      <x:c r="C1533" t="n">
        <x:f>LOOKUP(B1533,$E$4:$E$9,$A$4:$A$9)</x:f>
        <x:v>2</x:v>
      </x:c>
    </x:row>
    <x:row r="1534">
      <x:c r="A1534" t="n">
        <x:v>1520</x:v>
      </x:c>
      <x:c r="B1534" s="40" t="n">
        <x:v>0.01969435359863425</x:v>
      </x:c>
      <x:c r="C1534" t="n">
        <x:f>LOOKUP(B1534,$E$4:$E$9,$A$4:$A$9)</x:f>
        <x:v>0</x:v>
      </x:c>
    </x:row>
    <x:row r="1535">
      <x:c r="A1535" t="n">
        <x:v>1521</x:v>
      </x:c>
      <x:c r="B1535" s="40" t="n">
        <x:v>0.059161646497680076</x:v>
      </x:c>
      <x:c r="C1535" t="n">
        <x:f>LOOKUP(B1535,$E$4:$E$9,$A$4:$A$9)</x:f>
        <x:v>0</x:v>
      </x:c>
    </x:row>
    <x:row r="1536">
      <x:c r="A1536" t="n">
        <x:v>1522</x:v>
      </x:c>
      <x:c r="B1536" s="40" t="n">
        <x:v>0.3517982616417863</x:v>
      </x:c>
      <x:c r="C1536" t="n">
        <x:f>LOOKUP(B1536,$E$4:$E$9,$A$4:$A$9)</x:f>
        <x:v>2</x:v>
      </x:c>
    </x:row>
    <x:row r="1537">
      <x:c r="A1537" t="n">
        <x:v>1523</x:v>
      </x:c>
      <x:c r="B1537" s="40" t="n">
        <x:v>0.46210532519868286</x:v>
      </x:c>
      <x:c r="C1537" t="n">
        <x:f>LOOKUP(B1537,$E$4:$E$9,$A$4:$A$9)</x:f>
        <x:v>2</x:v>
      </x:c>
    </x:row>
    <x:row r="1538">
      <x:c r="A1538" t="n">
        <x:v>1524</x:v>
      </x:c>
      <x:c r="B1538" s="40" t="n">
        <x:v>0.16687111950842504</x:v>
      </x:c>
      <x:c r="C1538" t="n">
        <x:f>LOOKUP(B1538,$E$4:$E$9,$A$4:$A$9)</x:f>
        <x:v>1</x:v>
      </x:c>
    </x:row>
    <x:row r="1539">
      <x:c r="A1539" t="n">
        <x:v>1525</x:v>
      </x:c>
      <x:c r="B1539" s="40" t="n">
        <x:v>0.1893283064226321</x:v>
      </x:c>
      <x:c r="C1539" t="n">
        <x:f>LOOKUP(B1539,$E$4:$E$9,$A$4:$A$9)</x:f>
        <x:v>1</x:v>
      </x:c>
    </x:row>
    <x:row r="1540">
      <x:c r="A1540" t="n">
        <x:v>1526</x:v>
      </x:c>
      <x:c r="B1540" s="40" t="n">
        <x:v>0.2302113587793363</x:v>
      </x:c>
      <x:c r="C1540" t="n">
        <x:f>LOOKUP(B1540,$E$4:$E$9,$A$4:$A$9)</x:f>
        <x:v>1</x:v>
      </x:c>
    </x:row>
    <x:row r="1541">
      <x:c r="A1541" t="n">
        <x:v>1527</x:v>
      </x:c>
      <x:c r="B1541" s="40" t="n">
        <x:v>0.7805133395762727</x:v>
      </x:c>
      <x:c r="C1541" t="n">
        <x:f>LOOKUP(B1541,$E$4:$E$9,$A$4:$A$9)</x:f>
        <x:v>4</x:v>
      </x:c>
    </x:row>
    <x:row r="1542">
      <x:c r="A1542" t="n">
        <x:v>1528</x:v>
      </x:c>
      <x:c r="B1542" s="40" t="n">
        <x:v>0.7712878409517714</x:v>
      </x:c>
      <x:c r="C1542" t="n">
        <x:f>LOOKUP(B1542,$E$4:$E$9,$A$4:$A$9)</x:f>
        <x:v>4</x:v>
      </x:c>
    </x:row>
    <x:row r="1543">
      <x:c r="A1543" t="n">
        <x:v>1529</x:v>
      </x:c>
      <x:c r="B1543" s="40" t="n">
        <x:v>0.3829389854137788</x:v>
      </x:c>
      <x:c r="C1543" t="n">
        <x:f>LOOKUP(B1543,$E$4:$E$9,$A$4:$A$9)</x:f>
        <x:v>2</x:v>
      </x:c>
    </x:row>
    <x:row r="1544">
      <x:c r="A1544" t="n">
        <x:v>1530</x:v>
      </x:c>
      <x:c r="B1544" s="40" t="n">
        <x:v>0.17236438158439582</x:v>
      </x:c>
      <x:c r="C1544" t="n">
        <x:f>LOOKUP(B1544,$E$4:$E$9,$A$4:$A$9)</x:f>
        <x:v>1</x:v>
      </x:c>
    </x:row>
    <x:row r="1545">
      <x:c r="A1545" t="n">
        <x:v>1531</x:v>
      </x:c>
      <x:c r="B1545" s="40" t="n">
        <x:v>0.11090838506346923</x:v>
      </x:c>
      <x:c r="C1545" t="n">
        <x:f>LOOKUP(B1545,$E$4:$E$9,$A$4:$A$9)</x:f>
        <x:v>1</x:v>
      </x:c>
    </x:row>
    <x:row r="1546">
      <x:c r="A1546" t="n">
        <x:v>1532</x:v>
      </x:c>
      <x:c r="B1546" s="40" t="n">
        <x:v>0.08712931204717322</x:v>
      </x:c>
      <x:c r="C1546" t="n">
        <x:f>LOOKUP(B1546,$E$4:$E$9,$A$4:$A$9)</x:f>
        <x:v>0</x:v>
      </x:c>
    </x:row>
    <x:row r="1547">
      <x:c r="A1547" t="n">
        <x:v>1533</x:v>
      </x:c>
      <x:c r="B1547" s="40" t="n">
        <x:v>0.3912792508993721</x:v>
      </x:c>
      <x:c r="C1547" t="n">
        <x:f>LOOKUP(B1547,$E$4:$E$9,$A$4:$A$9)</x:f>
        <x:v>2</x:v>
      </x:c>
    </x:row>
    <x:row r="1548">
      <x:c r="A1548" t="n">
        <x:v>1534</x:v>
      </x:c>
      <x:c r="B1548" s="40" t="n">
        <x:v>0.0455424333211194</x:v>
      </x:c>
      <x:c r="C1548" t="n">
        <x:f>LOOKUP(B1548,$E$4:$E$9,$A$4:$A$9)</x:f>
        <x:v>0</x:v>
      </x:c>
    </x:row>
    <x:row r="1549">
      <x:c r="A1549" t="n">
        <x:v>1535</x:v>
      </x:c>
      <x:c r="B1549" s="40" t="n">
        <x:v>0.333635037126335</x:v>
      </x:c>
      <x:c r="C1549" t="n">
        <x:f>LOOKUP(B1549,$E$4:$E$9,$A$4:$A$9)</x:f>
        <x:v>2</x:v>
      </x:c>
    </x:row>
    <x:row r="1550">
      <x:c r="A1550" t="n">
        <x:v>1536</x:v>
      </x:c>
      <x:c r="B1550" s="40" t="n">
        <x:v>0.9615332425411374</x:v>
      </x:c>
      <x:c r="C1550" t="n">
        <x:f>LOOKUP(B1550,$E$4:$E$9,$A$4:$A$9)</x:f>
        <x:v>5</x:v>
      </x:c>
    </x:row>
    <x:row r="1551">
      <x:c r="A1551" t="n">
        <x:v>1537</x:v>
      </x:c>
      <x:c r="B1551" s="40" t="n">
        <x:v>0.5075046156100387</x:v>
      </x:c>
      <x:c r="C1551" t="n">
        <x:f>LOOKUP(B1551,$E$4:$E$9,$A$4:$A$9)</x:f>
        <x:v>3</x:v>
      </x:c>
    </x:row>
    <x:row r="1552">
      <x:c r="A1552" t="n">
        <x:v>1538</x:v>
      </x:c>
      <x:c r="B1552" s="40" t="n">
        <x:v>0.822644656835189</x:v>
      </x:c>
      <x:c r="C1552" t="n">
        <x:f>LOOKUP(B1552,$E$4:$E$9,$A$4:$A$9)</x:f>
        <x:v>4</x:v>
      </x:c>
    </x:row>
    <x:row r="1553">
      <x:c r="A1553" t="n">
        <x:v>1539</x:v>
      </x:c>
      <x:c r="B1553" s="40" t="n">
        <x:v>0.12926594589539908</x:v>
      </x:c>
      <x:c r="C1553" t="n">
        <x:f>LOOKUP(B1553,$E$4:$E$9,$A$4:$A$9)</x:f>
        <x:v>1</x:v>
      </x:c>
    </x:row>
    <x:row r="1554">
      <x:c r="A1554" t="n">
        <x:v>1540</x:v>
      </x:c>
      <x:c r="B1554" s="40" t="n">
        <x:v>0.26807878240970484</x:v>
      </x:c>
      <x:c r="C1554" t="n">
        <x:f>LOOKUP(B1554,$E$4:$E$9,$A$4:$A$9)</x:f>
        <x:v>2</x:v>
      </x:c>
    </x:row>
    <x:row r="1555">
      <x:c r="A1555" t="n">
        <x:v>1541</x:v>
      </x:c>
      <x:c r="B1555" s="40" t="n">
        <x:v>0.9465464445440088</x:v>
      </x:c>
      <x:c r="C1555" t="n">
        <x:f>LOOKUP(B1555,$E$4:$E$9,$A$4:$A$9)</x:f>
        <x:v>5</x:v>
      </x:c>
    </x:row>
    <x:row r="1556">
      <x:c r="A1556" t="n">
        <x:v>1542</x:v>
      </x:c>
      <x:c r="B1556" s="40" t="n">
        <x:v>0.3835518969340236</x:v>
      </x:c>
      <x:c r="C1556" t="n">
        <x:f>LOOKUP(B1556,$E$4:$E$9,$A$4:$A$9)</x:f>
        <x:v>2</x:v>
      </x:c>
    </x:row>
    <x:row r="1557">
      <x:c r="A1557" t="n">
        <x:v>1543</x:v>
      </x:c>
      <x:c r="B1557" s="40" t="n">
        <x:v>0.6484061284483223</x:v>
      </x:c>
      <x:c r="C1557" t="n">
        <x:f>LOOKUP(B1557,$E$4:$E$9,$A$4:$A$9)</x:f>
        <x:v>3</x:v>
      </x:c>
    </x:row>
    <x:row r="1558">
      <x:c r="A1558" t="n">
        <x:v>1544</x:v>
      </x:c>
      <x:c r="B1558" s="40" t="n">
        <x:v>0.9761267791625894</x:v>
      </x:c>
      <x:c r="C1558" t="n">
        <x:f>LOOKUP(B1558,$E$4:$E$9,$A$4:$A$9)</x:f>
        <x:v>5</x:v>
      </x:c>
    </x:row>
    <x:row r="1559">
      <x:c r="A1559" t="n">
        <x:v>1545</x:v>
      </x:c>
      <x:c r="B1559" s="40" t="n">
        <x:v>0.5507877563307355</x:v>
      </x:c>
      <x:c r="C1559" t="n">
        <x:f>LOOKUP(B1559,$E$4:$E$9,$A$4:$A$9)</x:f>
        <x:v>3</x:v>
      </x:c>
    </x:row>
    <x:row r="1560">
      <x:c r="A1560" t="n">
        <x:v>1546</x:v>
      </x:c>
      <x:c r="B1560" s="40" t="n">
        <x:v>0.3053459492287359</x:v>
      </x:c>
      <x:c r="C1560" t="n">
        <x:f>LOOKUP(B1560,$E$4:$E$9,$A$4:$A$9)</x:f>
        <x:v>2</x:v>
      </x:c>
    </x:row>
    <x:row r="1561">
      <x:c r="A1561" t="n">
        <x:v>1547</x:v>
      </x:c>
      <x:c r="B1561" s="40" t="n">
        <x:v>0.5319484559520623</x:v>
      </x:c>
      <x:c r="C1561" t="n">
        <x:f>LOOKUP(B1561,$E$4:$E$9,$A$4:$A$9)</x:f>
        <x:v>3</x:v>
      </x:c>
    </x:row>
    <x:row r="1562">
      <x:c r="A1562" t="n">
        <x:v>1548</x:v>
      </x:c>
      <x:c r="B1562" s="40" t="n">
        <x:v>0.05463719933085931</x:v>
      </x:c>
      <x:c r="C1562" t="n">
        <x:f>LOOKUP(B1562,$E$4:$E$9,$A$4:$A$9)</x:f>
        <x:v>0</x:v>
      </x:c>
    </x:row>
    <x:row r="1563">
      <x:c r="A1563" t="n">
        <x:v>1549</x:v>
      </x:c>
      <x:c r="B1563" s="40" t="n">
        <x:v>0.11236987409269117</x:v>
      </x:c>
      <x:c r="C1563" t="n">
        <x:f>LOOKUP(B1563,$E$4:$E$9,$A$4:$A$9)</x:f>
        <x:v>1</x:v>
      </x:c>
    </x:row>
    <x:row r="1564">
      <x:c r="A1564" t="n">
        <x:v>1550</x:v>
      </x:c>
      <x:c r="B1564" s="40" t="n">
        <x:v>0.0071711050522699216</x:v>
      </x:c>
      <x:c r="C1564" t="n">
        <x:f>LOOKUP(B1564,$E$4:$E$9,$A$4:$A$9)</x:f>
        <x:v>0</x:v>
      </x:c>
    </x:row>
    <x:row r="1565">
      <x:c r="A1565" t="n">
        <x:v>1551</x:v>
      </x:c>
      <x:c r="B1565" s="40" t="n">
        <x:v>0.8842100415650043</x:v>
      </x:c>
      <x:c r="C1565" t="n">
        <x:f>LOOKUP(B1565,$E$4:$E$9,$A$4:$A$9)</x:f>
        <x:v>4</x:v>
      </x:c>
    </x:row>
    <x:row r="1566">
      <x:c r="A1566" t="n">
        <x:v>1552</x:v>
      </x:c>
      <x:c r="B1566" s="40" t="n">
        <x:v>0.6712804288995956</x:v>
      </x:c>
      <x:c r="C1566" t="n">
        <x:f>LOOKUP(B1566,$E$4:$E$9,$A$4:$A$9)</x:f>
        <x:v>3</x:v>
      </x:c>
    </x:row>
    <x:row r="1567">
      <x:c r="A1567" t="n">
        <x:v>1553</x:v>
      </x:c>
      <x:c r="B1567" s="40" t="n">
        <x:v>0.2983297651327481</x:v>
      </x:c>
      <x:c r="C1567" t="n">
        <x:f>LOOKUP(B1567,$E$4:$E$9,$A$4:$A$9)</x:f>
        <x:v>2</x:v>
      </x:c>
    </x:row>
    <x:row r="1568">
      <x:c r="A1568" t="n">
        <x:v>1554</x:v>
      </x:c>
      <x:c r="B1568" s="40" t="n">
        <x:v>0.2211614192073046</x:v>
      </x:c>
      <x:c r="C1568" t="n">
        <x:f>LOOKUP(B1568,$E$4:$E$9,$A$4:$A$9)</x:f>
        <x:v>1</x:v>
      </x:c>
    </x:row>
    <x:row r="1569">
      <x:c r="A1569" t="n">
        <x:v>1555</x:v>
      </x:c>
      <x:c r="B1569" s="40" t="n">
        <x:v>0.6830766011577799</x:v>
      </x:c>
      <x:c r="C1569" t="n">
        <x:f>LOOKUP(B1569,$E$4:$E$9,$A$4:$A$9)</x:f>
        <x:v>3</x:v>
      </x:c>
    </x:row>
    <x:row r="1570">
      <x:c r="A1570" t="n">
        <x:v>1556</x:v>
      </x:c>
      <x:c r="B1570" s="40" t="n">
        <x:v>0.9195320647852825</x:v>
      </x:c>
      <x:c r="C1570" t="n">
        <x:f>LOOKUP(B1570,$E$4:$E$9,$A$4:$A$9)</x:f>
        <x:v>5</x:v>
      </x:c>
    </x:row>
    <x:row r="1571">
      <x:c r="A1571" t="n">
        <x:v>1557</x:v>
      </x:c>
      <x:c r="B1571" s="40" t="n">
        <x:v>0.2991390910521107</x:v>
      </x:c>
      <x:c r="C1571" t="n">
        <x:f>LOOKUP(B1571,$E$4:$E$9,$A$4:$A$9)</x:f>
        <x:v>2</x:v>
      </x:c>
    </x:row>
    <x:row r="1572">
      <x:c r="A1572" t="n">
        <x:v>1558</x:v>
      </x:c>
      <x:c r="B1572" s="40" t="n">
        <x:v>0.3215591093867818</x:v>
      </x:c>
      <x:c r="C1572" t="n">
        <x:f>LOOKUP(B1572,$E$4:$E$9,$A$4:$A$9)</x:f>
        <x:v>2</x:v>
      </x:c>
    </x:row>
    <x:row r="1573">
      <x:c r="A1573" t="n">
        <x:v>1559</x:v>
      </x:c>
      <x:c r="B1573" s="40" t="n">
        <x:v>0.8542407251937729</x:v>
      </x:c>
      <x:c r="C1573" t="n">
        <x:f>LOOKUP(B1573,$E$4:$E$9,$A$4:$A$9)</x:f>
        <x:v>4</x:v>
      </x:c>
    </x:row>
    <x:row r="1574">
      <x:c r="A1574" t="n">
        <x:v>1560</x:v>
      </x:c>
      <x:c r="B1574" s="40" t="n">
        <x:v>0.8933758158837523</x:v>
      </x:c>
      <x:c r="C1574" t="n">
        <x:f>LOOKUP(B1574,$E$4:$E$9,$A$4:$A$9)</x:f>
        <x:v>5</x:v>
      </x:c>
    </x:row>
    <x:row r="1575">
      <x:c r="A1575" t="n">
        <x:v>1561</x:v>
      </x:c>
      <x:c r="B1575" s="40" t="n">
        <x:v>0.9140365668297785</x:v>
      </x:c>
      <x:c r="C1575" t="n">
        <x:f>LOOKUP(B1575,$E$4:$E$9,$A$4:$A$9)</x:f>
        <x:v>5</x:v>
      </x:c>
    </x:row>
    <x:row r="1576">
      <x:c r="A1576" t="n">
        <x:v>1562</x:v>
      </x:c>
      <x:c r="B1576" s="40" t="n">
        <x:v>0.2931542080066948</x:v>
      </x:c>
      <x:c r="C1576" t="n">
        <x:f>LOOKUP(B1576,$E$4:$E$9,$A$4:$A$9)</x:f>
        <x:v>2</x:v>
      </x:c>
    </x:row>
    <x:row r="1577">
      <x:c r="A1577" t="n">
        <x:v>1563</x:v>
      </x:c>
      <x:c r="B1577" s="40" t="n">
        <x:v>0.1203125675963489</x:v>
      </x:c>
      <x:c r="C1577" t="n">
        <x:f>LOOKUP(B1577,$E$4:$E$9,$A$4:$A$9)</x:f>
        <x:v>1</x:v>
      </x:c>
    </x:row>
    <x:row r="1578">
      <x:c r="A1578" t="n">
        <x:v>1564</x:v>
      </x:c>
      <x:c r="B1578" s="40" t="n">
        <x:v>0.43999757199854206</x:v>
      </x:c>
      <x:c r="C1578" t="n">
        <x:f>LOOKUP(B1578,$E$4:$E$9,$A$4:$A$9)</x:f>
        <x:v>2</x:v>
      </x:c>
    </x:row>
    <x:row r="1579">
      <x:c r="A1579" t="n">
        <x:v>1565</x:v>
      </x:c>
      <x:c r="B1579" s="40" t="n">
        <x:v>0.29576486514118105</x:v>
      </x:c>
      <x:c r="C1579" t="n">
        <x:f>LOOKUP(B1579,$E$4:$E$9,$A$4:$A$9)</x:f>
        <x:v>2</x:v>
      </x:c>
    </x:row>
    <x:row r="1580">
      <x:c r="A1580" t="n">
        <x:v>1566</x:v>
      </x:c>
      <x:c r="B1580" s="40" t="n">
        <x:v>0.8838666668118358</x:v>
      </x:c>
      <x:c r="C1580" t="n">
        <x:f>LOOKUP(B1580,$E$4:$E$9,$A$4:$A$9)</x:f>
        <x:v>4</x:v>
      </x:c>
    </x:row>
    <x:row r="1581">
      <x:c r="A1581" t="n">
        <x:v>1567</x:v>
      </x:c>
      <x:c r="B1581" s="40" t="n">
        <x:v>0.036634941803544874</x:v>
      </x:c>
      <x:c r="C1581" t="n">
        <x:f>LOOKUP(B1581,$E$4:$E$9,$A$4:$A$9)</x:f>
        <x:v>0</x:v>
      </x:c>
    </x:row>
    <x:row r="1582">
      <x:c r="A1582" t="n">
        <x:v>1568</x:v>
      </x:c>
      <x:c r="B1582" s="40" t="n">
        <x:v>0.6338804696362723</x:v>
      </x:c>
      <x:c r="C1582" t="n">
        <x:f>LOOKUP(B1582,$E$4:$E$9,$A$4:$A$9)</x:f>
        <x:v>3</x:v>
      </x:c>
    </x:row>
    <x:row r="1583">
      <x:c r="A1583" t="n">
        <x:v>1569</x:v>
      </x:c>
      <x:c r="B1583" s="40" t="n">
        <x:v>0.9061813657481139</x:v>
      </x:c>
      <x:c r="C1583" t="n">
        <x:f>LOOKUP(B1583,$E$4:$E$9,$A$4:$A$9)</x:f>
        <x:v>5</x:v>
      </x:c>
    </x:row>
    <x:row r="1584">
      <x:c r="A1584" t="n">
        <x:v>1570</x:v>
      </x:c>
      <x:c r="B1584" s="40" t="n">
        <x:v>0.976670366806066</x:v>
      </x:c>
      <x:c r="C1584" t="n">
        <x:f>LOOKUP(B1584,$E$4:$E$9,$A$4:$A$9)</x:f>
        <x:v>5</x:v>
      </x:c>
    </x:row>
    <x:row r="1585">
      <x:c r="A1585" t="n">
        <x:v>1571</x:v>
      </x:c>
      <x:c r="B1585" s="40" t="n">
        <x:v>0.6501305992980432</x:v>
      </x:c>
      <x:c r="C1585" t="n">
        <x:f>LOOKUP(B1585,$E$4:$E$9,$A$4:$A$9)</x:f>
        <x:v>3</x:v>
      </x:c>
    </x:row>
    <x:row r="1586">
      <x:c r="A1586" t="n">
        <x:v>1572</x:v>
      </x:c>
      <x:c r="B1586" s="40" t="n">
        <x:v>0.9499229570223799</x:v>
      </x:c>
      <x:c r="C1586" t="n">
        <x:f>LOOKUP(B1586,$E$4:$E$9,$A$4:$A$9)</x:f>
        <x:v>5</x:v>
      </x:c>
    </x:row>
    <x:row r="1587">
      <x:c r="A1587" t="n">
        <x:v>1573</x:v>
      </x:c>
      <x:c r="B1587" s="40" t="n">
        <x:v>0.07565946262506729</x:v>
      </x:c>
      <x:c r="C1587" t="n">
        <x:f>LOOKUP(B1587,$E$4:$E$9,$A$4:$A$9)</x:f>
        <x:v>0</x:v>
      </x:c>
    </x:row>
    <x:row r="1588">
      <x:c r="A1588" t="n">
        <x:v>1574</x:v>
      </x:c>
      <x:c r="B1588" s="40" t="n">
        <x:v>0.35927834599623976</x:v>
      </x:c>
      <x:c r="C1588" t="n">
        <x:f>LOOKUP(B1588,$E$4:$E$9,$A$4:$A$9)</x:f>
        <x:v>2</x:v>
      </x:c>
    </x:row>
    <x:row r="1589">
      <x:c r="A1589" t="n">
        <x:v>1575</x:v>
      </x:c>
      <x:c r="B1589" s="40" t="n">
        <x:v>0.008714697326733689</x:v>
      </x:c>
      <x:c r="C1589" t="n">
        <x:f>LOOKUP(B1589,$E$4:$E$9,$A$4:$A$9)</x:f>
        <x:v>0</x:v>
      </x:c>
    </x:row>
    <x:row r="1590">
      <x:c r="A1590" t="n">
        <x:v>1576</x:v>
      </x:c>
      <x:c r="B1590" s="40" t="n">
        <x:v>0.9811837721908184</x:v>
      </x:c>
      <x:c r="C1590" t="n">
        <x:f>LOOKUP(B1590,$E$4:$E$9,$A$4:$A$9)</x:f>
        <x:v>5</x:v>
      </x:c>
    </x:row>
    <x:row r="1591">
      <x:c r="A1591" t="n">
        <x:v>1577</x:v>
      </x:c>
      <x:c r="B1591" s="40" t="n">
        <x:v>0.9027264787666992</x:v>
      </x:c>
      <x:c r="C1591" t="n">
        <x:f>LOOKUP(B1591,$E$4:$E$9,$A$4:$A$9)</x:f>
        <x:v>5</x:v>
      </x:c>
    </x:row>
    <x:row r="1592">
      <x:c r="A1592" t="n">
        <x:v>1578</x:v>
      </x:c>
      <x:c r="B1592" s="40" t="n">
        <x:v>0.028052556248201355</x:v>
      </x:c>
      <x:c r="C1592" t="n">
        <x:f>LOOKUP(B1592,$E$4:$E$9,$A$4:$A$9)</x:f>
        <x:v>0</x:v>
      </x:c>
    </x:row>
    <x:row r="1593">
      <x:c r="A1593" t="n">
        <x:v>1579</x:v>
      </x:c>
      <x:c r="B1593" s="40" t="n">
        <x:v>0.018132650459765975</x:v>
      </x:c>
      <x:c r="C1593" t="n">
        <x:f>LOOKUP(B1593,$E$4:$E$9,$A$4:$A$9)</x:f>
        <x:v>0</x:v>
      </x:c>
    </x:row>
    <x:row r="1594">
      <x:c r="A1594" t="n">
        <x:v>1580</x:v>
      </x:c>
      <x:c r="B1594" s="40" t="n">
        <x:v>0.36696949410636615</x:v>
      </x:c>
      <x:c r="C1594" t="n">
        <x:f>LOOKUP(B1594,$E$4:$E$9,$A$4:$A$9)</x:f>
        <x:v>2</x:v>
      </x:c>
    </x:row>
    <x:row r="1595">
      <x:c r="A1595" t="n">
        <x:v>1581</x:v>
      </x:c>
      <x:c r="B1595" s="40" t="n">
        <x:v>0.2585379667909018</x:v>
      </x:c>
      <x:c r="C1595" t="n">
        <x:f>LOOKUP(B1595,$E$4:$E$9,$A$4:$A$9)</x:f>
        <x:v>2</x:v>
      </x:c>
    </x:row>
    <x:row r="1596">
      <x:c r="A1596" t="n">
        <x:v>1582</x:v>
      </x:c>
      <x:c r="B1596" s="40" t="n">
        <x:v>0.8469322772425022</x:v>
      </x:c>
      <x:c r="C1596" t="n">
        <x:f>LOOKUP(B1596,$E$4:$E$9,$A$4:$A$9)</x:f>
        <x:v>4</x:v>
      </x:c>
    </x:row>
    <x:row r="1597">
      <x:c r="A1597" t="n">
        <x:v>1583</x:v>
      </x:c>
      <x:c r="B1597" s="40" t="n">
        <x:v>0.1604844032718623</x:v>
      </x:c>
      <x:c r="C1597" t="n">
        <x:f>LOOKUP(B1597,$E$4:$E$9,$A$4:$A$9)</x:f>
        <x:v>1</x:v>
      </x:c>
    </x:row>
    <x:row r="1598">
      <x:c r="A1598" t="n">
        <x:v>1584</x:v>
      </x:c>
      <x:c r="B1598" s="40" t="n">
        <x:v>0.7906494627008573</x:v>
      </x:c>
      <x:c r="C1598" t="n">
        <x:f>LOOKUP(B1598,$E$4:$E$9,$A$4:$A$9)</x:f>
        <x:v>4</x:v>
      </x:c>
    </x:row>
    <x:row r="1599">
      <x:c r="A1599" t="n">
        <x:v>1585</x:v>
      </x:c>
      <x:c r="B1599" s="40" t="n">
        <x:v>0.5544596999906632</x:v>
      </x:c>
      <x:c r="C1599" t="n">
        <x:f>LOOKUP(B1599,$E$4:$E$9,$A$4:$A$9)</x:f>
        <x:v>3</x:v>
      </x:c>
    </x:row>
    <x:row r="1600">
      <x:c r="A1600" t="n">
        <x:v>1586</x:v>
      </x:c>
      <x:c r="B1600" s="40" t="n">
        <x:v>0.3773917714049878</x:v>
      </x:c>
      <x:c r="C1600" t="n">
        <x:f>LOOKUP(B1600,$E$4:$E$9,$A$4:$A$9)</x:f>
        <x:v>2</x:v>
      </x:c>
    </x:row>
    <x:row r="1601">
      <x:c r="A1601" t="n">
        <x:v>1587</x:v>
      </x:c>
      <x:c r="B1601" s="40" t="n">
        <x:v>0.14571976173337875</x:v>
      </x:c>
      <x:c r="C1601" t="n">
        <x:f>LOOKUP(B1601,$E$4:$E$9,$A$4:$A$9)</x:f>
        <x:v>1</x:v>
      </x:c>
    </x:row>
    <x:row r="1602">
      <x:c r="A1602" t="n">
        <x:v>1588</x:v>
      </x:c>
      <x:c r="B1602" s="40" t="n">
        <x:v>0.997691305959671</x:v>
      </x:c>
      <x:c r="C1602" t="n">
        <x:f>LOOKUP(B1602,$E$4:$E$9,$A$4:$A$9)</x:f>
        <x:v>5</x:v>
      </x:c>
    </x:row>
    <x:row r="1603">
      <x:c r="A1603" t="n">
        <x:v>1589</x:v>
      </x:c>
      <x:c r="B1603" s="40" t="n">
        <x:v>0.6179861209215367</x:v>
      </x:c>
      <x:c r="C1603" t="n">
        <x:f>LOOKUP(B1603,$E$4:$E$9,$A$4:$A$9)</x:f>
        <x:v>3</x:v>
      </x:c>
    </x:row>
    <x:row r="1604">
      <x:c r="A1604" t="n">
        <x:v>1590</x:v>
      </x:c>
      <x:c r="B1604" s="40" t="n">
        <x:v>0.43938223256799425</x:v>
      </x:c>
      <x:c r="C1604" t="n">
        <x:f>LOOKUP(B1604,$E$4:$E$9,$A$4:$A$9)</x:f>
        <x:v>2</x:v>
      </x:c>
    </x:row>
    <x:row r="1605">
      <x:c r="A1605" t="n">
        <x:v>1591</x:v>
      </x:c>
      <x:c r="B1605" s="40" t="n">
        <x:v>0.37112755655273166</x:v>
      </x:c>
      <x:c r="C1605" t="n">
        <x:f>LOOKUP(B1605,$E$4:$E$9,$A$4:$A$9)</x:f>
        <x:v>2</x:v>
      </x:c>
    </x:row>
    <x:row r="1606">
      <x:c r="A1606" t="n">
        <x:v>1592</x:v>
      </x:c>
      <x:c r="B1606" s="40" t="n">
        <x:v>0.9057282306308553</x:v>
      </x:c>
      <x:c r="C1606" t="n">
        <x:f>LOOKUP(B1606,$E$4:$E$9,$A$4:$A$9)</x:f>
        <x:v>5</x:v>
      </x:c>
    </x:row>
    <x:row r="1607">
      <x:c r="A1607" t="n">
        <x:v>1593</x:v>
      </x:c>
      <x:c r="B1607" s="40" t="n">
        <x:v>0.821191808190761</x:v>
      </x:c>
      <x:c r="C1607" t="n">
        <x:f>LOOKUP(B1607,$E$4:$E$9,$A$4:$A$9)</x:f>
        <x:v>4</x:v>
      </x:c>
    </x:row>
    <x:row r="1608">
      <x:c r="A1608" t="n">
        <x:v>1594</x:v>
      </x:c>
      <x:c r="B1608" s="40" t="n">
        <x:v>0.8111857883682237</x:v>
      </x:c>
      <x:c r="C1608" t="n">
        <x:f>LOOKUP(B1608,$E$4:$E$9,$A$4:$A$9)</x:f>
        <x:v>4</x:v>
      </x:c>
    </x:row>
    <x:row r="1609">
      <x:c r="A1609" t="n">
        <x:v>1595</x:v>
      </x:c>
      <x:c r="B1609" s="40" t="n">
        <x:v>0.6161984729623928</x:v>
      </x:c>
      <x:c r="C1609" t="n">
        <x:f>LOOKUP(B1609,$E$4:$E$9,$A$4:$A$9)</x:f>
        <x:v>3</x:v>
      </x:c>
    </x:row>
    <x:row r="1610">
      <x:c r="A1610" t="n">
        <x:v>1596</x:v>
      </x:c>
      <x:c r="B1610" s="40" t="n">
        <x:v>0.8879565826958018</x:v>
      </x:c>
      <x:c r="C1610" t="n">
        <x:f>LOOKUP(B1610,$E$4:$E$9,$A$4:$A$9)</x:f>
        <x:v>4</x:v>
      </x:c>
    </x:row>
    <x:row r="1611">
      <x:c r="A1611" t="n">
        <x:v>1597</x:v>
      </x:c>
      <x:c r="B1611" s="40" t="n">
        <x:v>0.2992783721220704</x:v>
      </x:c>
      <x:c r="C1611" t="n">
        <x:f>LOOKUP(B1611,$E$4:$E$9,$A$4:$A$9)</x:f>
        <x:v>2</x:v>
      </x:c>
    </x:row>
    <x:row r="1612">
      <x:c r="A1612" t="n">
        <x:v>1598</x:v>
      </x:c>
      <x:c r="B1612" s="40" t="n">
        <x:v>0.7037061351632893</x:v>
      </x:c>
      <x:c r="C1612" t="n">
        <x:f>LOOKUP(B1612,$E$4:$E$9,$A$4:$A$9)</x:f>
        <x:v>3</x:v>
      </x:c>
    </x:row>
    <x:row r="1613">
      <x:c r="A1613" t="n">
        <x:v>1599</x:v>
      </x:c>
      <x:c r="B1613" s="40" t="n">
        <x:v>0.4044477423918925</x:v>
      </x:c>
      <x:c r="C1613" t="n">
        <x:f>LOOKUP(B1613,$E$4:$E$9,$A$4:$A$9)</x:f>
        <x:v>2</x:v>
      </x:c>
    </x:row>
    <x:row r="1614">
      <x:c r="A1614" t="n">
        <x:v>1600</x:v>
      </x:c>
      <x:c r="B1614" s="40" t="n">
        <x:v>0.5999988085596921</x:v>
      </x:c>
      <x:c r="C1614" t="n">
        <x:f>LOOKUP(B1614,$E$4:$E$9,$A$4:$A$9)</x:f>
        <x:v>3</x:v>
      </x:c>
    </x:row>
    <x:row r="1615">
      <x:c r="A1615" t="n">
        <x:v>1601</x:v>
      </x:c>
      <x:c r="B1615" s="40" t="n">
        <x:v>0.9981530006126929</x:v>
      </x:c>
      <x:c r="C1615" t="n">
        <x:f>LOOKUP(B1615,$E$4:$E$9,$A$4:$A$9)</x:f>
        <x:v>5</x:v>
      </x:c>
    </x:row>
    <x:row r="1616">
      <x:c r="A1616" t="n">
        <x:v>1602</x:v>
      </x:c>
      <x:c r="B1616" s="40" t="n">
        <x:v>0.9845247806753183</x:v>
      </x:c>
      <x:c r="C1616" t="n">
        <x:f>LOOKUP(B1616,$E$4:$E$9,$A$4:$A$9)</x:f>
        <x:v>5</x:v>
      </x:c>
    </x:row>
    <x:row r="1617">
      <x:c r="A1617" t="n">
        <x:v>1603</x:v>
      </x:c>
      <x:c r="B1617" s="40" t="n">
        <x:v>0.5126190164674482</x:v>
      </x:c>
      <x:c r="C1617" t="n">
        <x:f>LOOKUP(B1617,$E$4:$E$9,$A$4:$A$9)</x:f>
        <x:v>3</x:v>
      </x:c>
    </x:row>
    <x:row r="1618">
      <x:c r="A1618" t="n">
        <x:v>1604</x:v>
      </x:c>
      <x:c r="B1618" s="40" t="n">
        <x:v>0.5738634521648246</x:v>
      </x:c>
      <x:c r="C1618" t="n">
        <x:f>LOOKUP(B1618,$E$4:$E$9,$A$4:$A$9)</x:f>
        <x:v>3</x:v>
      </x:c>
    </x:row>
    <x:row r="1619">
      <x:c r="A1619" t="n">
        <x:v>1605</x:v>
      </x:c>
      <x:c r="B1619" s="40" t="n">
        <x:v>0.897321769137301</x:v>
      </x:c>
      <x:c r="C1619" t="n">
        <x:f>LOOKUP(B1619,$E$4:$E$9,$A$4:$A$9)</x:f>
        <x:v>5</x:v>
      </x:c>
    </x:row>
    <x:row r="1620">
      <x:c r="A1620" t="n">
        <x:v>1606</x:v>
      </x:c>
      <x:c r="B1620" s="40" t="n">
        <x:v>0.985635712513855</x:v>
      </x:c>
      <x:c r="C1620" t="n">
        <x:f>LOOKUP(B1620,$E$4:$E$9,$A$4:$A$9)</x:f>
        <x:v>5</x:v>
      </x:c>
    </x:row>
    <x:row r="1621">
      <x:c r="A1621" t="n">
        <x:v>1607</x:v>
      </x:c>
      <x:c r="B1621" s="40" t="n">
        <x:v>0.7786078026260798</x:v>
      </x:c>
      <x:c r="C1621" t="n">
        <x:f>LOOKUP(B1621,$E$4:$E$9,$A$4:$A$9)</x:f>
        <x:v>4</x:v>
      </x:c>
    </x:row>
    <x:row r="1622">
      <x:c r="A1622" t="n">
        <x:v>1608</x:v>
      </x:c>
      <x:c r="B1622" s="40" t="n">
        <x:v>0.0651844579586307</x:v>
      </x:c>
      <x:c r="C1622" t="n">
        <x:f>LOOKUP(B1622,$E$4:$E$9,$A$4:$A$9)</x:f>
        <x:v>0</x:v>
      </x:c>
    </x:row>
    <x:row r="1623">
      <x:c r="A1623" t="n">
        <x:v>1609</x:v>
      </x:c>
      <x:c r="B1623" s="40" t="n">
        <x:v>0.32263973434386395</x:v>
      </x:c>
      <x:c r="C1623" t="n">
        <x:f>LOOKUP(B1623,$E$4:$E$9,$A$4:$A$9)</x:f>
        <x:v>2</x:v>
      </x:c>
    </x:row>
    <x:row r="1624">
      <x:c r="A1624" t="n">
        <x:v>1610</x:v>
      </x:c>
      <x:c r="B1624" s="40" t="n">
        <x:v>0.8965623399203079</x:v>
      </x:c>
      <x:c r="C1624" t="n">
        <x:f>LOOKUP(B1624,$E$4:$E$9,$A$4:$A$9)</x:f>
        <x:v>5</x:v>
      </x:c>
    </x:row>
    <x:row r="1625">
      <x:c r="A1625" t="n">
        <x:v>1611</x:v>
      </x:c>
      <x:c r="B1625" s="40" t="n">
        <x:v>0.7683525058504805</x:v>
      </x:c>
      <x:c r="C1625" t="n">
        <x:f>LOOKUP(B1625,$E$4:$E$9,$A$4:$A$9)</x:f>
        <x:v>4</x:v>
      </x:c>
    </x:row>
    <x:row r="1626">
      <x:c r="A1626" t="n">
        <x:v>1612</x:v>
      </x:c>
      <x:c r="B1626" s="40" t="n">
        <x:v>0.7422330710244271</x:v>
      </x:c>
      <x:c r="C1626" t="n">
        <x:f>LOOKUP(B1626,$E$4:$E$9,$A$4:$A$9)</x:f>
        <x:v>3</x:v>
      </x:c>
    </x:row>
    <x:row r="1627">
      <x:c r="A1627" t="n">
        <x:v>1613</x:v>
      </x:c>
      <x:c r="B1627" s="40" t="n">
        <x:v>0.6679232304681411</x:v>
      </x:c>
      <x:c r="C1627" t="n">
        <x:f>LOOKUP(B1627,$E$4:$E$9,$A$4:$A$9)</x:f>
        <x:v>3</x:v>
      </x:c>
    </x:row>
    <x:row r="1628">
      <x:c r="A1628" t="n">
        <x:v>1614</x:v>
      </x:c>
      <x:c r="B1628" s="40" t="n">
        <x:v>0.4152638496323835</x:v>
      </x:c>
      <x:c r="C1628" t="n">
        <x:f>LOOKUP(B1628,$E$4:$E$9,$A$4:$A$9)</x:f>
        <x:v>2</x:v>
      </x:c>
    </x:row>
    <x:row r="1629">
      <x:c r="A1629" t="n">
        <x:v>1615</x:v>
      </x:c>
      <x:c r="B1629" s="40" t="n">
        <x:v>0.4032413203447017</x:v>
      </x:c>
      <x:c r="C1629" t="n">
        <x:f>LOOKUP(B1629,$E$4:$E$9,$A$4:$A$9)</x:f>
        <x:v>2</x:v>
      </x:c>
    </x:row>
    <x:row r="1630">
      <x:c r="A1630" t="n">
        <x:v>1616</x:v>
      </x:c>
      <x:c r="B1630" s="40" t="n">
        <x:v>0.808932487590801</x:v>
      </x:c>
      <x:c r="C1630" t="n">
        <x:f>LOOKUP(B1630,$E$4:$E$9,$A$4:$A$9)</x:f>
        <x:v>4</x:v>
      </x:c>
    </x:row>
    <x:row r="1631">
      <x:c r="A1631" t="n">
        <x:v>1617</x:v>
      </x:c>
      <x:c r="B1631" s="40" t="n">
        <x:v>0.2937802917650709</x:v>
      </x:c>
      <x:c r="C1631" t="n">
        <x:f>LOOKUP(B1631,$E$4:$E$9,$A$4:$A$9)</x:f>
        <x:v>2</x:v>
      </x:c>
    </x:row>
    <x:row r="1632">
      <x:c r="A1632" t="n">
        <x:v>1618</x:v>
      </x:c>
      <x:c r="B1632" s="40" t="n">
        <x:v>0.6848318727009735</x:v>
      </x:c>
      <x:c r="C1632" t="n">
        <x:f>LOOKUP(B1632,$E$4:$E$9,$A$4:$A$9)</x:f>
        <x:v>3</x:v>
      </x:c>
    </x:row>
    <x:row r="1633">
      <x:c r="A1633" t="n">
        <x:v>1619</x:v>
      </x:c>
      <x:c r="B1633" s="40" t="n">
        <x:v>0.7262085234239566</x:v>
      </x:c>
      <x:c r="C1633" t="n">
        <x:f>LOOKUP(B1633,$E$4:$E$9,$A$4:$A$9)</x:f>
        <x:v>3</x:v>
      </x:c>
    </x:row>
    <x:row r="1634">
      <x:c r="A1634" t="n">
        <x:v>1620</x:v>
      </x:c>
      <x:c r="B1634" s="40" t="n">
        <x:v>0.8445559893615288</x:v>
      </x:c>
      <x:c r="C1634" t="n">
        <x:f>LOOKUP(B1634,$E$4:$E$9,$A$4:$A$9)</x:f>
        <x:v>4</x:v>
      </x:c>
    </x:row>
    <x:row r="1635">
      <x:c r="A1635" t="n">
        <x:v>1621</x:v>
      </x:c>
      <x:c r="B1635" s="40" t="n">
        <x:v>0.3198855907070157</x:v>
      </x:c>
      <x:c r="C1635" t="n">
        <x:f>LOOKUP(B1635,$E$4:$E$9,$A$4:$A$9)</x:f>
        <x:v>2</x:v>
      </x:c>
    </x:row>
    <x:row r="1636">
      <x:c r="A1636" t="n">
        <x:v>1622</x:v>
      </x:c>
      <x:c r="B1636" s="40" t="n">
        <x:v>0.7418892668382021</x:v>
      </x:c>
      <x:c r="C1636" t="n">
        <x:f>LOOKUP(B1636,$E$4:$E$9,$A$4:$A$9)</x:f>
        <x:v>3</x:v>
      </x:c>
    </x:row>
    <x:row r="1637">
      <x:c r="A1637" t="n">
        <x:v>1623</x:v>
      </x:c>
      <x:c r="B1637" s="40" t="n">
        <x:v>0.10648989757868688</x:v>
      </x:c>
      <x:c r="C1637" t="n">
        <x:f>LOOKUP(B1637,$E$4:$E$9,$A$4:$A$9)</x:f>
        <x:v>1</x:v>
      </x:c>
    </x:row>
    <x:row r="1638">
      <x:c r="A1638" t="n">
        <x:v>1624</x:v>
      </x:c>
      <x:c r="B1638" s="40" t="n">
        <x:v>0.13806172895190472</x:v>
      </x:c>
      <x:c r="C1638" t="n">
        <x:f>LOOKUP(B1638,$E$4:$E$9,$A$4:$A$9)</x:f>
        <x:v>1</x:v>
      </x:c>
    </x:row>
    <x:row r="1639">
      <x:c r="A1639" t="n">
        <x:v>1625</x:v>
      </x:c>
      <x:c r="B1639" s="40" t="n">
        <x:v>0.41733604017340153</x:v>
      </x:c>
      <x:c r="C1639" t="n">
        <x:f>LOOKUP(B1639,$E$4:$E$9,$A$4:$A$9)</x:f>
        <x:v>2</x:v>
      </x:c>
    </x:row>
    <x:row r="1640">
      <x:c r="A1640" t="n">
        <x:v>1626</x:v>
      </x:c>
      <x:c r="B1640" s="40" t="n">
        <x:v>0.05522577635524728</x:v>
      </x:c>
      <x:c r="C1640" t="n">
        <x:f>LOOKUP(B1640,$E$4:$E$9,$A$4:$A$9)</x:f>
        <x:v>0</x:v>
      </x:c>
    </x:row>
    <x:row r="1641">
      <x:c r="A1641" t="n">
        <x:v>1627</x:v>
      </x:c>
      <x:c r="B1641" s="40" t="n">
        <x:v>0.9476983214653384</x:v>
      </x:c>
      <x:c r="C1641" t="n">
        <x:f>LOOKUP(B1641,$E$4:$E$9,$A$4:$A$9)</x:f>
        <x:v>5</x:v>
      </x:c>
    </x:row>
    <x:row r="1642">
      <x:c r="A1642" t="n">
        <x:v>1628</x:v>
      </x:c>
      <x:c r="B1642" s="40" t="n">
        <x:v>0.9018958105093605</x:v>
      </x:c>
      <x:c r="C1642" t="n">
        <x:f>LOOKUP(B1642,$E$4:$E$9,$A$4:$A$9)</x:f>
        <x:v>5</x:v>
      </x:c>
    </x:row>
    <x:row r="1643">
      <x:c r="A1643" t="n">
        <x:v>1629</x:v>
      </x:c>
      <x:c r="B1643" s="40" t="n">
        <x:v>0.048933695525843146</x:v>
      </x:c>
      <x:c r="C1643" t="n">
        <x:f>LOOKUP(B1643,$E$4:$E$9,$A$4:$A$9)</x:f>
        <x:v>0</x:v>
      </x:c>
    </x:row>
    <x:row r="1644">
      <x:c r="A1644" t="n">
        <x:v>1630</x:v>
      </x:c>
      <x:c r="B1644" s="40" t="n">
        <x:v>0.8383117218922788</x:v>
      </x:c>
      <x:c r="C1644" t="n">
        <x:f>LOOKUP(B1644,$E$4:$E$9,$A$4:$A$9)</x:f>
        <x:v>4</x:v>
      </x:c>
    </x:row>
    <x:row r="1645">
      <x:c r="A1645" t="n">
        <x:v>1631</x:v>
      </x:c>
      <x:c r="B1645" s="40" t="n">
        <x:v>0.5088741740900253</x:v>
      </x:c>
      <x:c r="C1645" t="n">
        <x:f>LOOKUP(B1645,$E$4:$E$9,$A$4:$A$9)</x:f>
        <x:v>3</x:v>
      </x:c>
    </x:row>
    <x:row r="1646">
      <x:c r="A1646" t="n">
        <x:v>1632</x:v>
      </x:c>
      <x:c r="B1646" s="40" t="n">
        <x:v>0.7019628883735499</x:v>
      </x:c>
      <x:c r="C1646" t="n">
        <x:f>LOOKUP(B1646,$E$4:$E$9,$A$4:$A$9)</x:f>
        <x:v>3</x:v>
      </x:c>
    </x:row>
    <x:row r="1647">
      <x:c r="A1647" t="n">
        <x:v>1633</x:v>
      </x:c>
      <x:c r="B1647" s="40" t="n">
        <x:v>0.8869311692981873</x:v>
      </x:c>
      <x:c r="C1647" t="n">
        <x:f>LOOKUP(B1647,$E$4:$E$9,$A$4:$A$9)</x:f>
        <x:v>4</x:v>
      </x:c>
    </x:row>
    <x:row r="1648">
      <x:c r="A1648" t="n">
        <x:v>1634</x:v>
      </x:c>
      <x:c r="B1648" s="40" t="n">
        <x:v>0.5769744870776986</x:v>
      </x:c>
      <x:c r="C1648" t="n">
        <x:f>LOOKUP(B1648,$E$4:$E$9,$A$4:$A$9)</x:f>
        <x:v>3</x:v>
      </x:c>
    </x:row>
    <x:row r="1649">
      <x:c r="A1649" t="n">
        <x:v>1635</x:v>
      </x:c>
      <x:c r="B1649" s="40" t="n">
        <x:v>0.11632710028462945</x:v>
      </x:c>
      <x:c r="C1649" t="n">
        <x:f>LOOKUP(B1649,$E$4:$E$9,$A$4:$A$9)</x:f>
        <x:v>1</x:v>
      </x:c>
    </x:row>
    <x:row r="1650">
      <x:c r="A1650" t="n">
        <x:v>1636</x:v>
      </x:c>
      <x:c r="B1650" s="40" t="n">
        <x:v>0.0025786104865862525</x:v>
      </x:c>
      <x:c r="C1650" t="n">
        <x:f>LOOKUP(B1650,$E$4:$E$9,$A$4:$A$9)</x:f>
        <x:v>0</x:v>
      </x:c>
    </x:row>
    <x:row r="1651">
      <x:c r="A1651" t="n">
        <x:v>1637</x:v>
      </x:c>
      <x:c r="B1651" s="40" t="n">
        <x:v>0.49692153225144653</x:v>
      </x:c>
      <x:c r="C1651" t="n">
        <x:f>LOOKUP(B1651,$E$4:$E$9,$A$4:$A$9)</x:f>
        <x:v>2</x:v>
      </x:c>
    </x:row>
    <x:row r="1652">
      <x:c r="A1652" t="n">
        <x:v>1638</x:v>
      </x:c>
      <x:c r="B1652" s="40" t="n">
        <x:v>0.9492321321243601</x:v>
      </x:c>
      <x:c r="C1652" t="n">
        <x:f>LOOKUP(B1652,$E$4:$E$9,$A$4:$A$9)</x:f>
        <x:v>5</x:v>
      </x:c>
    </x:row>
    <x:row r="1653">
      <x:c r="A1653" t="n">
        <x:v>1639</x:v>
      </x:c>
      <x:c r="B1653" s="40" t="n">
        <x:v>0.5726218716131959</x:v>
      </x:c>
      <x:c r="C1653" t="n">
        <x:f>LOOKUP(B1653,$E$4:$E$9,$A$4:$A$9)</x:f>
        <x:v>3</x:v>
      </x:c>
    </x:row>
    <x:row r="1654">
      <x:c r="A1654" t="n">
        <x:v>1640</x:v>
      </x:c>
      <x:c r="B1654" s="40" t="n">
        <x:v>0.3729391380882292</x:v>
      </x:c>
      <x:c r="C1654" t="n">
        <x:f>LOOKUP(B1654,$E$4:$E$9,$A$4:$A$9)</x:f>
        <x:v>2</x:v>
      </x:c>
    </x:row>
    <x:row r="1655">
      <x:c r="A1655" t="n">
        <x:v>1641</x:v>
      </x:c>
      <x:c r="B1655" s="40" t="n">
        <x:v>0.030922017080913355</x:v>
      </x:c>
      <x:c r="C1655" t="n">
        <x:f>LOOKUP(B1655,$E$4:$E$9,$A$4:$A$9)</x:f>
        <x:v>0</x:v>
      </x:c>
    </x:row>
    <x:row r="1656">
      <x:c r="A1656" t="n">
        <x:v>1642</x:v>
      </x:c>
      <x:c r="B1656" s="40" t="n">
        <x:v>0.9149794172782003</x:v>
      </x:c>
      <x:c r="C1656" t="n">
        <x:f>LOOKUP(B1656,$E$4:$E$9,$A$4:$A$9)</x:f>
        <x:v>5</x:v>
      </x:c>
    </x:row>
    <x:row r="1657">
      <x:c r="A1657" t="n">
        <x:v>1643</x:v>
      </x:c>
      <x:c r="B1657" s="40" t="n">
        <x:v>0.3271566608580422</x:v>
      </x:c>
      <x:c r="C1657" t="n">
        <x:f>LOOKUP(B1657,$E$4:$E$9,$A$4:$A$9)</x:f>
        <x:v>2</x:v>
      </x:c>
    </x:row>
    <x:row r="1658">
      <x:c r="A1658" t="n">
        <x:v>1644</x:v>
      </x:c>
      <x:c r="B1658" s="40" t="n">
        <x:v>0.7047774013150961</x:v>
      </x:c>
      <x:c r="C1658" t="n">
        <x:f>LOOKUP(B1658,$E$4:$E$9,$A$4:$A$9)</x:f>
        <x:v>3</x:v>
      </x:c>
    </x:row>
    <x:row r="1659">
      <x:c r="A1659" t="n">
        <x:v>1645</x:v>
      </x:c>
      <x:c r="B1659" s="40" t="n">
        <x:v>0.6942372021114649</x:v>
      </x:c>
      <x:c r="C1659" t="n">
        <x:f>LOOKUP(B1659,$E$4:$E$9,$A$4:$A$9)</x:f>
        <x:v>3</x:v>
      </x:c>
    </x:row>
    <x:row r="1660">
      <x:c r="A1660" t="n">
        <x:v>1646</x:v>
      </x:c>
      <x:c r="B1660" s="40" t="n">
        <x:v>0.2538831613687479</x:v>
      </x:c>
      <x:c r="C1660" t="n">
        <x:f>LOOKUP(B1660,$E$4:$E$9,$A$4:$A$9)</x:f>
        <x:v>2</x:v>
      </x:c>
    </x:row>
    <x:row r="1661">
      <x:c r="A1661" t="n">
        <x:v>1647</x:v>
      </x:c>
      <x:c r="B1661" s="40" t="n">
        <x:v>0.06377750646072533</x:v>
      </x:c>
      <x:c r="C1661" t="n">
        <x:f>LOOKUP(B1661,$E$4:$E$9,$A$4:$A$9)</x:f>
        <x:v>0</x:v>
      </x:c>
    </x:row>
    <x:row r="1662">
      <x:c r="A1662" t="n">
        <x:v>1648</x:v>
      </x:c>
      <x:c r="B1662" s="40" t="n">
        <x:v>0.38500037867184356</x:v>
      </x:c>
      <x:c r="C1662" t="n">
        <x:f>LOOKUP(B1662,$E$4:$E$9,$A$4:$A$9)</x:f>
        <x:v>2</x:v>
      </x:c>
    </x:row>
    <x:row r="1663">
      <x:c r="A1663" t="n">
        <x:v>1649</x:v>
      </x:c>
      <x:c r="B1663" s="40" t="n">
        <x:v>0.3171310138371999</x:v>
      </x:c>
      <x:c r="C1663" t="n">
        <x:f>LOOKUP(B1663,$E$4:$E$9,$A$4:$A$9)</x:f>
        <x:v>2</x:v>
      </x:c>
    </x:row>
    <x:row r="1664">
      <x:c r="A1664" t="n">
        <x:v>1650</x:v>
      </x:c>
      <x:c r="B1664" s="40" t="n">
        <x:v>0.7002563988723258</x:v>
      </x:c>
      <x:c r="C1664" t="n">
        <x:f>LOOKUP(B1664,$E$4:$E$9,$A$4:$A$9)</x:f>
        <x:v>3</x:v>
      </x:c>
    </x:row>
    <x:row r="1665">
      <x:c r="A1665" t="n">
        <x:v>1651</x:v>
      </x:c>
      <x:c r="B1665" s="40" t="n">
        <x:v>0.8197824956598391</x:v>
      </x:c>
      <x:c r="C1665" t="n">
        <x:f>LOOKUP(B1665,$E$4:$E$9,$A$4:$A$9)</x:f>
        <x:v>4</x:v>
      </x:c>
    </x:row>
    <x:row r="1666">
      <x:c r="A1666" t="n">
        <x:v>1652</x:v>
      </x:c>
      <x:c r="B1666" s="40" t="n">
        <x:v>0.22244541739167467</x:v>
      </x:c>
      <x:c r="C1666" t="n">
        <x:f>LOOKUP(B1666,$E$4:$E$9,$A$4:$A$9)</x:f>
        <x:v>1</x:v>
      </x:c>
    </x:row>
    <x:row r="1667">
      <x:c r="A1667" t="n">
        <x:v>1653</x:v>
      </x:c>
      <x:c r="B1667" s="40" t="n">
        <x:v>0.5282310697764423</x:v>
      </x:c>
      <x:c r="C1667" t="n">
        <x:f>LOOKUP(B1667,$E$4:$E$9,$A$4:$A$9)</x:f>
        <x:v>3</x:v>
      </x:c>
    </x:row>
    <x:row r="1668">
      <x:c r="A1668" t="n">
        <x:v>1654</x:v>
      </x:c>
      <x:c r="B1668" s="40" t="n">
        <x:v>0.04060834738816166</x:v>
      </x:c>
      <x:c r="C1668" t="n">
        <x:f>LOOKUP(B1668,$E$4:$E$9,$A$4:$A$9)</x:f>
        <x:v>0</x:v>
      </x:c>
    </x:row>
    <x:row r="1669">
      <x:c r="A1669" t="n">
        <x:v>1655</x:v>
      </x:c>
      <x:c r="B1669" s="40" t="n">
        <x:v>0.2142558229334619</x:v>
      </x:c>
      <x:c r="C1669" t="n">
        <x:f>LOOKUP(B1669,$E$4:$E$9,$A$4:$A$9)</x:f>
        <x:v>1</x:v>
      </x:c>
    </x:row>
    <x:row r="1670">
      <x:c r="A1670" t="n">
        <x:v>1656</x:v>
      </x:c>
      <x:c r="B1670" s="40" t="n">
        <x:v>0.761761605322083</x:v>
      </x:c>
      <x:c r="C1670" t="n">
        <x:f>LOOKUP(B1670,$E$4:$E$9,$A$4:$A$9)</x:f>
        <x:v>4</x:v>
      </x:c>
    </x:row>
    <x:row r="1671">
      <x:c r="A1671" t="n">
        <x:v>1657</x:v>
      </x:c>
      <x:c r="B1671" s="40" t="n">
        <x:v>0.7933983204890724</x:v>
      </x:c>
      <x:c r="C1671" t="n">
        <x:f>LOOKUP(B1671,$E$4:$E$9,$A$4:$A$9)</x:f>
        <x:v>4</x:v>
      </x:c>
    </x:row>
    <x:row r="1672">
      <x:c r="A1672" t="n">
        <x:v>1658</x:v>
      </x:c>
      <x:c r="B1672" s="40" t="n">
        <x:v>0.7764044634518033</x:v>
      </x:c>
      <x:c r="C1672" t="n">
        <x:f>LOOKUP(B1672,$E$4:$E$9,$A$4:$A$9)</x:f>
        <x:v>4</x:v>
      </x:c>
    </x:row>
    <x:row r="1673">
      <x:c r="A1673" t="n">
        <x:v>1659</x:v>
      </x:c>
      <x:c r="B1673" s="40" t="n">
        <x:v>0.14238792498827013</x:v>
      </x:c>
      <x:c r="C1673" t="n">
        <x:f>LOOKUP(B1673,$E$4:$E$9,$A$4:$A$9)</x:f>
        <x:v>1</x:v>
      </x:c>
    </x:row>
    <x:row r="1674">
      <x:c r="A1674" t="n">
        <x:v>1660</x:v>
      </x:c>
      <x:c r="B1674" s="40" t="n">
        <x:v>0.5510347274684173</x:v>
      </x:c>
      <x:c r="C1674" t="n">
        <x:f>LOOKUP(B1674,$E$4:$E$9,$A$4:$A$9)</x:f>
        <x:v>3</x:v>
      </x:c>
    </x:row>
    <x:row r="1675">
      <x:c r="A1675" t="n">
        <x:v>1661</x:v>
      </x:c>
      <x:c r="B1675" s="40" t="n">
        <x:v>0.4227084144433829</x:v>
      </x:c>
      <x:c r="C1675" t="n">
        <x:f>LOOKUP(B1675,$E$4:$E$9,$A$4:$A$9)</x:f>
        <x:v>2</x:v>
      </x:c>
    </x:row>
    <x:row r="1676">
      <x:c r="A1676" t="n">
        <x:v>1662</x:v>
      </x:c>
      <x:c r="B1676" s="40" t="n">
        <x:v>0.9914862967950905</x:v>
      </x:c>
      <x:c r="C1676" t="n">
        <x:f>LOOKUP(B1676,$E$4:$E$9,$A$4:$A$9)</x:f>
        <x:v>5</x:v>
      </x:c>
    </x:row>
    <x:row r="1677">
      <x:c r="A1677" t="n">
        <x:v>1663</x:v>
      </x:c>
      <x:c r="B1677" s="40" t="n">
        <x:v>0.6540698690583361</x:v>
      </x:c>
      <x:c r="C1677" t="n">
        <x:f>LOOKUP(B1677,$E$4:$E$9,$A$4:$A$9)</x:f>
        <x:v>3</x:v>
      </x:c>
    </x:row>
    <x:row r="1678">
      <x:c r="A1678" t="n">
        <x:v>1664</x:v>
      </x:c>
      <x:c r="B1678" s="40" t="n">
        <x:v>0.9352020913957291</x:v>
      </x:c>
      <x:c r="C1678" t="n">
        <x:f>LOOKUP(B1678,$E$4:$E$9,$A$4:$A$9)</x:f>
        <x:v>5</x:v>
      </x:c>
    </x:row>
    <x:row r="1679">
      <x:c r="A1679" t="n">
        <x:v>1665</x:v>
      </x:c>
      <x:c r="B1679" s="40" t="n">
        <x:v>0.1453503050084376</x:v>
      </x:c>
      <x:c r="C1679" t="n">
        <x:f>LOOKUP(B1679,$E$4:$E$9,$A$4:$A$9)</x:f>
        <x:v>1</x:v>
      </x:c>
    </x:row>
    <x:row r="1680">
      <x:c r="A1680" t="n">
        <x:v>1666</x:v>
      </x:c>
      <x:c r="B1680" s="40" t="n">
        <x:v>0.45087327310022907</x:v>
      </x:c>
      <x:c r="C1680" t="n">
        <x:f>LOOKUP(B1680,$E$4:$E$9,$A$4:$A$9)</x:f>
        <x:v>2</x:v>
      </x:c>
    </x:row>
    <x:row r="1681">
      <x:c r="A1681" t="n">
        <x:v>1667</x:v>
      </x:c>
      <x:c r="B1681" s="40" t="n">
        <x:v>0.7716076001058686</x:v>
      </x:c>
      <x:c r="C1681" t="n">
        <x:f>LOOKUP(B1681,$E$4:$E$9,$A$4:$A$9)</x:f>
        <x:v>4</x:v>
      </x:c>
    </x:row>
    <x:row r="1682">
      <x:c r="A1682" t="n">
        <x:v>1668</x:v>
      </x:c>
      <x:c r="B1682" s="40" t="n">
        <x:v>0.3678577280304026</x:v>
      </x:c>
      <x:c r="C1682" t="n">
        <x:f>LOOKUP(B1682,$E$4:$E$9,$A$4:$A$9)</x:f>
        <x:v>2</x:v>
      </x:c>
    </x:row>
    <x:row r="1683">
      <x:c r="A1683" t="n">
        <x:v>1669</x:v>
      </x:c>
      <x:c r="B1683" s="40" t="n">
        <x:v>0.6325084961536467</x:v>
      </x:c>
      <x:c r="C1683" t="n">
        <x:f>LOOKUP(B1683,$E$4:$E$9,$A$4:$A$9)</x:f>
        <x:v>3</x:v>
      </x:c>
    </x:row>
    <x:row r="1684">
      <x:c r="A1684" t="n">
        <x:v>1670</x:v>
      </x:c>
      <x:c r="B1684" s="40" t="n">
        <x:v>0.5117021723736607</x:v>
      </x:c>
      <x:c r="C1684" t="n">
        <x:f>LOOKUP(B1684,$E$4:$E$9,$A$4:$A$9)</x:f>
        <x:v>3</x:v>
      </x:c>
    </x:row>
    <x:row r="1685">
      <x:c r="A1685" t="n">
        <x:v>1671</x:v>
      </x:c>
      <x:c r="B1685" s="40" t="n">
        <x:v>0.9919294092179923</x:v>
      </x:c>
      <x:c r="C1685" t="n">
        <x:f>LOOKUP(B1685,$E$4:$E$9,$A$4:$A$9)</x:f>
        <x:v>5</x:v>
      </x:c>
    </x:row>
    <x:row r="1686">
      <x:c r="A1686" t="n">
        <x:v>1672</x:v>
      </x:c>
      <x:c r="B1686" s="40" t="n">
        <x:v>0.17387254006549147</x:v>
      </x:c>
      <x:c r="C1686" t="n">
        <x:f>LOOKUP(B1686,$E$4:$E$9,$A$4:$A$9)</x:f>
        <x:v>1</x:v>
      </x:c>
    </x:row>
    <x:row r="1687">
      <x:c r="A1687" t="n">
        <x:v>1673</x:v>
      </x:c>
      <x:c r="B1687" s="40" t="n">
        <x:v>0.9353486953301278</x:v>
      </x:c>
      <x:c r="C1687" t="n">
        <x:f>LOOKUP(B1687,$E$4:$E$9,$A$4:$A$9)</x:f>
        <x:v>5</x:v>
      </x:c>
    </x:row>
    <x:row r="1688">
      <x:c r="A1688" t="n">
        <x:v>1674</x:v>
      </x:c>
      <x:c r="B1688" s="40" t="n">
        <x:v>0.40157095380329677</x:v>
      </x:c>
      <x:c r="C1688" t="n">
        <x:f>LOOKUP(B1688,$E$4:$E$9,$A$4:$A$9)</x:f>
        <x:v>2</x:v>
      </x:c>
    </x:row>
    <x:row r="1689">
      <x:c r="A1689" t="n">
        <x:v>1675</x:v>
      </x:c>
      <x:c r="B1689" s="40" t="n">
        <x:v>0.4679929663772945</x:v>
      </x:c>
      <x:c r="C1689" t="n">
        <x:f>LOOKUP(B1689,$E$4:$E$9,$A$4:$A$9)</x:f>
        <x:v>2</x:v>
      </x:c>
    </x:row>
    <x:row r="1690">
      <x:c r="A1690" t="n">
        <x:v>1676</x:v>
      </x:c>
      <x:c r="B1690" s="40" t="n">
        <x:v>0.528601883689979</x:v>
      </x:c>
      <x:c r="C1690" t="n">
        <x:f>LOOKUP(B1690,$E$4:$E$9,$A$4:$A$9)</x:f>
        <x:v>3</x:v>
      </x:c>
    </x:row>
    <x:row r="1691">
      <x:c r="A1691" t="n">
        <x:v>1677</x:v>
      </x:c>
      <x:c r="B1691" s="40" t="n">
        <x:v>0.26536654943357985</x:v>
      </x:c>
      <x:c r="C1691" t="n">
        <x:f>LOOKUP(B1691,$E$4:$E$9,$A$4:$A$9)</x:f>
        <x:v>2</x:v>
      </x:c>
    </x:row>
    <x:row r="1692">
      <x:c r="A1692" t="n">
        <x:v>1678</x:v>
      </x:c>
      <x:c r="B1692" s="40" t="n">
        <x:v>0.963657442610793</x:v>
      </x:c>
      <x:c r="C1692" t="n">
        <x:f>LOOKUP(B1692,$E$4:$E$9,$A$4:$A$9)</x:f>
        <x:v>5</x:v>
      </x:c>
    </x:row>
    <x:row r="1693">
      <x:c r="A1693" t="n">
        <x:v>1679</x:v>
      </x:c>
      <x:c r="B1693" s="40" t="n">
        <x:v>0.9114872052347894</x:v>
      </x:c>
      <x:c r="C1693" t="n">
        <x:f>LOOKUP(B1693,$E$4:$E$9,$A$4:$A$9)</x:f>
        <x:v>5</x:v>
      </x:c>
    </x:row>
    <x:row r="1694">
      <x:c r="A1694" t="n">
        <x:v>1680</x:v>
      </x:c>
      <x:c r="B1694" s="40" t="n">
        <x:v>0.9729051002113627</x:v>
      </x:c>
      <x:c r="C1694" t="n">
        <x:f>LOOKUP(B1694,$E$4:$E$9,$A$4:$A$9)</x:f>
        <x:v>5</x:v>
      </x:c>
    </x:row>
    <x:row r="1695">
      <x:c r="A1695" t="n">
        <x:v>1681</x:v>
      </x:c>
      <x:c r="B1695" s="40" t="n">
        <x:v>0.996919572209523</x:v>
      </x:c>
      <x:c r="C1695" t="n">
        <x:f>LOOKUP(B1695,$E$4:$E$9,$A$4:$A$9)</x:f>
        <x:v>5</x:v>
      </x:c>
    </x:row>
    <x:row r="1696">
      <x:c r="A1696" t="n">
        <x:v>1682</x:v>
      </x:c>
      <x:c r="B1696" s="40" t="n">
        <x:v>0.669800095180972</x:v>
      </x:c>
      <x:c r="C1696" t="n">
        <x:f>LOOKUP(B1696,$E$4:$E$9,$A$4:$A$9)</x:f>
        <x:v>3</x:v>
      </x:c>
    </x:row>
    <x:row r="1697">
      <x:c r="A1697" t="n">
        <x:v>1683</x:v>
      </x:c>
      <x:c r="B1697" s="40" t="n">
        <x:v>0.4516854958057447</x:v>
      </x:c>
      <x:c r="C1697" t="n">
        <x:f>LOOKUP(B1697,$E$4:$E$9,$A$4:$A$9)</x:f>
        <x:v>2</x:v>
      </x:c>
    </x:row>
    <x:row r="1698">
      <x:c r="A1698" t="n">
        <x:v>1684</x:v>
      </x:c>
      <x:c r="B1698" s="40" t="n">
        <x:v>0.8507339014963048</x:v>
      </x:c>
      <x:c r="C1698" t="n">
        <x:f>LOOKUP(B1698,$E$4:$E$9,$A$4:$A$9)</x:f>
        <x:v>4</x:v>
      </x:c>
    </x:row>
    <x:row r="1699">
      <x:c r="A1699" t="n">
        <x:v>1685</x:v>
      </x:c>
      <x:c r="B1699" s="40" t="n">
        <x:v>0.023804877836338556</x:v>
      </x:c>
      <x:c r="C1699" t="n">
        <x:f>LOOKUP(B1699,$E$4:$E$9,$A$4:$A$9)</x:f>
        <x:v>0</x:v>
      </x:c>
    </x:row>
    <x:row r="1700">
      <x:c r="A1700" t="n">
        <x:v>1686</x:v>
      </x:c>
      <x:c r="B1700" s="40" t="n">
        <x:v>0.8344040447135034</x:v>
      </x:c>
      <x:c r="C1700" t="n">
        <x:f>LOOKUP(B1700,$E$4:$E$9,$A$4:$A$9)</x:f>
        <x:v>4</x:v>
      </x:c>
    </x:row>
    <x:row r="1701">
      <x:c r="A1701" t="n">
        <x:v>1687</x:v>
      </x:c>
      <x:c r="B1701" s="40" t="n">
        <x:v>0.49728602421100665</x:v>
      </x:c>
      <x:c r="C1701" t="n">
        <x:f>LOOKUP(B1701,$E$4:$E$9,$A$4:$A$9)</x:f>
        <x:v>2</x:v>
      </x:c>
    </x:row>
    <x:row r="1702">
      <x:c r="A1702" t="n">
        <x:v>1688</x:v>
      </x:c>
      <x:c r="B1702" s="40" t="n">
        <x:v>0.6732200270834178</x:v>
      </x:c>
      <x:c r="C1702" t="n">
        <x:f>LOOKUP(B1702,$E$4:$E$9,$A$4:$A$9)</x:f>
        <x:v>3</x:v>
      </x:c>
    </x:row>
    <x:row r="1703">
      <x:c r="A1703" t="n">
        <x:v>1689</x:v>
      </x:c>
      <x:c r="B1703" s="40" t="n">
        <x:v>0.3740460613425076</x:v>
      </x:c>
      <x:c r="C1703" t="n">
        <x:f>LOOKUP(B1703,$E$4:$E$9,$A$4:$A$9)</x:f>
        <x:v>2</x:v>
      </x:c>
    </x:row>
    <x:row r="1704">
      <x:c r="A1704" t="n">
        <x:v>1690</x:v>
      </x:c>
      <x:c r="B1704" s="40" t="n">
        <x:v>0.3686231538668159</x:v>
      </x:c>
      <x:c r="C1704" t="n">
        <x:f>LOOKUP(B1704,$E$4:$E$9,$A$4:$A$9)</x:f>
        <x:v>2</x:v>
      </x:c>
    </x:row>
    <x:row r="1705">
      <x:c r="A1705" t="n">
        <x:v>1691</x:v>
      </x:c>
      <x:c r="B1705" s="40" t="n">
        <x:v>0.03171715281088772</x:v>
      </x:c>
      <x:c r="C1705" t="n">
        <x:f>LOOKUP(B1705,$E$4:$E$9,$A$4:$A$9)</x:f>
        <x:v>0</x:v>
      </x:c>
    </x:row>
    <x:row r="1706">
      <x:c r="A1706" t="n">
        <x:v>1692</x:v>
      </x:c>
      <x:c r="B1706" s="40" t="n">
        <x:v>0.4237894304290133</x:v>
      </x:c>
      <x:c r="C1706" t="n">
        <x:f>LOOKUP(B1706,$E$4:$E$9,$A$4:$A$9)</x:f>
        <x:v>2</x:v>
      </x:c>
    </x:row>
    <x:row r="1707">
      <x:c r="A1707" t="n">
        <x:v>1693</x:v>
      </x:c>
      <x:c r="B1707" s="40" t="n">
        <x:v>0.40835419541933005</x:v>
      </x:c>
      <x:c r="C1707" t="n">
        <x:f>LOOKUP(B1707,$E$4:$E$9,$A$4:$A$9)</x:f>
        <x:v>2</x:v>
      </x:c>
    </x:row>
    <x:row r="1708">
      <x:c r="A1708" t="n">
        <x:v>1694</x:v>
      </x:c>
      <x:c r="B1708" s="40" t="n">
        <x:v>0.22479110186807127</x:v>
      </x:c>
      <x:c r="C1708" t="n">
        <x:f>LOOKUP(B1708,$E$4:$E$9,$A$4:$A$9)</x:f>
        <x:v>1</x:v>
      </x:c>
    </x:row>
    <x:row r="1709">
      <x:c r="A1709" t="n">
        <x:v>1695</x:v>
      </x:c>
      <x:c r="B1709" s="40" t="n">
        <x:v>0.24732327353976746</x:v>
      </x:c>
      <x:c r="C1709" t="n">
        <x:f>LOOKUP(B1709,$E$4:$E$9,$A$4:$A$9)</x:f>
        <x:v>1</x:v>
      </x:c>
    </x:row>
    <x:row r="1710">
      <x:c r="A1710" t="n">
        <x:v>1696</x:v>
      </x:c>
      <x:c r="B1710" s="40" t="n">
        <x:v>0.5841395804425117</x:v>
      </x:c>
      <x:c r="C1710" t="n">
        <x:f>LOOKUP(B1710,$E$4:$E$9,$A$4:$A$9)</x:f>
        <x:v>3</x:v>
      </x:c>
    </x:row>
    <x:row r="1711">
      <x:c r="A1711" t="n">
        <x:v>1697</x:v>
      </x:c>
      <x:c r="B1711" s="40" t="n">
        <x:v>0.31777144253950307</x:v>
      </x:c>
      <x:c r="C1711" t="n">
        <x:f>LOOKUP(B1711,$E$4:$E$9,$A$4:$A$9)</x:f>
        <x:v>2</x:v>
      </x:c>
    </x:row>
    <x:row r="1712">
      <x:c r="A1712" t="n">
        <x:v>1698</x:v>
      </x:c>
      <x:c r="B1712" s="40" t="n">
        <x:v>0.8302519090172897</x:v>
      </x:c>
      <x:c r="C1712" t="n">
        <x:f>LOOKUP(B1712,$E$4:$E$9,$A$4:$A$9)</x:f>
        <x:v>4</x:v>
      </x:c>
    </x:row>
    <x:row r="1713">
      <x:c r="A1713" t="n">
        <x:v>1699</x:v>
      </x:c>
      <x:c r="B1713" s="40" t="n">
        <x:v>0.11138510685706648</x:v>
      </x:c>
      <x:c r="C1713" t="n">
        <x:f>LOOKUP(B1713,$E$4:$E$9,$A$4:$A$9)</x:f>
        <x:v>1</x:v>
      </x:c>
    </x:row>
    <x:row r="1714">
      <x:c r="A1714" t="n">
        <x:v>1700</x:v>
      </x:c>
      <x:c r="B1714" s="40" t="n">
        <x:v>0.5776449465750436</x:v>
      </x:c>
      <x:c r="C1714" t="n">
        <x:f>LOOKUP(B1714,$E$4:$E$9,$A$4:$A$9)</x:f>
        <x:v>3</x:v>
      </x:c>
    </x:row>
    <x:row r="1715">
      <x:c r="A1715" t="n">
        <x:v>1701</x:v>
      </x:c>
      <x:c r="B1715" s="40" t="n">
        <x:v>0.16004472713910234</x:v>
      </x:c>
      <x:c r="C1715" t="n">
        <x:f>LOOKUP(B1715,$E$4:$E$9,$A$4:$A$9)</x:f>
        <x:v>1</x:v>
      </x:c>
    </x:row>
    <x:row r="1716">
      <x:c r="A1716" t="n">
        <x:v>1702</x:v>
      </x:c>
      <x:c r="B1716" s="40" t="n">
        <x:v>0.5282406269206588</x:v>
      </x:c>
      <x:c r="C1716" t="n">
        <x:f>LOOKUP(B1716,$E$4:$E$9,$A$4:$A$9)</x:f>
        <x:v>3</x:v>
      </x:c>
    </x:row>
    <x:row r="1717">
      <x:c r="A1717" t="n">
        <x:v>1703</x:v>
      </x:c>
      <x:c r="B1717" s="40" t="n">
        <x:v>0.5525458869503187</x:v>
      </x:c>
      <x:c r="C1717" t="n">
        <x:f>LOOKUP(B1717,$E$4:$E$9,$A$4:$A$9)</x:f>
        <x:v>3</x:v>
      </x:c>
    </x:row>
    <x:row r="1718">
      <x:c r="A1718" t="n">
        <x:v>1704</x:v>
      </x:c>
      <x:c r="B1718" s="40" t="n">
        <x:v>0.6422976865257292</x:v>
      </x:c>
      <x:c r="C1718" t="n">
        <x:f>LOOKUP(B1718,$E$4:$E$9,$A$4:$A$9)</x:f>
        <x:v>3</x:v>
      </x:c>
    </x:row>
    <x:row r="1719">
      <x:c r="A1719" t="n">
        <x:v>1705</x:v>
      </x:c>
      <x:c r="B1719" s="40" t="n">
        <x:v>0.4274249472728937</x:v>
      </x:c>
      <x:c r="C1719" t="n">
        <x:f>LOOKUP(B1719,$E$4:$E$9,$A$4:$A$9)</x:f>
        <x:v>2</x:v>
      </x:c>
    </x:row>
    <x:row r="1720">
      <x:c r="A1720" t="n">
        <x:v>1706</x:v>
      </x:c>
      <x:c r="B1720" s="40" t="n">
        <x:v>0.5094746851292544</x:v>
      </x:c>
      <x:c r="C1720" t="n">
        <x:f>LOOKUP(B1720,$E$4:$E$9,$A$4:$A$9)</x:f>
        <x:v>3</x:v>
      </x:c>
    </x:row>
    <x:row r="1721">
      <x:c r="A1721" t="n">
        <x:v>1707</x:v>
      </x:c>
      <x:c r="B1721" s="40" t="n">
        <x:v>0.18095261608129332</x:v>
      </x:c>
      <x:c r="C1721" t="n">
        <x:f>LOOKUP(B1721,$E$4:$E$9,$A$4:$A$9)</x:f>
        <x:v>1</x:v>
      </x:c>
    </x:row>
    <x:row r="1722">
      <x:c r="A1722" t="n">
        <x:v>1708</x:v>
      </x:c>
      <x:c r="B1722" s="40" t="n">
        <x:v>0.46301534973632963</x:v>
      </x:c>
      <x:c r="C1722" t="n">
        <x:f>LOOKUP(B1722,$E$4:$E$9,$A$4:$A$9)</x:f>
        <x:v>2</x:v>
      </x:c>
    </x:row>
    <x:row r="1723">
      <x:c r="A1723" t="n">
        <x:v>1709</x:v>
      </x:c>
      <x:c r="B1723" s="40" t="n">
        <x:v>0.37303038909429054</x:v>
      </x:c>
      <x:c r="C1723" t="n">
        <x:f>LOOKUP(B1723,$E$4:$E$9,$A$4:$A$9)</x:f>
        <x:v>2</x:v>
      </x:c>
    </x:row>
    <x:row r="1724">
      <x:c r="A1724" t="n">
        <x:v>1710</x:v>
      </x:c>
      <x:c r="B1724" s="40" t="n">
        <x:v>0.6661311046544097</x:v>
      </x:c>
      <x:c r="C1724" t="n">
        <x:f>LOOKUP(B1724,$E$4:$E$9,$A$4:$A$9)</x:f>
        <x:v>3</x:v>
      </x:c>
    </x:row>
    <x:row r="1725">
      <x:c r="A1725" t="n">
        <x:v>1711</x:v>
      </x:c>
      <x:c r="B1725" s="40" t="n">
        <x:v>0.43482172349648607</x:v>
      </x:c>
      <x:c r="C1725" t="n">
        <x:f>LOOKUP(B1725,$E$4:$E$9,$A$4:$A$9)</x:f>
        <x:v>2</x:v>
      </x:c>
    </x:row>
    <x:row r="1726">
      <x:c r="A1726" t="n">
        <x:v>1712</x:v>
      </x:c>
      <x:c r="B1726" s="40" t="n">
        <x:v>0.7793416509802202</x:v>
      </x:c>
      <x:c r="C1726" t="n">
        <x:f>LOOKUP(B1726,$E$4:$E$9,$A$4:$A$9)</x:f>
        <x:v>4</x:v>
      </x:c>
    </x:row>
    <x:row r="1727">
      <x:c r="A1727" t="n">
        <x:v>1713</x:v>
      </x:c>
      <x:c r="B1727" s="40" t="n">
        <x:v>0.42599209857369214</x:v>
      </x:c>
      <x:c r="C1727" t="n">
        <x:f>LOOKUP(B1727,$E$4:$E$9,$A$4:$A$9)</x:f>
        <x:v>2</x:v>
      </x:c>
    </x:row>
    <x:row r="1728">
      <x:c r="A1728" t="n">
        <x:v>1714</x:v>
      </x:c>
      <x:c r="B1728" s="40" t="n">
        <x:v>0.23577117297395866</x:v>
      </x:c>
      <x:c r="C1728" t="n">
        <x:f>LOOKUP(B1728,$E$4:$E$9,$A$4:$A$9)</x:f>
        <x:v>1</x:v>
      </x:c>
    </x:row>
    <x:row r="1729">
      <x:c r="A1729" t="n">
        <x:v>1715</x:v>
      </x:c>
      <x:c r="B1729" s="40" t="n">
        <x:v>0.2736887189585846</x:v>
      </x:c>
      <x:c r="C1729" t="n">
        <x:f>LOOKUP(B1729,$E$4:$E$9,$A$4:$A$9)</x:f>
        <x:v>2</x:v>
      </x:c>
    </x:row>
    <x:row r="1730">
      <x:c r="A1730" t="n">
        <x:v>1716</x:v>
      </x:c>
      <x:c r="B1730" s="40" t="n">
        <x:v>0.04528522509163657</x:v>
      </x:c>
      <x:c r="C1730" t="n">
        <x:f>LOOKUP(B1730,$E$4:$E$9,$A$4:$A$9)</x:f>
        <x:v>0</x:v>
      </x:c>
    </x:row>
    <x:row r="1731">
      <x:c r="A1731" t="n">
        <x:v>1717</x:v>
      </x:c>
      <x:c r="B1731" s="40" t="n">
        <x:v>0.5399188106009101</x:v>
      </x:c>
      <x:c r="C1731" t="n">
        <x:f>LOOKUP(B1731,$E$4:$E$9,$A$4:$A$9)</x:f>
        <x:v>3</x:v>
      </x:c>
    </x:row>
    <x:row r="1732">
      <x:c r="A1732" t="n">
        <x:v>1718</x:v>
      </x:c>
      <x:c r="B1732" s="40" t="n">
        <x:v>0.8308808839003218</x:v>
      </x:c>
      <x:c r="C1732" t="n">
        <x:f>LOOKUP(B1732,$E$4:$E$9,$A$4:$A$9)</x:f>
        <x:v>4</x:v>
      </x:c>
    </x:row>
    <x:row r="1733">
      <x:c r="A1733" t="n">
        <x:v>1719</x:v>
      </x:c>
      <x:c r="B1733" s="40" t="n">
        <x:v>0.7691117068175701</x:v>
      </x:c>
      <x:c r="C1733" t="n">
        <x:f>LOOKUP(B1733,$E$4:$E$9,$A$4:$A$9)</x:f>
        <x:v>4</x:v>
      </x:c>
    </x:row>
    <x:row r="1734">
      <x:c r="A1734" t="n">
        <x:v>1720</x:v>
      </x:c>
      <x:c r="B1734" s="40" t="n">
        <x:v>0.4377894663384714</x:v>
      </x:c>
      <x:c r="C1734" t="n">
        <x:f>LOOKUP(B1734,$E$4:$E$9,$A$4:$A$9)</x:f>
        <x:v>2</x:v>
      </x:c>
    </x:row>
    <x:row r="1735">
      <x:c r="A1735" t="n">
        <x:v>1721</x:v>
      </x:c>
      <x:c r="B1735" s="40" t="n">
        <x:v>0.1961203551445122</x:v>
      </x:c>
      <x:c r="C1735" t="n">
        <x:f>LOOKUP(B1735,$E$4:$E$9,$A$4:$A$9)</x:f>
        <x:v>1</x:v>
      </x:c>
    </x:row>
    <x:row r="1736">
      <x:c r="A1736" t="n">
        <x:v>1722</x:v>
      </x:c>
      <x:c r="B1736" s="40" t="n">
        <x:v>0.8634844432974528</x:v>
      </x:c>
      <x:c r="C1736" t="n">
        <x:f>LOOKUP(B1736,$E$4:$E$9,$A$4:$A$9)</x:f>
        <x:v>4</x:v>
      </x:c>
    </x:row>
    <x:row r="1737">
      <x:c r="A1737" t="n">
        <x:v>1723</x:v>
      </x:c>
      <x:c r="B1737" s="40" t="n">
        <x:v>0.0567810340450684</x:v>
      </x:c>
      <x:c r="C1737" t="n">
        <x:f>LOOKUP(B1737,$E$4:$E$9,$A$4:$A$9)</x:f>
        <x:v>0</x:v>
      </x:c>
    </x:row>
    <x:row r="1738">
      <x:c r="A1738" t="n">
        <x:v>1724</x:v>
      </x:c>
      <x:c r="B1738" s="40" t="n">
        <x:v>0.399222725202494</x:v>
      </x:c>
      <x:c r="C1738" t="n">
        <x:f>LOOKUP(B1738,$E$4:$E$9,$A$4:$A$9)</x:f>
        <x:v>2</x:v>
      </x:c>
    </x:row>
    <x:row r="1739">
      <x:c r="A1739" t="n">
        <x:v>1725</x:v>
      </x:c>
      <x:c r="B1739" s="40" t="n">
        <x:v>0.8566151423839511</x:v>
      </x:c>
      <x:c r="C1739" t="n">
        <x:f>LOOKUP(B1739,$E$4:$E$9,$A$4:$A$9)</x:f>
        <x:v>4</x:v>
      </x:c>
    </x:row>
    <x:row r="1740">
      <x:c r="A1740" t="n">
        <x:v>1726</x:v>
      </x:c>
      <x:c r="B1740" s="40" t="n">
        <x:v>0.3931766874041964</x:v>
      </x:c>
      <x:c r="C1740" t="n">
        <x:f>LOOKUP(B1740,$E$4:$E$9,$A$4:$A$9)</x:f>
        <x:v>2</x:v>
      </x:c>
    </x:row>
    <x:row r="1741">
      <x:c r="A1741" t="n">
        <x:v>1727</x:v>
      </x:c>
      <x:c r="B1741" s="40" t="n">
        <x:v>0.11787547075695992</x:v>
      </x:c>
      <x:c r="C1741" t="n">
        <x:f>LOOKUP(B1741,$E$4:$E$9,$A$4:$A$9)</x:f>
        <x:v>1</x:v>
      </x:c>
    </x:row>
    <x:row r="1742">
      <x:c r="A1742" t="n">
        <x:v>1728</x:v>
      </x:c>
      <x:c r="B1742" s="40" t="n">
        <x:v>0.2659495003457961</x:v>
      </x:c>
      <x:c r="C1742" t="n">
        <x:f>LOOKUP(B1742,$E$4:$E$9,$A$4:$A$9)</x:f>
        <x:v>2</x:v>
      </x:c>
    </x:row>
    <x:row r="1743">
      <x:c r="A1743" t="n">
        <x:v>1729</x:v>
      </x:c>
      <x:c r="B1743" s="40" t="n">
        <x:v>0.6000294417429484</x:v>
      </x:c>
      <x:c r="C1743" t="n">
        <x:f>LOOKUP(B1743,$E$4:$E$9,$A$4:$A$9)</x:f>
        <x:v>3</x:v>
      </x:c>
    </x:row>
    <x:row r="1744">
      <x:c r="A1744" t="n">
        <x:v>1730</x:v>
      </x:c>
      <x:c r="B1744" s="40" t="n">
        <x:v>0.15203590769457087</x:v>
      </x:c>
      <x:c r="C1744" t="n">
        <x:f>LOOKUP(B1744,$E$4:$E$9,$A$4:$A$9)</x:f>
        <x:v>1</x:v>
      </x:c>
    </x:row>
    <x:row r="1745">
      <x:c r="A1745" t="n">
        <x:v>1731</x:v>
      </x:c>
      <x:c r="B1745" s="40" t="n">
        <x:v>0.6549353268423558</x:v>
      </x:c>
      <x:c r="C1745" t="n">
        <x:f>LOOKUP(B1745,$E$4:$E$9,$A$4:$A$9)</x:f>
        <x:v>3</x:v>
      </x:c>
    </x:row>
    <x:row r="1746">
      <x:c r="A1746" t="n">
        <x:v>1732</x:v>
      </x:c>
      <x:c r="B1746" s="40" t="n">
        <x:v>0.43816193119924574</x:v>
      </x:c>
      <x:c r="C1746" t="n">
        <x:f>LOOKUP(B1746,$E$4:$E$9,$A$4:$A$9)</x:f>
        <x:v>2</x:v>
      </x:c>
    </x:row>
    <x:row r="1747">
      <x:c r="A1747" t="n">
        <x:v>1733</x:v>
      </x:c>
      <x:c r="B1747" s="40" t="n">
        <x:v>0.3343895008205219</x:v>
      </x:c>
      <x:c r="C1747" t="n">
        <x:f>LOOKUP(B1747,$E$4:$E$9,$A$4:$A$9)</x:f>
        <x:v>2</x:v>
      </x:c>
    </x:row>
    <x:row r="1748">
      <x:c r="A1748" t="n">
        <x:v>1734</x:v>
      </x:c>
      <x:c r="B1748" s="40" t="n">
        <x:v>0.24092548052316387</x:v>
      </x:c>
      <x:c r="C1748" t="n">
        <x:f>LOOKUP(B1748,$E$4:$E$9,$A$4:$A$9)</x:f>
        <x:v>1</x:v>
      </x:c>
    </x:row>
    <x:row r="1749">
      <x:c r="A1749" t="n">
        <x:v>1735</x:v>
      </x:c>
      <x:c r="B1749" s="40" t="n">
        <x:v>0.8233299858567095</x:v>
      </x:c>
      <x:c r="C1749" t="n">
        <x:f>LOOKUP(B1749,$E$4:$E$9,$A$4:$A$9)</x:f>
        <x:v>4</x:v>
      </x:c>
    </x:row>
    <x:row r="1750">
      <x:c r="A1750" t="n">
        <x:v>1736</x:v>
      </x:c>
      <x:c r="B1750" s="40" t="n">
        <x:v>0.39667394746340157</x:v>
      </x:c>
      <x:c r="C1750" t="n">
        <x:f>LOOKUP(B1750,$E$4:$E$9,$A$4:$A$9)</x:f>
        <x:v>2</x:v>
      </x:c>
    </x:row>
    <x:row r="1751">
      <x:c r="A1751" t="n">
        <x:v>1737</x:v>
      </x:c>
      <x:c r="B1751" s="40" t="n">
        <x:v>0.7384792656062277</x:v>
      </x:c>
      <x:c r="C1751" t="n">
        <x:f>LOOKUP(B1751,$E$4:$E$9,$A$4:$A$9)</x:f>
        <x:v>3</x:v>
      </x:c>
    </x:row>
    <x:row r="1752">
      <x:c r="A1752" t="n">
        <x:v>1738</x:v>
      </x:c>
      <x:c r="B1752" s="40" t="n">
        <x:v>0.44035519263738443</x:v>
      </x:c>
      <x:c r="C1752" t="n">
        <x:f>LOOKUP(B1752,$E$4:$E$9,$A$4:$A$9)</x:f>
        <x:v>2</x:v>
      </x:c>
    </x:row>
    <x:row r="1753">
      <x:c r="A1753" t="n">
        <x:v>1739</x:v>
      </x:c>
      <x:c r="B1753" s="40" t="n">
        <x:v>0.09186718688677942</x:v>
      </x:c>
      <x:c r="C1753" t="n">
        <x:f>LOOKUP(B1753,$E$4:$E$9,$A$4:$A$9)</x:f>
        <x:v>1</x:v>
      </x:c>
    </x:row>
    <x:row r="1754">
      <x:c r="A1754" t="n">
        <x:v>1740</x:v>
      </x:c>
      <x:c r="B1754" s="40" t="n">
        <x:v>0.4405059751672604</x:v>
      </x:c>
      <x:c r="C1754" t="n">
        <x:f>LOOKUP(B1754,$E$4:$E$9,$A$4:$A$9)</x:f>
        <x:v>2</x:v>
      </x:c>
    </x:row>
    <x:row r="1755">
      <x:c r="A1755" t="n">
        <x:v>1741</x:v>
      </x:c>
      <x:c r="B1755" s="40" t="n">
        <x:v>0.507687779735764</x:v>
      </x:c>
      <x:c r="C1755" t="n">
        <x:f>LOOKUP(B1755,$E$4:$E$9,$A$4:$A$9)</x:f>
        <x:v>3</x:v>
      </x:c>
    </x:row>
    <x:row r="1756">
      <x:c r="A1756" t="n">
        <x:v>1742</x:v>
      </x:c>
      <x:c r="B1756" s="40" t="n">
        <x:v>0.45784219349337685</x:v>
      </x:c>
      <x:c r="C1756" t="n">
        <x:f>LOOKUP(B1756,$E$4:$E$9,$A$4:$A$9)</x:f>
        <x:v>2</x:v>
      </x:c>
    </x:row>
    <x:row r="1757">
      <x:c r="A1757" t="n">
        <x:v>1743</x:v>
      </x:c>
      <x:c r="B1757" s="40" t="n">
        <x:v>0.8162417117482725</x:v>
      </x:c>
      <x:c r="C1757" t="n">
        <x:f>LOOKUP(B1757,$E$4:$E$9,$A$4:$A$9)</x:f>
        <x:v>4</x:v>
      </x:c>
    </x:row>
    <x:row r="1758">
      <x:c r="A1758" t="n">
        <x:v>1744</x:v>
      </x:c>
      <x:c r="B1758" s="40" t="n">
        <x:v>0.9108513490430293</x:v>
      </x:c>
      <x:c r="C1758" t="n">
        <x:f>LOOKUP(B1758,$E$4:$E$9,$A$4:$A$9)</x:f>
        <x:v>5</x:v>
      </x:c>
    </x:row>
    <x:row r="1759">
      <x:c r="A1759" t="n">
        <x:v>1745</x:v>
      </x:c>
      <x:c r="B1759" s="40" t="n">
        <x:v>0.786778675211034</x:v>
      </x:c>
      <x:c r="C1759" t="n">
        <x:f>LOOKUP(B1759,$E$4:$E$9,$A$4:$A$9)</x:f>
        <x:v>4</x:v>
      </x:c>
    </x:row>
    <x:row r="1760">
      <x:c r="A1760" t="n">
        <x:v>1746</x:v>
      </x:c>
      <x:c r="B1760" s="40" t="n">
        <x:v>0.5827819022109597</x:v>
      </x:c>
      <x:c r="C1760" t="n">
        <x:f>LOOKUP(B1760,$E$4:$E$9,$A$4:$A$9)</x:f>
        <x:v>3</x:v>
      </x:c>
    </x:row>
    <x:row r="1761">
      <x:c r="A1761" t="n">
        <x:v>1747</x:v>
      </x:c>
      <x:c r="B1761" s="40" t="n">
        <x:v>0.5414499605548907</x:v>
      </x:c>
      <x:c r="C1761" t="n">
        <x:f>LOOKUP(B1761,$E$4:$E$9,$A$4:$A$9)</x:f>
        <x:v>3</x:v>
      </x:c>
    </x:row>
    <x:row r="1762">
      <x:c r="A1762" t="n">
        <x:v>1748</x:v>
      </x:c>
      <x:c r="B1762" s="40" t="n">
        <x:v>0.644616030123659</x:v>
      </x:c>
      <x:c r="C1762" t="n">
        <x:f>LOOKUP(B1762,$E$4:$E$9,$A$4:$A$9)</x:f>
        <x:v>3</x:v>
      </x:c>
    </x:row>
    <x:row r="1763">
      <x:c r="A1763" t="n">
        <x:v>1749</x:v>
      </x:c>
      <x:c r="B1763" s="40" t="n">
        <x:v>0.2878302964393745</x:v>
      </x:c>
      <x:c r="C1763" t="n">
        <x:f>LOOKUP(B1763,$E$4:$E$9,$A$4:$A$9)</x:f>
        <x:v>2</x:v>
      </x:c>
    </x:row>
    <x:row r="1764">
      <x:c r="A1764" t="n">
        <x:v>1750</x:v>
      </x:c>
      <x:c r="B1764" s="40" t="n">
        <x:v>0.8118468461486851</x:v>
      </x:c>
      <x:c r="C1764" t="n">
        <x:f>LOOKUP(B1764,$E$4:$E$9,$A$4:$A$9)</x:f>
        <x:v>4</x:v>
      </x:c>
    </x:row>
    <x:row r="1765">
      <x:c r="A1765" t="n">
        <x:v>1751</x:v>
      </x:c>
      <x:c r="B1765" s="40" t="n">
        <x:v>0.8568481776036609</x:v>
      </x:c>
      <x:c r="C1765" t="n">
        <x:f>LOOKUP(B1765,$E$4:$E$9,$A$4:$A$9)</x:f>
        <x:v>4</x:v>
      </x:c>
    </x:row>
    <x:row r="1766">
      <x:c r="A1766" t="n">
        <x:v>1752</x:v>
      </x:c>
      <x:c r="B1766" s="40" t="n">
        <x:v>0.26721716318183053</x:v>
      </x:c>
      <x:c r="C1766" t="n">
        <x:f>LOOKUP(B1766,$E$4:$E$9,$A$4:$A$9)</x:f>
        <x:v>2</x:v>
      </x:c>
    </x:row>
    <x:row r="1767">
      <x:c r="A1767" t="n">
        <x:v>1753</x:v>
      </x:c>
      <x:c r="B1767" s="40" t="n">
        <x:v>0.9028182081400776</x:v>
      </x:c>
      <x:c r="C1767" t="n">
        <x:f>LOOKUP(B1767,$E$4:$E$9,$A$4:$A$9)</x:f>
        <x:v>5</x:v>
      </x:c>
    </x:row>
    <x:row r="1768">
      <x:c r="A1768" t="n">
        <x:v>1754</x:v>
      </x:c>
      <x:c r="B1768" s="40" t="n">
        <x:v>0.8487327239916674</x:v>
      </x:c>
      <x:c r="C1768" t="n">
        <x:f>LOOKUP(B1768,$E$4:$E$9,$A$4:$A$9)</x:f>
        <x:v>4</x:v>
      </x:c>
    </x:row>
    <x:row r="1769">
      <x:c r="A1769" t="n">
        <x:v>1755</x:v>
      </x:c>
      <x:c r="B1769" s="40" t="n">
        <x:v>0.42448676748251024</x:v>
      </x:c>
      <x:c r="C1769" t="n">
        <x:f>LOOKUP(B1769,$E$4:$E$9,$A$4:$A$9)</x:f>
        <x:v>2</x:v>
      </x:c>
    </x:row>
    <x:row r="1770">
      <x:c r="A1770" t="n">
        <x:v>1756</x:v>
      </x:c>
      <x:c r="B1770" s="40" t="n">
        <x:v>0.9090002020927456</x:v>
      </x:c>
      <x:c r="C1770" t="n">
        <x:f>LOOKUP(B1770,$E$4:$E$9,$A$4:$A$9)</x:f>
        <x:v>5</x:v>
      </x:c>
    </x:row>
    <x:row r="1771">
      <x:c r="A1771" t="n">
        <x:v>1757</x:v>
      </x:c>
      <x:c r="B1771" s="40" t="n">
        <x:v>0.12043899381150813</x:v>
      </x:c>
      <x:c r="C1771" t="n">
        <x:f>LOOKUP(B1771,$E$4:$E$9,$A$4:$A$9)</x:f>
        <x:v>1</x:v>
      </x:c>
    </x:row>
    <x:row r="1772">
      <x:c r="A1772" t="n">
        <x:v>1758</x:v>
      </x:c>
      <x:c r="B1772" s="40" t="n">
        <x:v>0.027986559208900363</x:v>
      </x:c>
      <x:c r="C1772" t="n">
        <x:f>LOOKUP(B1772,$E$4:$E$9,$A$4:$A$9)</x:f>
        <x:v>0</x:v>
      </x:c>
    </x:row>
    <x:row r="1773">
      <x:c r="A1773" t="n">
        <x:v>1759</x:v>
      </x:c>
      <x:c r="B1773" s="40" t="n">
        <x:v>0.34786682559405435</x:v>
      </x:c>
      <x:c r="C1773" t="n">
        <x:f>LOOKUP(B1773,$E$4:$E$9,$A$4:$A$9)</x:f>
        <x:v>2</x:v>
      </x:c>
    </x:row>
    <x:row r="1774">
      <x:c r="A1774" t="n">
        <x:v>1760</x:v>
      </x:c>
      <x:c r="B1774" s="40" t="n">
        <x:v>0.565435698827345</x:v>
      </x:c>
      <x:c r="C1774" t="n">
        <x:f>LOOKUP(B1774,$E$4:$E$9,$A$4:$A$9)</x:f>
        <x:v>3</x:v>
      </x:c>
    </x:row>
    <x:row r="1775">
      <x:c r="A1775" t="n">
        <x:v>1761</x:v>
      </x:c>
      <x:c r="B1775" s="40" t="n">
        <x:v>0.3514426145328662</x:v>
      </x:c>
      <x:c r="C1775" t="n">
        <x:f>LOOKUP(B1775,$E$4:$E$9,$A$4:$A$9)</x:f>
        <x:v>2</x:v>
      </x:c>
    </x:row>
    <x:row r="1776">
      <x:c r="A1776" t="n">
        <x:v>1762</x:v>
      </x:c>
      <x:c r="B1776" s="40" t="n">
        <x:v>0.9420677336713595</x:v>
      </x:c>
      <x:c r="C1776" t="n">
        <x:f>LOOKUP(B1776,$E$4:$E$9,$A$4:$A$9)</x:f>
        <x:v>5</x:v>
      </x:c>
    </x:row>
    <x:row r="1777">
      <x:c r="A1777" t="n">
        <x:v>1763</x:v>
      </x:c>
      <x:c r="B1777" s="40" t="n">
        <x:v>0.25471022905514507</x:v>
      </x:c>
      <x:c r="C1777" t="n">
        <x:f>LOOKUP(B1777,$E$4:$E$9,$A$4:$A$9)</x:f>
        <x:v>2</x:v>
      </x:c>
    </x:row>
    <x:row r="1778">
      <x:c r="A1778" t="n">
        <x:v>1764</x:v>
      </x:c>
      <x:c r="B1778" s="40" t="n">
        <x:v>0.28121339359267894</x:v>
      </x:c>
      <x:c r="C1778" t="n">
        <x:f>LOOKUP(B1778,$E$4:$E$9,$A$4:$A$9)</x:f>
        <x:v>2</x:v>
      </x:c>
    </x:row>
    <x:row r="1779">
      <x:c r="A1779" t="n">
        <x:v>1765</x:v>
      </x:c>
      <x:c r="B1779" s="40" t="n">
        <x:v>0.6348276125448551</x:v>
      </x:c>
      <x:c r="C1779" t="n">
        <x:f>LOOKUP(B1779,$E$4:$E$9,$A$4:$A$9)</x:f>
        <x:v>3</x:v>
      </x:c>
    </x:row>
    <x:row r="1780">
      <x:c r="A1780" t="n">
        <x:v>1766</x:v>
      </x:c>
      <x:c r="B1780" s="40" t="n">
        <x:v>0.0038638823417082024</x:v>
      </x:c>
      <x:c r="C1780" t="n">
        <x:f>LOOKUP(B1780,$E$4:$E$9,$A$4:$A$9)</x:f>
        <x:v>0</x:v>
      </x:c>
    </x:row>
    <x:row r="1781">
      <x:c r="A1781" t="n">
        <x:v>1767</x:v>
      </x:c>
      <x:c r="B1781" s="40" t="n">
        <x:v>0.7275570523545992</x:v>
      </x:c>
      <x:c r="C1781" t="n">
        <x:f>LOOKUP(B1781,$E$4:$E$9,$A$4:$A$9)</x:f>
        <x:v>3</x:v>
      </x:c>
    </x:row>
    <x:row r="1782">
      <x:c r="A1782" t="n">
        <x:v>1768</x:v>
      </x:c>
      <x:c r="B1782" s="40" t="n">
        <x:v>0.3774694830931572</x:v>
      </x:c>
      <x:c r="C1782" t="n">
        <x:f>LOOKUP(B1782,$E$4:$E$9,$A$4:$A$9)</x:f>
        <x:v>2</x:v>
      </x:c>
    </x:row>
    <x:row r="1783">
      <x:c r="A1783" t="n">
        <x:v>1769</x:v>
      </x:c>
      <x:c r="B1783" s="40" t="n">
        <x:v>0.977747867643296</x:v>
      </x:c>
      <x:c r="C1783" t="n">
        <x:f>LOOKUP(B1783,$E$4:$E$9,$A$4:$A$9)</x:f>
        <x:v>5</x:v>
      </x:c>
    </x:row>
    <x:row r="1784">
      <x:c r="A1784" t="n">
        <x:v>1770</x:v>
      </x:c>
      <x:c r="B1784" s="40" t="n">
        <x:v>0.6914175930297486</x:v>
      </x:c>
      <x:c r="C1784" t="n">
        <x:f>LOOKUP(B1784,$E$4:$E$9,$A$4:$A$9)</x:f>
        <x:v>3</x:v>
      </x:c>
    </x:row>
    <x:row r="1785">
      <x:c r="A1785" t="n">
        <x:v>1771</x:v>
      </x:c>
      <x:c r="B1785" s="40" t="n">
        <x:v>0.052214955082343084</x:v>
      </x:c>
      <x:c r="C1785" t="n">
        <x:f>LOOKUP(B1785,$E$4:$E$9,$A$4:$A$9)</x:f>
        <x:v>0</x:v>
      </x:c>
    </x:row>
    <x:row r="1786">
      <x:c r="A1786" t="n">
        <x:v>1772</x:v>
      </x:c>
      <x:c r="B1786" s="40" t="n">
        <x:v>0.09262780874197363</x:v>
      </x:c>
      <x:c r="C1786" t="n">
        <x:f>LOOKUP(B1786,$E$4:$E$9,$A$4:$A$9)</x:f>
        <x:v>1</x:v>
      </x:c>
    </x:row>
    <x:row r="1787">
      <x:c r="A1787" t="n">
        <x:v>1773</x:v>
      </x:c>
      <x:c r="B1787" s="40" t="n">
        <x:v>0.08816810692415855</x:v>
      </x:c>
      <x:c r="C1787" t="n">
        <x:f>LOOKUP(B1787,$E$4:$E$9,$A$4:$A$9)</x:f>
        <x:v>0</x:v>
      </x:c>
    </x:row>
    <x:row r="1788">
      <x:c r="A1788" t="n">
        <x:v>1774</x:v>
      </x:c>
      <x:c r="B1788" s="40" t="n">
        <x:v>0.9526222598919437</x:v>
      </x:c>
      <x:c r="C1788" t="n">
        <x:f>LOOKUP(B1788,$E$4:$E$9,$A$4:$A$9)</x:f>
        <x:v>5</x:v>
      </x:c>
    </x:row>
    <x:row r="1789">
      <x:c r="A1789" t="n">
        <x:v>1775</x:v>
      </x:c>
      <x:c r="B1789" s="40" t="n">
        <x:v>0.6840515412175877</x:v>
      </x:c>
      <x:c r="C1789" t="n">
        <x:f>LOOKUP(B1789,$E$4:$E$9,$A$4:$A$9)</x:f>
        <x:v>3</x:v>
      </x:c>
    </x:row>
    <x:row r="1790">
      <x:c r="A1790" t="n">
        <x:v>1776</x:v>
      </x:c>
      <x:c r="B1790" s="40" t="n">
        <x:v>0.4276060072889357</x:v>
      </x:c>
      <x:c r="C1790" t="n">
        <x:f>LOOKUP(B1790,$E$4:$E$9,$A$4:$A$9)</x:f>
        <x:v>2</x:v>
      </x:c>
    </x:row>
    <x:row r="1791">
      <x:c r="A1791" t="n">
        <x:v>1777</x:v>
      </x:c>
      <x:c r="B1791" s="40" t="n">
        <x:v>0.20048268988003104</x:v>
      </x:c>
      <x:c r="C1791" t="n">
        <x:f>LOOKUP(B1791,$E$4:$E$9,$A$4:$A$9)</x:f>
        <x:v>1</x:v>
      </x:c>
    </x:row>
    <x:row r="1792">
      <x:c r="A1792" t="n">
        <x:v>1778</x:v>
      </x:c>
      <x:c r="B1792" s="40" t="n">
        <x:v>0.8736397464358032</x:v>
      </x:c>
      <x:c r="C1792" t="n">
        <x:f>LOOKUP(B1792,$E$4:$E$9,$A$4:$A$9)</x:f>
        <x:v>4</x:v>
      </x:c>
    </x:row>
    <x:row r="1793">
      <x:c r="A1793" t="n">
        <x:v>1779</x:v>
      </x:c>
      <x:c r="B1793" s="40" t="n">
        <x:v>0.20155592767134045</x:v>
      </x:c>
      <x:c r="C1793" t="n">
        <x:f>LOOKUP(B1793,$E$4:$E$9,$A$4:$A$9)</x:f>
        <x:v>1</x:v>
      </x:c>
    </x:row>
    <x:row r="1794">
      <x:c r="A1794" t="n">
        <x:v>1780</x:v>
      </x:c>
      <x:c r="B1794" s="40" t="n">
        <x:v>0.7066792164758174</x:v>
      </x:c>
      <x:c r="C1794" t="n">
        <x:f>LOOKUP(B1794,$E$4:$E$9,$A$4:$A$9)</x:f>
        <x:v>3</x:v>
      </x:c>
    </x:row>
    <x:row r="1795">
      <x:c r="A1795" t="n">
        <x:v>1781</x:v>
      </x:c>
      <x:c r="B1795" s="40" t="n">
        <x:v>0.763324361545346</x:v>
      </x:c>
      <x:c r="C1795" t="n">
        <x:f>LOOKUP(B1795,$E$4:$E$9,$A$4:$A$9)</x:f>
        <x:v>4</x:v>
      </x:c>
    </x:row>
    <x:row r="1796">
      <x:c r="A1796" t="n">
        <x:v>1782</x:v>
      </x:c>
      <x:c r="B1796" s="40" t="n">
        <x:v>0.2946560888554083</x:v>
      </x:c>
      <x:c r="C1796" t="n">
        <x:f>LOOKUP(B1796,$E$4:$E$9,$A$4:$A$9)</x:f>
        <x:v>2</x:v>
      </x:c>
    </x:row>
    <x:row r="1797">
      <x:c r="A1797" t="n">
        <x:v>1783</x:v>
      </x:c>
      <x:c r="B1797" s="40" t="n">
        <x:v>0.5049147371706423</x:v>
      </x:c>
      <x:c r="C1797" t="n">
        <x:f>LOOKUP(B1797,$E$4:$E$9,$A$4:$A$9)</x:f>
        <x:v>2</x:v>
      </x:c>
    </x:row>
    <x:row r="1798">
      <x:c r="A1798" t="n">
        <x:v>1784</x:v>
      </x:c>
      <x:c r="B1798" s="40" t="n">
        <x:v>0.22298928231839388</x:v>
      </x:c>
      <x:c r="C1798" t="n">
        <x:f>LOOKUP(B1798,$E$4:$E$9,$A$4:$A$9)</x:f>
        <x:v>1</x:v>
      </x:c>
    </x:row>
    <x:row r="1799">
      <x:c r="A1799" t="n">
        <x:v>1785</x:v>
      </x:c>
      <x:c r="B1799" s="40" t="n">
        <x:v>0.3789296574554981</x:v>
      </x:c>
      <x:c r="C1799" t="n">
        <x:f>LOOKUP(B1799,$E$4:$E$9,$A$4:$A$9)</x:f>
        <x:v>2</x:v>
      </x:c>
    </x:row>
    <x:row r="1800">
      <x:c r="A1800" t="n">
        <x:v>1786</x:v>
      </x:c>
      <x:c r="B1800" s="40" t="n">
        <x:v>0.9651343982800088</x:v>
      </x:c>
      <x:c r="C1800" t="n">
        <x:f>LOOKUP(B1800,$E$4:$E$9,$A$4:$A$9)</x:f>
        <x:v>5</x:v>
      </x:c>
    </x:row>
    <x:row r="1801">
      <x:c r="A1801" t="n">
        <x:v>1787</x:v>
      </x:c>
      <x:c r="B1801" s="40" t="n">
        <x:v>0.6931380346544302</x:v>
      </x:c>
      <x:c r="C1801" t="n">
        <x:f>LOOKUP(B1801,$E$4:$E$9,$A$4:$A$9)</x:f>
        <x:v>3</x:v>
      </x:c>
    </x:row>
    <x:row r="1802">
      <x:c r="A1802" t="n">
        <x:v>1788</x:v>
      </x:c>
      <x:c r="B1802" s="40" t="n">
        <x:v>0.8466142061905151</x:v>
      </x:c>
      <x:c r="C1802" t="n">
        <x:f>LOOKUP(B1802,$E$4:$E$9,$A$4:$A$9)</x:f>
        <x:v>4</x:v>
      </x:c>
    </x:row>
    <x:row r="1803">
      <x:c r="A1803" t="n">
        <x:v>1789</x:v>
      </x:c>
      <x:c r="B1803" s="40" t="n">
        <x:v>0.540599571466741</x:v>
      </x:c>
      <x:c r="C1803" t="n">
        <x:f>LOOKUP(B1803,$E$4:$E$9,$A$4:$A$9)</x:f>
        <x:v>3</x:v>
      </x:c>
    </x:row>
    <x:row r="1804">
      <x:c r="A1804" t="n">
        <x:v>1790</x:v>
      </x:c>
      <x:c r="B1804" s="40" t="n">
        <x:v>0.23903974215135615</x:v>
      </x:c>
      <x:c r="C1804" t="n">
        <x:f>LOOKUP(B1804,$E$4:$E$9,$A$4:$A$9)</x:f>
        <x:v>1</x:v>
      </x:c>
    </x:row>
    <x:row r="1805">
      <x:c r="A1805" t="n">
        <x:v>1791</x:v>
      </x:c>
      <x:c r="B1805" s="40" t="n">
        <x:v>0.7128798566671936</x:v>
      </x:c>
      <x:c r="C1805" t="n">
        <x:f>LOOKUP(B1805,$E$4:$E$9,$A$4:$A$9)</x:f>
        <x:v>3</x:v>
      </x:c>
    </x:row>
    <x:row r="1806">
      <x:c r="A1806" t="n">
        <x:v>1792</x:v>
      </x:c>
      <x:c r="B1806" s="40" t="n">
        <x:v>0.5005679607905664</x:v>
      </x:c>
      <x:c r="C1806" t="n">
        <x:f>LOOKUP(B1806,$E$4:$E$9,$A$4:$A$9)</x:f>
        <x:v>2</x:v>
      </x:c>
    </x:row>
    <x:row r="1807">
      <x:c r="A1807" t="n">
        <x:v>1793</x:v>
      </x:c>
      <x:c r="B1807" s="40" t="n">
        <x:v>0.1768488681070587</x:v>
      </x:c>
      <x:c r="C1807" t="n">
        <x:f>LOOKUP(B1807,$E$4:$E$9,$A$4:$A$9)</x:f>
        <x:v>1</x:v>
      </x:c>
    </x:row>
    <x:row r="1808">
      <x:c r="A1808" t="n">
        <x:v>1794</x:v>
      </x:c>
      <x:c r="B1808" s="40" t="n">
        <x:v>0.41242988961821025</x:v>
      </x:c>
      <x:c r="C1808" t="n">
        <x:f>LOOKUP(B1808,$E$4:$E$9,$A$4:$A$9)</x:f>
        <x:v>2</x:v>
      </x:c>
    </x:row>
    <x:row r="1809">
      <x:c r="A1809" t="n">
        <x:v>1795</x:v>
      </x:c>
      <x:c r="B1809" s="40" t="n">
        <x:v>0.6348402190163059</x:v>
      </x:c>
      <x:c r="C1809" t="n">
        <x:f>LOOKUP(B1809,$E$4:$E$9,$A$4:$A$9)</x:f>
        <x:v>3</x:v>
      </x:c>
    </x:row>
    <x:row r="1810">
      <x:c r="A1810" t="n">
        <x:v>1796</x:v>
      </x:c>
      <x:c r="B1810" s="40" t="n">
        <x:v>0.7353318566822382</x:v>
      </x:c>
      <x:c r="C1810" t="n">
        <x:f>LOOKUP(B1810,$E$4:$E$9,$A$4:$A$9)</x:f>
        <x:v>3</x:v>
      </x:c>
    </x:row>
    <x:row r="1811">
      <x:c r="A1811" t="n">
        <x:v>1797</x:v>
      </x:c>
      <x:c r="B1811" s="40" t="n">
        <x:v>0.24322079589035173</x:v>
      </x:c>
      <x:c r="C1811" t="n">
        <x:f>LOOKUP(B1811,$E$4:$E$9,$A$4:$A$9)</x:f>
        <x:v>1</x:v>
      </x:c>
    </x:row>
    <x:row r="1812">
      <x:c r="A1812" t="n">
        <x:v>1798</x:v>
      </x:c>
      <x:c r="B1812" s="40" t="n">
        <x:v>0.8759973393493311</x:v>
      </x:c>
      <x:c r="C1812" t="n">
        <x:f>LOOKUP(B1812,$E$4:$E$9,$A$4:$A$9)</x:f>
        <x:v>4</x:v>
      </x:c>
    </x:row>
    <x:row r="1813">
      <x:c r="A1813" t="n">
        <x:v>1799</x:v>
      </x:c>
      <x:c r="B1813" s="40" t="n">
        <x:v>0.379551107074678</x:v>
      </x:c>
      <x:c r="C1813" t="n">
        <x:f>LOOKUP(B1813,$E$4:$E$9,$A$4:$A$9)</x:f>
        <x:v>2</x:v>
      </x:c>
    </x:row>
    <x:row r="1814">
      <x:c r="A1814" t="n">
        <x:v>1800</x:v>
      </x:c>
      <x:c r="B1814" s="40" t="n">
        <x:v>0.2711367178927484</x:v>
      </x:c>
      <x:c r="C1814" t="n">
        <x:f>LOOKUP(B1814,$E$4:$E$9,$A$4:$A$9)</x:f>
        <x:v>2</x:v>
      </x:c>
    </x:row>
    <x:row r="1815">
      <x:c r="A1815" t="n">
        <x:v>1801</x:v>
      </x:c>
      <x:c r="B1815" s="40" t="n">
        <x:v>0.1951200554537248</x:v>
      </x:c>
      <x:c r="C1815" t="n">
        <x:f>LOOKUP(B1815,$E$4:$E$9,$A$4:$A$9)</x:f>
        <x:v>1</x:v>
      </x:c>
    </x:row>
    <x:row r="1816">
      <x:c r="A1816" t="n">
        <x:v>1802</x:v>
      </x:c>
      <x:c r="B1816" s="40" t="n">
        <x:v>0.8041713344029736</x:v>
      </x:c>
      <x:c r="C1816" t="n">
        <x:f>LOOKUP(B1816,$E$4:$E$9,$A$4:$A$9)</x:f>
        <x:v>4</x:v>
      </x:c>
    </x:row>
    <x:row r="1817">
      <x:c r="A1817" t="n">
        <x:v>1803</x:v>
      </x:c>
      <x:c r="B1817" s="40" t="n">
        <x:v>0.35416457496606246</x:v>
      </x:c>
      <x:c r="C1817" t="n">
        <x:f>LOOKUP(B1817,$E$4:$E$9,$A$4:$A$9)</x:f>
        <x:v>2</x:v>
      </x:c>
    </x:row>
    <x:row r="1818">
      <x:c r="A1818" t="n">
        <x:v>1804</x:v>
      </x:c>
      <x:c r="B1818" s="40" t="n">
        <x:v>0.48339902788793465</x:v>
      </x:c>
      <x:c r="C1818" t="n">
        <x:f>LOOKUP(B1818,$E$4:$E$9,$A$4:$A$9)</x:f>
        <x:v>2</x:v>
      </x:c>
    </x:row>
    <x:row r="1819">
      <x:c r="A1819" t="n">
        <x:v>1805</x:v>
      </x:c>
      <x:c r="B1819" s="40" t="n">
        <x:v>0.22281982356387564</x:v>
      </x:c>
      <x:c r="C1819" t="n">
        <x:f>LOOKUP(B1819,$E$4:$E$9,$A$4:$A$9)</x:f>
        <x:v>1</x:v>
      </x:c>
    </x:row>
    <x:row r="1820">
      <x:c r="A1820" t="n">
        <x:v>1806</x:v>
      </x:c>
      <x:c r="B1820" s="40" t="n">
        <x:v>0.6860910711689315</x:v>
      </x:c>
      <x:c r="C1820" t="n">
        <x:f>LOOKUP(B1820,$E$4:$E$9,$A$4:$A$9)</x:f>
        <x:v>3</x:v>
      </x:c>
    </x:row>
    <x:row r="1821">
      <x:c r="A1821" t="n">
        <x:v>1807</x:v>
      </x:c>
      <x:c r="B1821" s="40" t="n">
        <x:v>0.7810334075524223</x:v>
      </x:c>
      <x:c r="C1821" t="n">
        <x:f>LOOKUP(B1821,$E$4:$E$9,$A$4:$A$9)</x:f>
        <x:v>4</x:v>
      </x:c>
    </x:row>
    <x:row r="1822">
      <x:c r="A1822" t="n">
        <x:v>1808</x:v>
      </x:c>
      <x:c r="B1822" s="40" t="n">
        <x:v>0.3394252489533416</x:v>
      </x:c>
      <x:c r="C1822" t="n">
        <x:f>LOOKUP(B1822,$E$4:$E$9,$A$4:$A$9)</x:f>
        <x:v>2</x:v>
      </x:c>
    </x:row>
    <x:row r="1823">
      <x:c r="A1823" t="n">
        <x:v>1809</x:v>
      </x:c>
      <x:c r="B1823" s="40" t="n">
        <x:v>0.945079385371402</x:v>
      </x:c>
      <x:c r="C1823" t="n">
        <x:f>LOOKUP(B1823,$E$4:$E$9,$A$4:$A$9)</x:f>
        <x:v>5</x:v>
      </x:c>
    </x:row>
    <x:row r="1824">
      <x:c r="A1824" t="n">
        <x:v>1810</x:v>
      </x:c>
      <x:c r="B1824" s="40" t="n">
        <x:v>0.03061060956023609</x:v>
      </x:c>
      <x:c r="C1824" t="n">
        <x:f>LOOKUP(B1824,$E$4:$E$9,$A$4:$A$9)</x:f>
        <x:v>0</x:v>
      </x:c>
    </x:row>
    <x:row r="1825">
      <x:c r="A1825" t="n">
        <x:v>1811</x:v>
      </x:c>
      <x:c r="B1825" s="40" t="n">
        <x:v>0.13294310327404035</x:v>
      </x:c>
      <x:c r="C1825" t="n">
        <x:f>LOOKUP(B1825,$E$4:$E$9,$A$4:$A$9)</x:f>
        <x:v>1</x:v>
      </x:c>
    </x:row>
    <x:row r="1826">
      <x:c r="A1826" t="n">
        <x:v>1812</x:v>
      </x:c>
      <x:c r="B1826" s="40" t="n">
        <x:v>0.5887870315604908</x:v>
      </x:c>
      <x:c r="C1826" t="n">
        <x:f>LOOKUP(B1826,$E$4:$E$9,$A$4:$A$9)</x:f>
        <x:v>3</x:v>
      </x:c>
    </x:row>
    <x:row r="1827">
      <x:c r="A1827" t="n">
        <x:v>1813</x:v>
      </x:c>
      <x:c r="B1827" s="40" t="n">
        <x:v>0.7014068620483797</x:v>
      </x:c>
      <x:c r="C1827" t="n">
        <x:f>LOOKUP(B1827,$E$4:$E$9,$A$4:$A$9)</x:f>
        <x:v>3</x:v>
      </x:c>
    </x:row>
    <x:row r="1828">
      <x:c r="A1828" t="n">
        <x:v>1814</x:v>
      </x:c>
      <x:c r="B1828" s="40" t="n">
        <x:v>0.250682989509059</x:v>
      </x:c>
      <x:c r="C1828" t="n">
        <x:f>LOOKUP(B1828,$E$4:$E$9,$A$4:$A$9)</x:f>
        <x:v>2</x:v>
      </x:c>
    </x:row>
    <x:row r="1829">
      <x:c r="A1829" t="n">
        <x:v>1815</x:v>
      </x:c>
      <x:c r="B1829" s="40" t="n">
        <x:v>0.5540710968913485</x:v>
      </x:c>
      <x:c r="C1829" t="n">
        <x:f>LOOKUP(B1829,$E$4:$E$9,$A$4:$A$9)</x:f>
        <x:v>3</x:v>
      </x:c>
    </x:row>
    <x:row r="1830">
      <x:c r="A1830" t="n">
        <x:v>1816</x:v>
      </x:c>
      <x:c r="B1830" s="40" t="n">
        <x:v>0.3183862470428127</x:v>
      </x:c>
      <x:c r="C1830" t="n">
        <x:f>LOOKUP(B1830,$E$4:$E$9,$A$4:$A$9)</x:f>
        <x:v>2</x:v>
      </x:c>
    </x:row>
    <x:row r="1831">
      <x:c r="A1831" t="n">
        <x:v>1817</x:v>
      </x:c>
      <x:c r="B1831" s="40" t="n">
        <x:v>0.5540892456215902</x:v>
      </x:c>
      <x:c r="C1831" t="n">
        <x:f>LOOKUP(B1831,$E$4:$E$9,$A$4:$A$9)</x:f>
        <x:v>3</x:v>
      </x:c>
    </x:row>
    <x:row r="1832">
      <x:c r="A1832" t="n">
        <x:v>1818</x:v>
      </x:c>
      <x:c r="B1832" s="40" t="n">
        <x:v>0.6593276777642525</x:v>
      </x:c>
      <x:c r="C1832" t="n">
        <x:f>LOOKUP(B1832,$E$4:$E$9,$A$4:$A$9)</x:f>
        <x:v>3</x:v>
      </x:c>
    </x:row>
    <x:row r="1833">
      <x:c r="A1833" t="n">
        <x:v>1819</x:v>
      </x:c>
      <x:c r="B1833" s="40" t="n">
        <x:v>0.9728080535690574</x:v>
      </x:c>
      <x:c r="C1833" t="n">
        <x:f>LOOKUP(B1833,$E$4:$E$9,$A$4:$A$9)</x:f>
        <x:v>5</x:v>
      </x:c>
    </x:row>
    <x:row r="1834">
      <x:c r="A1834" t="n">
        <x:v>1820</x:v>
      </x:c>
      <x:c r="B1834" s="40" t="n">
        <x:v>0.4556968600211837</x:v>
      </x:c>
      <x:c r="C1834" t="n">
        <x:f>LOOKUP(B1834,$E$4:$E$9,$A$4:$A$9)</x:f>
        <x:v>2</x:v>
      </x:c>
    </x:row>
    <x:row r="1835">
      <x:c r="A1835" t="n">
        <x:v>1821</x:v>
      </x:c>
      <x:c r="B1835" s="40" t="n">
        <x:v>0.6482160402713806</x:v>
      </x:c>
      <x:c r="C1835" t="n">
        <x:f>LOOKUP(B1835,$E$4:$E$9,$A$4:$A$9)</x:f>
        <x:v>3</x:v>
      </x:c>
    </x:row>
    <x:row r="1836">
      <x:c r="A1836" t="n">
        <x:v>1822</x:v>
      </x:c>
      <x:c r="B1836" s="40" t="n">
        <x:v>0.5780392479199319</x:v>
      </x:c>
      <x:c r="C1836" t="n">
        <x:f>LOOKUP(B1836,$E$4:$E$9,$A$4:$A$9)</x:f>
        <x:v>3</x:v>
      </x:c>
    </x:row>
    <x:row r="1837">
      <x:c r="A1837" t="n">
        <x:v>1823</x:v>
      </x:c>
      <x:c r="B1837" s="40" t="n">
        <x:v>0.31755489388757296</x:v>
      </x:c>
      <x:c r="C1837" t="n">
        <x:f>LOOKUP(B1837,$E$4:$E$9,$A$4:$A$9)</x:f>
        <x:v>2</x:v>
      </x:c>
    </x:row>
    <x:row r="1838">
      <x:c r="A1838" t="n">
        <x:v>1824</x:v>
      </x:c>
      <x:c r="B1838" s="40" t="n">
        <x:v>0.25306413169772035</x:v>
      </x:c>
      <x:c r="C1838" t="n">
        <x:f>LOOKUP(B1838,$E$4:$E$9,$A$4:$A$9)</x:f>
        <x:v>2</x:v>
      </x:c>
    </x:row>
    <x:row r="1839">
      <x:c r="A1839" t="n">
        <x:v>1825</x:v>
      </x:c>
      <x:c r="B1839" s="40" t="n">
        <x:v>0.9878707217447237</x:v>
      </x:c>
      <x:c r="C1839" t="n">
        <x:f>LOOKUP(B1839,$E$4:$E$9,$A$4:$A$9)</x:f>
        <x:v>5</x:v>
      </x:c>
    </x:row>
    <x:row r="1840">
      <x:c r="A1840" t="n">
        <x:v>1826</x:v>
      </x:c>
      <x:c r="B1840" s="40" t="n">
        <x:v>0.20685236170151533</x:v>
      </x:c>
      <x:c r="C1840" t="n">
        <x:f>LOOKUP(B1840,$E$4:$E$9,$A$4:$A$9)</x:f>
        <x:v>1</x:v>
      </x:c>
    </x:row>
    <x:row r="1841">
      <x:c r="A1841" t="n">
        <x:v>1827</x:v>
      </x:c>
      <x:c r="B1841" s="40" t="n">
        <x:v>0.7902752670742368</x:v>
      </x:c>
      <x:c r="C1841" t="n">
        <x:f>LOOKUP(B1841,$E$4:$E$9,$A$4:$A$9)</x:f>
        <x:v>4</x:v>
      </x:c>
    </x:row>
    <x:row r="1842">
      <x:c r="A1842" t="n">
        <x:v>1828</x:v>
      </x:c>
      <x:c r="B1842" s="40" t="n">
        <x:v>0.14658739102076102</x:v>
      </x:c>
      <x:c r="C1842" t="n">
        <x:f>LOOKUP(B1842,$E$4:$E$9,$A$4:$A$9)</x:f>
        <x:v>1</x:v>
      </x:c>
    </x:row>
    <x:row r="1843">
      <x:c r="A1843" t="n">
        <x:v>1829</x:v>
      </x:c>
      <x:c r="B1843" s="40" t="n">
        <x:v>0.8043512693612508</x:v>
      </x:c>
      <x:c r="C1843" t="n">
        <x:f>LOOKUP(B1843,$E$4:$E$9,$A$4:$A$9)</x:f>
        <x:v>4</x:v>
      </x:c>
    </x:row>
    <x:row r="1844">
      <x:c r="A1844" t="n">
        <x:v>1830</x:v>
      </x:c>
      <x:c r="B1844" s="40" t="n">
        <x:v>0.18572844298954805</x:v>
      </x:c>
      <x:c r="C1844" t="n">
        <x:f>LOOKUP(B1844,$E$4:$E$9,$A$4:$A$9)</x:f>
        <x:v>1</x:v>
      </x:c>
    </x:row>
    <x:row r="1845">
      <x:c r="A1845" t="n">
        <x:v>1831</x:v>
      </x:c>
      <x:c r="B1845" s="40" t="n">
        <x:v>0.967156644016167</x:v>
      </x:c>
      <x:c r="C1845" t="n">
        <x:f>LOOKUP(B1845,$E$4:$E$9,$A$4:$A$9)</x:f>
        <x:v>5</x:v>
      </x:c>
    </x:row>
    <x:row r="1846">
      <x:c r="A1846" t="n">
        <x:v>1832</x:v>
      </x:c>
      <x:c r="B1846" s="40" t="n">
        <x:v>0.6859876565745173</x:v>
      </x:c>
      <x:c r="C1846" t="n">
        <x:f>LOOKUP(B1846,$E$4:$E$9,$A$4:$A$9)</x:f>
        <x:v>3</x:v>
      </x:c>
    </x:row>
    <x:row r="1847">
      <x:c r="A1847" t="n">
        <x:v>1833</x:v>
      </x:c>
      <x:c r="B1847" s="40" t="n">
        <x:v>0.09011824367582888</x:v>
      </x:c>
      <x:c r="C1847" t="n">
        <x:f>LOOKUP(B1847,$E$4:$E$9,$A$4:$A$9)</x:f>
        <x:v>1</x:v>
      </x:c>
    </x:row>
    <x:row r="1848">
      <x:c r="A1848" t="n">
        <x:v>1834</x:v>
      </x:c>
      <x:c r="B1848" s="40" t="n">
        <x:v>0.6931771194590108</x:v>
      </x:c>
      <x:c r="C1848" t="n">
        <x:f>LOOKUP(B1848,$E$4:$E$9,$A$4:$A$9)</x:f>
        <x:v>3</x:v>
      </x:c>
    </x:row>
    <x:row r="1849">
      <x:c r="A1849" t="n">
        <x:v>1835</x:v>
      </x:c>
      <x:c r="B1849" s="40" t="n">
        <x:v>0.6036207627815519</x:v>
      </x:c>
      <x:c r="C1849" t="n">
        <x:f>LOOKUP(B1849,$E$4:$E$9,$A$4:$A$9)</x:f>
        <x:v>3</x:v>
      </x:c>
    </x:row>
    <x:row r="1850">
      <x:c r="A1850" t="n">
        <x:v>1836</x:v>
      </x:c>
      <x:c r="B1850" s="40" t="n">
        <x:v>0.3375462466939585</x:v>
      </x:c>
      <x:c r="C1850" t="n">
        <x:f>LOOKUP(B1850,$E$4:$E$9,$A$4:$A$9)</x:f>
        <x:v>2</x:v>
      </x:c>
    </x:row>
    <x:row r="1851">
      <x:c r="A1851" t="n">
        <x:v>1837</x:v>
      </x:c>
      <x:c r="B1851" s="40" t="n">
        <x:v>0.26073599775671463</x:v>
      </x:c>
      <x:c r="C1851" t="n">
        <x:f>LOOKUP(B1851,$E$4:$E$9,$A$4:$A$9)</x:f>
        <x:v>2</x:v>
      </x:c>
    </x:row>
    <x:row r="1852">
      <x:c r="A1852" t="n">
        <x:v>1838</x:v>
      </x:c>
      <x:c r="B1852" s="40" t="n">
        <x:v>0.7187607817481522</x:v>
      </x:c>
      <x:c r="C1852" t="n">
        <x:f>LOOKUP(B1852,$E$4:$E$9,$A$4:$A$9)</x:f>
        <x:v>3</x:v>
      </x:c>
    </x:row>
    <x:row r="1853">
      <x:c r="A1853" t="n">
        <x:v>1839</x:v>
      </x:c>
      <x:c r="B1853" s="40" t="n">
        <x:v>0.7413613729498658</x:v>
      </x:c>
      <x:c r="C1853" t="n">
        <x:f>LOOKUP(B1853,$E$4:$E$9,$A$4:$A$9)</x:f>
        <x:v>3</x:v>
      </x:c>
    </x:row>
    <x:row r="1854">
      <x:c r="A1854" t="n">
        <x:v>1840</x:v>
      </x:c>
      <x:c r="B1854" s="40" t="n">
        <x:v>0.32720584895253657</x:v>
      </x:c>
      <x:c r="C1854" t="n">
        <x:f>LOOKUP(B1854,$E$4:$E$9,$A$4:$A$9)</x:f>
        <x:v>2</x:v>
      </x:c>
    </x:row>
    <x:row r="1855">
      <x:c r="A1855" t="n">
        <x:v>1841</x:v>
      </x:c>
      <x:c r="B1855" s="40" t="n">
        <x:v>0.8762271108395037</x:v>
      </x:c>
      <x:c r="C1855" t="n">
        <x:f>LOOKUP(B1855,$E$4:$E$9,$A$4:$A$9)</x:f>
        <x:v>4</x:v>
      </x:c>
    </x:row>
    <x:row r="1856">
      <x:c r="A1856" t="n">
        <x:v>1842</x:v>
      </x:c>
      <x:c r="B1856" s="40" t="n">
        <x:v>0.26882721888849126</x:v>
      </x:c>
      <x:c r="C1856" t="n">
        <x:f>LOOKUP(B1856,$E$4:$E$9,$A$4:$A$9)</x:f>
        <x:v>2</x:v>
      </x:c>
    </x:row>
    <x:row r="1857">
      <x:c r="A1857" t="n">
        <x:v>1843</x:v>
      </x:c>
      <x:c r="B1857" s="40" t="n">
        <x:v>0.06986442597481102</x:v>
      </x:c>
      <x:c r="C1857" t="n">
        <x:f>LOOKUP(B1857,$E$4:$E$9,$A$4:$A$9)</x:f>
        <x:v>0</x:v>
      </x:c>
    </x:row>
    <x:row r="1858">
      <x:c r="A1858" t="n">
        <x:v>1844</x:v>
      </x:c>
      <x:c r="B1858" s="40" t="n">
        <x:v>0.5998678448275786</x:v>
      </x:c>
      <x:c r="C1858" t="n">
        <x:f>LOOKUP(B1858,$E$4:$E$9,$A$4:$A$9)</x:f>
        <x:v>3</x:v>
      </x:c>
    </x:row>
    <x:row r="1859">
      <x:c r="A1859" t="n">
        <x:v>1845</x:v>
      </x:c>
      <x:c r="B1859" s="40" t="n">
        <x:v>0.10707057283161614</x:v>
      </x:c>
      <x:c r="C1859" t="n">
        <x:f>LOOKUP(B1859,$E$4:$E$9,$A$4:$A$9)</x:f>
        <x:v>1</x:v>
      </x:c>
    </x:row>
    <x:row r="1860">
      <x:c r="A1860" t="n">
        <x:v>1846</x:v>
      </x:c>
      <x:c r="B1860" s="40" t="n">
        <x:v>0.27666406426648527</x:v>
      </x:c>
      <x:c r="C1860" t="n">
        <x:f>LOOKUP(B1860,$E$4:$E$9,$A$4:$A$9)</x:f>
        <x:v>2</x:v>
      </x:c>
    </x:row>
    <x:row r="1861">
      <x:c r="A1861" t="n">
        <x:v>1847</x:v>
      </x:c>
      <x:c r="B1861" s="40" t="n">
        <x:v>0.5071863930484379</x:v>
      </x:c>
      <x:c r="C1861" t="n">
        <x:f>LOOKUP(B1861,$E$4:$E$9,$A$4:$A$9)</x:f>
        <x:v>3</x:v>
      </x:c>
    </x:row>
    <x:row r="1862">
      <x:c r="A1862" t="n">
        <x:v>1848</x:v>
      </x:c>
      <x:c r="B1862" s="40" t="n">
        <x:v>0.2863596223572976</x:v>
      </x:c>
      <x:c r="C1862" t="n">
        <x:f>LOOKUP(B1862,$E$4:$E$9,$A$4:$A$9)</x:f>
        <x:v>2</x:v>
      </x:c>
    </x:row>
    <x:row r="1863">
      <x:c r="A1863" t="n">
        <x:v>1849</x:v>
      </x:c>
      <x:c r="B1863" s="40" t="n">
        <x:v>0.2149963424200444</x:v>
      </x:c>
      <x:c r="C1863" t="n">
        <x:f>LOOKUP(B1863,$E$4:$E$9,$A$4:$A$9)</x:f>
        <x:v>1</x:v>
      </x:c>
    </x:row>
    <x:row r="1864">
      <x:c r="A1864" t="n">
        <x:v>1850</x:v>
      </x:c>
      <x:c r="B1864" s="40" t="n">
        <x:v>0.7031854149056544</x:v>
      </x:c>
      <x:c r="C1864" t="n">
        <x:f>LOOKUP(B1864,$E$4:$E$9,$A$4:$A$9)</x:f>
        <x:v>3</x:v>
      </x:c>
    </x:row>
    <x:row r="1865">
      <x:c r="A1865" t="n">
        <x:v>1851</x:v>
      </x:c>
      <x:c r="B1865" s="40" t="n">
        <x:v>0.5469993414022956</x:v>
      </x:c>
      <x:c r="C1865" t="n">
        <x:f>LOOKUP(B1865,$E$4:$E$9,$A$4:$A$9)</x:f>
        <x:v>3</x:v>
      </x:c>
    </x:row>
    <x:row r="1866">
      <x:c r="A1866" t="n">
        <x:v>1852</x:v>
      </x:c>
      <x:c r="B1866" s="40" t="n">
        <x:v>0.8397612482502805</x:v>
      </x:c>
      <x:c r="C1866" t="n">
        <x:f>LOOKUP(B1866,$E$4:$E$9,$A$4:$A$9)</x:f>
        <x:v>4</x:v>
      </x:c>
    </x:row>
    <x:row r="1867">
      <x:c r="A1867" t="n">
        <x:v>1853</x:v>
      </x:c>
      <x:c r="B1867" s="40" t="n">
        <x:v>0.5812395946554776</x:v>
      </x:c>
      <x:c r="C1867" t="n">
        <x:f>LOOKUP(B1867,$E$4:$E$9,$A$4:$A$9)</x:f>
        <x:v>3</x:v>
      </x:c>
    </x:row>
    <x:row r="1868">
      <x:c r="A1868" t="n">
        <x:v>1854</x:v>
      </x:c>
      <x:c r="B1868" s="40" t="n">
        <x:v>0.48344721177377836</x:v>
      </x:c>
      <x:c r="C1868" t="n">
        <x:f>LOOKUP(B1868,$E$4:$E$9,$A$4:$A$9)</x:f>
        <x:v>2</x:v>
      </x:c>
    </x:row>
    <x:row r="1869">
      <x:c r="A1869" t="n">
        <x:v>1855</x:v>
      </x:c>
      <x:c r="B1869" s="40" t="n">
        <x:v>0.2612563516107882</x:v>
      </x:c>
      <x:c r="C1869" t="n">
        <x:f>LOOKUP(B1869,$E$4:$E$9,$A$4:$A$9)</x:f>
        <x:v>2</x:v>
      </x:c>
    </x:row>
    <x:row r="1870">
      <x:c r="A1870" t="n">
        <x:v>1856</x:v>
      </x:c>
      <x:c r="B1870" s="40" t="n">
        <x:v>0.7920658750912973</x:v>
      </x:c>
      <x:c r="C1870" t="n">
        <x:f>LOOKUP(B1870,$E$4:$E$9,$A$4:$A$9)</x:f>
        <x:v>4</x:v>
      </x:c>
    </x:row>
    <x:row r="1871">
      <x:c r="A1871" t="n">
        <x:v>1857</x:v>
      </x:c>
      <x:c r="B1871" s="40" t="n">
        <x:v>0.19687100856436723</x:v>
      </x:c>
      <x:c r="C1871" t="n">
        <x:f>LOOKUP(B1871,$E$4:$E$9,$A$4:$A$9)</x:f>
        <x:v>1</x:v>
      </x:c>
    </x:row>
    <x:row r="1872">
      <x:c r="A1872" t="n">
        <x:v>1858</x:v>
      </x:c>
      <x:c r="B1872" s="40" t="n">
        <x:v>0.24222841097316028</x:v>
      </x:c>
      <x:c r="C1872" t="n">
        <x:f>LOOKUP(B1872,$E$4:$E$9,$A$4:$A$9)</x:f>
        <x:v>1</x:v>
      </x:c>
    </x:row>
    <x:row r="1873">
      <x:c r="A1873" t="n">
        <x:v>1859</x:v>
      </x:c>
      <x:c r="B1873" s="40" t="n">
        <x:v>0.84158859675307</x:v>
      </x:c>
      <x:c r="C1873" t="n">
        <x:f>LOOKUP(B1873,$E$4:$E$9,$A$4:$A$9)</x:f>
        <x:v>4</x:v>
      </x:c>
    </x:row>
    <x:row r="1874">
      <x:c r="A1874" t="n">
        <x:v>1860</x:v>
      </x:c>
      <x:c r="B1874" s="40" t="n">
        <x:v>0.7411925257292111</x:v>
      </x:c>
      <x:c r="C1874" t="n">
        <x:f>LOOKUP(B1874,$E$4:$E$9,$A$4:$A$9)</x:f>
        <x:v>3</x:v>
      </x:c>
    </x:row>
    <x:row r="1875">
      <x:c r="A1875" t="n">
        <x:v>1861</x:v>
      </x:c>
      <x:c r="B1875" s="40" t="n">
        <x:v>0.6128734889795205</x:v>
      </x:c>
      <x:c r="C1875" t="n">
        <x:f>LOOKUP(B1875,$E$4:$E$9,$A$4:$A$9)</x:f>
        <x:v>3</x:v>
      </x:c>
    </x:row>
    <x:row r="1876">
      <x:c r="A1876" t="n">
        <x:v>1862</x:v>
      </x:c>
      <x:c r="B1876" s="40" t="n">
        <x:v>0.038920530786573426</x:v>
      </x:c>
      <x:c r="C1876" t="n">
        <x:f>LOOKUP(B1876,$E$4:$E$9,$A$4:$A$9)</x:f>
        <x:v>0</x:v>
      </x:c>
    </x:row>
    <x:row r="1877">
      <x:c r="A1877" t="n">
        <x:v>1863</x:v>
      </x:c>
      <x:c r="B1877" s="40" t="n">
        <x:v>0.12725761828472648</x:v>
      </x:c>
      <x:c r="C1877" t="n">
        <x:f>LOOKUP(B1877,$E$4:$E$9,$A$4:$A$9)</x:f>
        <x:v>1</x:v>
      </x:c>
    </x:row>
    <x:row r="1878">
      <x:c r="A1878" t="n">
        <x:v>1864</x:v>
      </x:c>
      <x:c r="B1878" s="40" t="n">
        <x:v>0.49995746018760967</x:v>
      </x:c>
      <x:c r="C1878" t="n">
        <x:f>LOOKUP(B1878,$E$4:$E$9,$A$4:$A$9)</x:f>
        <x:v>2</x:v>
      </x:c>
    </x:row>
    <x:row r="1879">
      <x:c r="A1879" t="n">
        <x:v>1865</x:v>
      </x:c>
      <x:c r="B1879" s="40" t="n">
        <x:v>0.746338923482891</x:v>
      </x:c>
      <x:c r="C1879" t="n">
        <x:f>LOOKUP(B1879,$E$4:$E$9,$A$4:$A$9)</x:f>
        <x:v>4</x:v>
      </x:c>
    </x:row>
    <x:row r="1880">
      <x:c r="A1880" t="n">
        <x:v>1866</x:v>
      </x:c>
      <x:c r="B1880" s="40" t="n">
        <x:v>0.4641008641918233</x:v>
      </x:c>
      <x:c r="C1880" t="n">
        <x:f>LOOKUP(B1880,$E$4:$E$9,$A$4:$A$9)</x:f>
        <x:v>2</x:v>
      </x:c>
    </x:row>
    <x:row r="1881">
      <x:c r="A1881" t="n">
        <x:v>1867</x:v>
      </x:c>
      <x:c r="B1881" s="40" t="n">
        <x:v>0.017293024414783087</x:v>
      </x:c>
      <x:c r="C1881" t="n">
        <x:f>LOOKUP(B1881,$E$4:$E$9,$A$4:$A$9)</x:f>
        <x:v>0</x:v>
      </x:c>
    </x:row>
    <x:row r="1882">
      <x:c r="A1882" t="n">
        <x:v>1868</x:v>
      </x:c>
      <x:c r="B1882" s="40" t="n">
        <x:v>0.1842699986668217</x:v>
      </x:c>
      <x:c r="C1882" t="n">
        <x:f>LOOKUP(B1882,$E$4:$E$9,$A$4:$A$9)</x:f>
        <x:v>1</x:v>
      </x:c>
    </x:row>
    <x:row r="1883">
      <x:c r="A1883" t="n">
        <x:v>1869</x:v>
      </x:c>
      <x:c r="B1883" s="40" t="n">
        <x:v>0.5887666996202181</x:v>
      </x:c>
      <x:c r="C1883" t="n">
        <x:f>LOOKUP(B1883,$E$4:$E$9,$A$4:$A$9)</x:f>
        <x:v>3</x:v>
      </x:c>
    </x:row>
    <x:row r="1884">
      <x:c r="A1884" t="n">
        <x:v>1870</x:v>
      </x:c>
      <x:c r="B1884" s="40" t="n">
        <x:v>0.6942170596879913</x:v>
      </x:c>
      <x:c r="C1884" t="n">
        <x:f>LOOKUP(B1884,$E$4:$E$9,$A$4:$A$9)</x:f>
        <x:v>3</x:v>
      </x:c>
    </x:row>
    <x:row r="1885">
      <x:c r="A1885" t="n">
        <x:v>1871</x:v>
      </x:c>
      <x:c r="B1885" s="40" t="n">
        <x:v>0.033428312711904384</x:v>
      </x:c>
      <x:c r="C1885" t="n">
        <x:f>LOOKUP(B1885,$E$4:$E$9,$A$4:$A$9)</x:f>
        <x:v>0</x:v>
      </x:c>
    </x:row>
    <x:row r="1886">
      <x:c r="A1886" t="n">
        <x:v>1872</x:v>
      </x:c>
      <x:c r="B1886" s="40" t="n">
        <x:v>0.04333175346050033</x:v>
      </x:c>
      <x:c r="C1886" t="n">
        <x:f>LOOKUP(B1886,$E$4:$E$9,$A$4:$A$9)</x:f>
        <x:v>0</x:v>
      </x:c>
    </x:row>
    <x:row r="1887">
      <x:c r="A1887" t="n">
        <x:v>1873</x:v>
      </x:c>
      <x:c r="B1887" s="40" t="n">
        <x:v>0.26131011545636296</x:v>
      </x:c>
      <x:c r="C1887" t="n">
        <x:f>LOOKUP(B1887,$E$4:$E$9,$A$4:$A$9)</x:f>
        <x:v>2</x:v>
      </x:c>
    </x:row>
    <x:row r="1888">
      <x:c r="A1888" t="n">
        <x:v>1874</x:v>
      </x:c>
      <x:c r="B1888" s="40" t="n">
        <x:v>0.08350169538656493</x:v>
      </x:c>
      <x:c r="C1888" t="n">
        <x:f>LOOKUP(B1888,$E$4:$E$9,$A$4:$A$9)</x:f>
        <x:v>0</x:v>
      </x:c>
    </x:row>
    <x:row r="1889">
      <x:c r="A1889" t="n">
        <x:v>1875</x:v>
      </x:c>
      <x:c r="B1889" s="40" t="n">
        <x:v>0.5419462321933647</x:v>
      </x:c>
      <x:c r="C1889" t="n">
        <x:f>LOOKUP(B1889,$E$4:$E$9,$A$4:$A$9)</x:f>
        <x:v>3</x:v>
      </x:c>
    </x:row>
    <x:row r="1890">
      <x:c r="A1890" t="n">
        <x:v>1876</x:v>
      </x:c>
      <x:c r="B1890" s="40" t="n">
        <x:v>0.12370198195668047</x:v>
      </x:c>
      <x:c r="C1890" t="n">
        <x:f>LOOKUP(B1890,$E$4:$E$9,$A$4:$A$9)</x:f>
        <x:v>1</x:v>
      </x:c>
    </x:row>
    <x:row r="1891">
      <x:c r="A1891" t="n">
        <x:v>1877</x:v>
      </x:c>
      <x:c r="B1891" s="40" t="n">
        <x:v>0.6482193349014225</x:v>
      </x:c>
      <x:c r="C1891" t="n">
        <x:f>LOOKUP(B1891,$E$4:$E$9,$A$4:$A$9)</x:f>
        <x:v>3</x:v>
      </x:c>
    </x:row>
    <x:row r="1892">
      <x:c r="A1892" t="n">
        <x:v>1878</x:v>
      </x:c>
      <x:c r="B1892" s="40" t="n">
        <x:v>0.777225319307587</x:v>
      </x:c>
      <x:c r="C1892" t="n">
        <x:f>LOOKUP(B1892,$E$4:$E$9,$A$4:$A$9)</x:f>
        <x:v>4</x:v>
      </x:c>
    </x:row>
    <x:row r="1893">
      <x:c r="A1893" t="n">
        <x:v>1879</x:v>
      </x:c>
      <x:c r="B1893" s="40" t="n">
        <x:v>0.9705166637521067</x:v>
      </x:c>
      <x:c r="C1893" t="n">
        <x:f>LOOKUP(B1893,$E$4:$E$9,$A$4:$A$9)</x:f>
        <x:v>5</x:v>
      </x:c>
    </x:row>
    <x:row r="1894">
      <x:c r="A1894" t="n">
        <x:v>1880</x:v>
      </x:c>
      <x:c r="B1894" s="40" t="n">
        <x:v>0.9484069616377143</x:v>
      </x:c>
      <x:c r="C1894" t="n">
        <x:f>LOOKUP(B1894,$E$4:$E$9,$A$4:$A$9)</x:f>
        <x:v>5</x:v>
      </x:c>
    </x:row>
    <x:row r="1895">
      <x:c r="A1895" t="n">
        <x:v>1881</x:v>
      </x:c>
      <x:c r="B1895" s="40" t="n">
        <x:v>0.2733651502352782</x:v>
      </x:c>
      <x:c r="C1895" t="n">
        <x:f>LOOKUP(B1895,$E$4:$E$9,$A$4:$A$9)</x:f>
        <x:v>2</x:v>
      </x:c>
    </x:row>
    <x:row r="1896">
      <x:c r="A1896" t="n">
        <x:v>1882</x:v>
      </x:c>
      <x:c r="B1896" s="40" t="n">
        <x:v>0.029409602623172826</x:v>
      </x:c>
      <x:c r="C1896" t="n">
        <x:f>LOOKUP(B1896,$E$4:$E$9,$A$4:$A$9)</x:f>
        <x:v>0</x:v>
      </x:c>
    </x:row>
    <x:row r="1897">
      <x:c r="A1897" t="n">
        <x:v>1883</x:v>
      </x:c>
      <x:c r="B1897" s="40" t="n">
        <x:v>0.32941221611176796</x:v>
      </x:c>
      <x:c r="C1897" t="n">
        <x:f>LOOKUP(B1897,$E$4:$E$9,$A$4:$A$9)</x:f>
        <x:v>2</x:v>
      </x:c>
    </x:row>
    <x:row r="1898">
      <x:c r="A1898" t="n">
        <x:v>1884</x:v>
      </x:c>
      <x:c r="B1898" s="40" t="n">
        <x:v>0.7084801187126533</x:v>
      </x:c>
      <x:c r="C1898" t="n">
        <x:f>LOOKUP(B1898,$E$4:$E$9,$A$4:$A$9)</x:f>
        <x:v>3</x:v>
      </x:c>
    </x:row>
    <x:row r="1899">
      <x:c r="A1899" t="n">
        <x:v>1885</x:v>
      </x:c>
      <x:c r="B1899" s="40" t="n">
        <x:v>0.05980120927253929</x:v>
      </x:c>
      <x:c r="C1899" t="n">
        <x:f>LOOKUP(B1899,$E$4:$E$9,$A$4:$A$9)</x:f>
        <x:v>0</x:v>
      </x:c>
    </x:row>
    <x:row r="1900">
      <x:c r="A1900" t="n">
        <x:v>1886</x:v>
      </x:c>
      <x:c r="B1900" s="40" t="n">
        <x:v>0.3597126576714287</x:v>
      </x:c>
      <x:c r="C1900" t="n">
        <x:f>LOOKUP(B1900,$E$4:$E$9,$A$4:$A$9)</x:f>
        <x:v>2</x:v>
      </x:c>
    </x:row>
    <x:row r="1901">
      <x:c r="A1901" t="n">
        <x:v>1887</x:v>
      </x:c>
      <x:c r="B1901" s="40" t="n">
        <x:v>0.29803454754690695</x:v>
      </x:c>
      <x:c r="C1901" t="n">
        <x:f>LOOKUP(B1901,$E$4:$E$9,$A$4:$A$9)</x:f>
        <x:v>2</x:v>
      </x:c>
    </x:row>
    <x:row r="1902">
      <x:c r="A1902" t="n">
        <x:v>1888</x:v>
      </x:c>
      <x:c r="B1902" s="40" t="n">
        <x:v>0.2193456358189767</x:v>
      </x:c>
      <x:c r="C1902" t="n">
        <x:f>LOOKUP(B1902,$E$4:$E$9,$A$4:$A$9)</x:f>
        <x:v>1</x:v>
      </x:c>
    </x:row>
    <x:row r="1903">
      <x:c r="A1903" t="n">
        <x:v>1889</x:v>
      </x:c>
      <x:c r="B1903" s="40" t="n">
        <x:v>0.7061307547303153</x:v>
      </x:c>
      <x:c r="C1903" t="n">
        <x:f>LOOKUP(B1903,$E$4:$E$9,$A$4:$A$9)</x:f>
        <x:v>3</x:v>
      </x:c>
    </x:row>
    <x:row r="1904">
      <x:c r="A1904" t="n">
        <x:v>1890</x:v>
      </x:c>
      <x:c r="B1904" s="40" t="n">
        <x:v>0.6590970050243741</x:v>
      </x:c>
      <x:c r="C1904" t="n">
        <x:f>LOOKUP(B1904,$E$4:$E$9,$A$4:$A$9)</x:f>
        <x:v>3</x:v>
      </x:c>
    </x:row>
    <x:row r="1905">
      <x:c r="A1905" t="n">
        <x:v>1891</x:v>
      </x:c>
      <x:c r="B1905" s="40" t="n">
        <x:v>0.5354940940343433</x:v>
      </x:c>
      <x:c r="C1905" t="n">
        <x:f>LOOKUP(B1905,$E$4:$E$9,$A$4:$A$9)</x:f>
        <x:v>3</x:v>
      </x:c>
    </x:row>
    <x:row r="1906">
      <x:c r="A1906" t="n">
        <x:v>1892</x:v>
      </x:c>
      <x:c r="B1906" s="40" t="n">
        <x:v>0.9107746396815976</x:v>
      </x:c>
      <x:c r="C1906" t="n">
        <x:f>LOOKUP(B1906,$E$4:$E$9,$A$4:$A$9)</x:f>
        <x:v>5</x:v>
      </x:c>
    </x:row>
    <x:row r="1907">
      <x:c r="A1907" t="n">
        <x:v>1893</x:v>
      </x:c>
      <x:c r="B1907" s="40" t="n">
        <x:v>0.10313885273027246</x:v>
      </x:c>
      <x:c r="C1907" t="n">
        <x:f>LOOKUP(B1907,$E$4:$E$9,$A$4:$A$9)</x:f>
        <x:v>1</x:v>
      </x:c>
    </x:row>
    <x:row r="1908">
      <x:c r="A1908" t="n">
        <x:v>1894</x:v>
      </x:c>
      <x:c r="B1908" s="40" t="n">
        <x:v>0.14968922447813082</x:v>
      </x:c>
      <x:c r="C1908" t="n">
        <x:f>LOOKUP(B1908,$E$4:$E$9,$A$4:$A$9)</x:f>
        <x:v>1</x:v>
      </x:c>
    </x:row>
    <x:row r="1909">
      <x:c r="A1909" t="n">
        <x:v>1895</x:v>
      </x:c>
      <x:c r="B1909" s="40" t="n">
        <x:v>0.3834496792194131</x:v>
      </x:c>
      <x:c r="C1909" t="n">
        <x:f>LOOKUP(B1909,$E$4:$E$9,$A$4:$A$9)</x:f>
        <x:v>2</x:v>
      </x:c>
    </x:row>
    <x:row r="1910">
      <x:c r="A1910" t="n">
        <x:v>1896</x:v>
      </x:c>
      <x:c r="B1910" s="40" t="n">
        <x:v>0.6558820518629006</x:v>
      </x:c>
      <x:c r="C1910" t="n">
        <x:f>LOOKUP(B1910,$E$4:$E$9,$A$4:$A$9)</x:f>
        <x:v>3</x:v>
      </x:c>
    </x:row>
    <x:row r="1911">
      <x:c r="A1911" t="n">
        <x:v>1897</x:v>
      </x:c>
      <x:c r="B1911" s="40" t="n">
        <x:v>0.5840792922454121</x:v>
      </x:c>
      <x:c r="C1911" t="n">
        <x:f>LOOKUP(B1911,$E$4:$E$9,$A$4:$A$9)</x:f>
        <x:v>3</x:v>
      </x:c>
    </x:row>
    <x:row r="1912">
      <x:c r="A1912" t="n">
        <x:v>1898</x:v>
      </x:c>
      <x:c r="B1912" s="40" t="n">
        <x:v>0.07404268746793197</x:v>
      </x:c>
      <x:c r="C1912" t="n">
        <x:f>LOOKUP(B1912,$E$4:$E$9,$A$4:$A$9)</x:f>
        <x:v>0</x:v>
      </x:c>
    </x:row>
    <x:row r="1913">
      <x:c r="A1913" t="n">
        <x:v>1899</x:v>
      </x:c>
      <x:c r="B1913" s="40" t="n">
        <x:v>0.9584248037464674</x:v>
      </x:c>
      <x:c r="C1913" t="n">
        <x:f>LOOKUP(B1913,$E$4:$E$9,$A$4:$A$9)</x:f>
        <x:v>5</x:v>
      </x:c>
    </x:row>
    <x:row r="1914">
      <x:c r="A1914" t="n">
        <x:v>1900</x:v>
      </x:c>
      <x:c r="B1914" s="40" t="n">
        <x:v>0.3050648164613915</x:v>
      </x:c>
      <x:c r="C1914" t="n">
        <x:f>LOOKUP(B1914,$E$4:$E$9,$A$4:$A$9)</x:f>
        <x:v>2</x:v>
      </x:c>
    </x:row>
    <x:row r="1915">
      <x:c r="A1915" t="n">
        <x:v>1901</x:v>
      </x:c>
      <x:c r="B1915" s="40" t="n">
        <x:v>0.35897261378309386</x:v>
      </x:c>
      <x:c r="C1915" t="n">
        <x:f>LOOKUP(B1915,$E$4:$E$9,$A$4:$A$9)</x:f>
        <x:v>2</x:v>
      </x:c>
    </x:row>
    <x:row r="1916">
      <x:c r="A1916" t="n">
        <x:v>1902</x:v>
      </x:c>
      <x:c r="B1916" s="40" t="n">
        <x:v>0.6236297990434235</x:v>
      </x:c>
      <x:c r="C1916" t="n">
        <x:f>LOOKUP(B1916,$E$4:$E$9,$A$4:$A$9)</x:f>
        <x:v>3</x:v>
      </x:c>
    </x:row>
    <x:row r="1917">
      <x:c r="A1917" t="n">
        <x:v>1903</x:v>
      </x:c>
      <x:c r="B1917" s="40" t="n">
        <x:v>0.9451655174597346</x:v>
      </x:c>
      <x:c r="C1917" t="n">
        <x:f>LOOKUP(B1917,$E$4:$E$9,$A$4:$A$9)</x:f>
        <x:v>5</x:v>
      </x:c>
    </x:row>
    <x:row r="1918">
      <x:c r="A1918" t="n">
        <x:v>1904</x:v>
      </x:c>
      <x:c r="B1918" s="40" t="n">
        <x:v>0.662688239103272</x:v>
      </x:c>
      <x:c r="C1918" t="n">
        <x:f>LOOKUP(B1918,$E$4:$E$9,$A$4:$A$9)</x:f>
        <x:v>3</x:v>
      </x:c>
    </x:row>
    <x:row r="1919">
      <x:c r="A1919" t="n">
        <x:v>1905</x:v>
      </x:c>
      <x:c r="B1919" s="40" t="n">
        <x:v>0.9547733295477041</x:v>
      </x:c>
      <x:c r="C1919" t="n">
        <x:f>LOOKUP(B1919,$E$4:$E$9,$A$4:$A$9)</x:f>
        <x:v>5</x:v>
      </x:c>
    </x:row>
    <x:row r="1920">
      <x:c r="A1920" t="n">
        <x:v>1906</x:v>
      </x:c>
      <x:c r="B1920" s="40" t="n">
        <x:v>0.18759111882047896</x:v>
      </x:c>
      <x:c r="C1920" t="n">
        <x:f>LOOKUP(B1920,$E$4:$E$9,$A$4:$A$9)</x:f>
        <x:v>1</x:v>
      </x:c>
    </x:row>
    <x:row r="1921">
      <x:c r="A1921" t="n">
        <x:v>1907</x:v>
      </x:c>
      <x:c r="B1921" s="40" t="n">
        <x:v>0.618809928972935</x:v>
      </x:c>
      <x:c r="C1921" t="n">
        <x:f>LOOKUP(B1921,$E$4:$E$9,$A$4:$A$9)</x:f>
        <x:v>3</x:v>
      </x:c>
    </x:row>
    <x:row r="1922">
      <x:c r="A1922" t="n">
        <x:v>1908</x:v>
      </x:c>
      <x:c r="B1922" s="40" t="n">
        <x:v>0.8288788918762848</x:v>
      </x:c>
      <x:c r="C1922" t="n">
        <x:f>LOOKUP(B1922,$E$4:$E$9,$A$4:$A$9)</x:f>
        <x:v>4</x:v>
      </x:c>
    </x:row>
    <x:row r="1923">
      <x:c r="A1923" t="n">
        <x:v>1909</x:v>
      </x:c>
      <x:c r="B1923" s="40" t="n">
        <x:v>0.5090244682548472</x:v>
      </x:c>
      <x:c r="C1923" t="n">
        <x:f>LOOKUP(B1923,$E$4:$E$9,$A$4:$A$9)</x:f>
        <x:v>3</x:v>
      </x:c>
    </x:row>
    <x:row r="1924">
      <x:c r="A1924" t="n">
        <x:v>1910</x:v>
      </x:c>
      <x:c r="B1924" s="40" t="n">
        <x:v>0.36217367582934046</x:v>
      </x:c>
      <x:c r="C1924" t="n">
        <x:f>LOOKUP(B1924,$E$4:$E$9,$A$4:$A$9)</x:f>
        <x:v>2</x:v>
      </x:c>
    </x:row>
    <x:row r="1925">
      <x:c r="A1925" t="n">
        <x:v>1911</x:v>
      </x:c>
      <x:c r="B1925" s="40" t="n">
        <x:v>0.9847585300318772</x:v>
      </x:c>
      <x:c r="C1925" t="n">
        <x:f>LOOKUP(B1925,$E$4:$E$9,$A$4:$A$9)</x:f>
        <x:v>5</x:v>
      </x:c>
    </x:row>
    <x:row r="1926">
      <x:c r="A1926" t="n">
        <x:v>1912</x:v>
      </x:c>
      <x:c r="B1926" s="40" t="n">
        <x:v>0.1409873403966605</x:v>
      </x:c>
      <x:c r="C1926" t="n">
        <x:f>LOOKUP(B1926,$E$4:$E$9,$A$4:$A$9)</x:f>
        <x:v>1</x:v>
      </x:c>
    </x:row>
    <x:row r="1927">
      <x:c r="A1927" t="n">
        <x:v>1913</x:v>
      </x:c>
      <x:c r="B1927" s="40" t="n">
        <x:v>0.41092952752865664</x:v>
      </x:c>
      <x:c r="C1927" t="n">
        <x:f>LOOKUP(B1927,$E$4:$E$9,$A$4:$A$9)</x:f>
        <x:v>2</x:v>
      </x:c>
    </x:row>
    <x:row r="1928">
      <x:c r="A1928" t="n">
        <x:v>1914</x:v>
      </x:c>
      <x:c r="B1928" s="40" t="n">
        <x:v>0.8733737525606602</x:v>
      </x:c>
      <x:c r="C1928" t="n">
        <x:f>LOOKUP(B1928,$E$4:$E$9,$A$4:$A$9)</x:f>
        <x:v>4</x:v>
      </x:c>
    </x:row>
    <x:row r="1929">
      <x:c r="A1929" t="n">
        <x:v>1915</x:v>
      </x:c>
      <x:c r="B1929" s="40" t="n">
        <x:v>0.9004807465059209</x:v>
      </x:c>
      <x:c r="C1929" t="n">
        <x:f>LOOKUP(B1929,$E$4:$E$9,$A$4:$A$9)</x:f>
        <x:v>5</x:v>
      </x:c>
    </x:row>
    <x:row r="1930">
      <x:c r="A1930" t="n">
        <x:v>1916</x:v>
      </x:c>
      <x:c r="B1930" s="40" t="n">
        <x:v>0.9803821015597741</x:v>
      </x:c>
      <x:c r="C1930" t="n">
        <x:f>LOOKUP(B1930,$E$4:$E$9,$A$4:$A$9)</x:f>
        <x:v>5</x:v>
      </x:c>
    </x:row>
    <x:row r="1931">
      <x:c r="A1931" t="n">
        <x:v>1917</x:v>
      </x:c>
      <x:c r="B1931" s="40" t="n">
        <x:v>0.8848475922643815</x:v>
      </x:c>
      <x:c r="C1931" t="n">
        <x:f>LOOKUP(B1931,$E$4:$E$9,$A$4:$A$9)</x:f>
        <x:v>4</x:v>
      </x:c>
    </x:row>
    <x:row r="1932">
      <x:c r="A1932" t="n">
        <x:v>1918</x:v>
      </x:c>
      <x:c r="B1932" s="40" t="n">
        <x:v>0.050957025387412536</x:v>
      </x:c>
      <x:c r="C1932" t="n">
        <x:f>LOOKUP(B1932,$E$4:$E$9,$A$4:$A$9)</x:f>
        <x:v>0</x:v>
      </x:c>
    </x:row>
    <x:row r="1933">
      <x:c r="A1933" t="n">
        <x:v>1919</x:v>
      </x:c>
      <x:c r="B1933" s="40" t="n">
        <x:v>0.9297664996274883</x:v>
      </x:c>
      <x:c r="C1933" t="n">
        <x:f>LOOKUP(B1933,$E$4:$E$9,$A$4:$A$9)</x:f>
        <x:v>5</x:v>
      </x:c>
    </x:row>
    <x:row r="1934">
      <x:c r="A1934" t="n">
        <x:v>1920</x:v>
      </x:c>
      <x:c r="B1934" s="40" t="n">
        <x:v>0.4281671914067853</x:v>
      </x:c>
      <x:c r="C1934" t="n">
        <x:f>LOOKUP(B1934,$E$4:$E$9,$A$4:$A$9)</x:f>
        <x:v>2</x:v>
      </x:c>
    </x:row>
    <x:row r="1935">
      <x:c r="A1935" t="n">
        <x:v>1921</x:v>
      </x:c>
      <x:c r="B1935" s="40" t="n">
        <x:v>0.651619187456582</x:v>
      </x:c>
      <x:c r="C1935" t="n">
        <x:f>LOOKUP(B1935,$E$4:$E$9,$A$4:$A$9)</x:f>
        <x:v>3</x:v>
      </x:c>
    </x:row>
    <x:row r="1936">
      <x:c r="A1936" t="n">
        <x:v>1922</x:v>
      </x:c>
      <x:c r="B1936" s="40" t="n">
        <x:v>0.3942758691671191</x:v>
      </x:c>
      <x:c r="C1936" t="n">
        <x:f>LOOKUP(B1936,$E$4:$E$9,$A$4:$A$9)</x:f>
        <x:v>2</x:v>
      </x:c>
    </x:row>
    <x:row r="1937">
      <x:c r="A1937" t="n">
        <x:v>1923</x:v>
      </x:c>
      <x:c r="B1937" s="40" t="n">
        <x:v>0.8136680766135487</x:v>
      </x:c>
      <x:c r="C1937" t="n">
        <x:f>LOOKUP(B1937,$E$4:$E$9,$A$4:$A$9)</x:f>
        <x:v>4</x:v>
      </x:c>
    </x:row>
    <x:row r="1938">
      <x:c r="A1938" t="n">
        <x:v>1924</x:v>
      </x:c>
      <x:c r="B1938" s="40" t="n">
        <x:v>0.5759192763227661</x:v>
      </x:c>
      <x:c r="C1938" t="n">
        <x:f>LOOKUP(B1938,$E$4:$E$9,$A$4:$A$9)</x:f>
        <x:v>3</x:v>
      </x:c>
    </x:row>
    <x:row r="1939">
      <x:c r="A1939" t="n">
        <x:v>1925</x:v>
      </x:c>
      <x:c r="B1939" s="40" t="n">
        <x:v>0.8455446425540043</x:v>
      </x:c>
      <x:c r="C1939" t="n">
        <x:f>LOOKUP(B1939,$E$4:$E$9,$A$4:$A$9)</x:f>
        <x:v>4</x:v>
      </x:c>
    </x:row>
    <x:row r="1940">
      <x:c r="A1940" t="n">
        <x:v>1926</x:v>
      </x:c>
      <x:c r="B1940" s="40" t="n">
        <x:v>0.19377147152076724</x:v>
      </x:c>
      <x:c r="C1940" t="n">
        <x:f>LOOKUP(B1940,$E$4:$E$9,$A$4:$A$9)</x:f>
        <x:v>1</x:v>
      </x:c>
    </x:row>
    <x:row r="1941">
      <x:c r="A1941" t="n">
        <x:v>1927</x:v>
      </x:c>
      <x:c r="B1941" s="40" t="n">
        <x:v>0.18498309475490227</x:v>
      </x:c>
      <x:c r="C1941" t="n">
        <x:f>LOOKUP(B1941,$E$4:$E$9,$A$4:$A$9)</x:f>
        <x:v>1</x:v>
      </x:c>
    </x:row>
    <x:row r="1942">
      <x:c r="A1942" t="n">
        <x:v>1928</x:v>
      </x:c>
      <x:c r="B1942" s="40" t="n">
        <x:v>0.440376801584787</x:v>
      </x:c>
      <x:c r="C1942" t="n">
        <x:f>LOOKUP(B1942,$E$4:$E$9,$A$4:$A$9)</x:f>
        <x:v>2</x:v>
      </x:c>
    </x:row>
    <x:row r="1943">
      <x:c r="A1943" t="n">
        <x:v>1929</x:v>
      </x:c>
      <x:c r="B1943" s="40" t="n">
        <x:v>0.004751544962480536</x:v>
      </x:c>
      <x:c r="C1943" t="n">
        <x:f>LOOKUP(B1943,$E$4:$E$9,$A$4:$A$9)</x:f>
        <x:v>0</x:v>
      </x:c>
    </x:row>
    <x:row r="1944">
      <x:c r="A1944" t="n">
        <x:v>1930</x:v>
      </x:c>
      <x:c r="B1944" s="40" t="n">
        <x:v>0.6928529548962581</x:v>
      </x:c>
      <x:c r="C1944" t="n">
        <x:f>LOOKUP(B1944,$E$4:$E$9,$A$4:$A$9)</x:f>
        <x:v>3</x:v>
      </x:c>
    </x:row>
    <x:row r="1945">
      <x:c r="A1945" t="n">
        <x:v>1931</x:v>
      </x:c>
      <x:c r="B1945" s="40" t="n">
        <x:v>0.296053727808011</x:v>
      </x:c>
      <x:c r="C1945" t="n">
        <x:f>LOOKUP(B1945,$E$4:$E$9,$A$4:$A$9)</x:f>
        <x:v>2</x:v>
      </x:c>
    </x:row>
    <x:row r="1946">
      <x:c r="A1946" t="n">
        <x:v>1932</x:v>
      </x:c>
      <x:c r="B1946" s="40" t="n">
        <x:v>0.5572993462144499</x:v>
      </x:c>
      <x:c r="C1946" t="n">
        <x:f>LOOKUP(B1946,$E$4:$E$9,$A$4:$A$9)</x:f>
        <x:v>3</x:v>
      </x:c>
    </x:row>
    <x:row r="1947">
      <x:c r="A1947" t="n">
        <x:v>1933</x:v>
      </x:c>
      <x:c r="B1947" s="40" t="n">
        <x:v>0.07000356046084688</x:v>
      </x:c>
      <x:c r="C1947" t="n">
        <x:f>LOOKUP(B1947,$E$4:$E$9,$A$4:$A$9)</x:f>
        <x:v>0</x:v>
      </x:c>
    </x:row>
    <x:row r="1948">
      <x:c r="A1948" t="n">
        <x:v>1934</x:v>
      </x:c>
      <x:c r="B1948" s="40" t="n">
        <x:v>0.17064435938269396</x:v>
      </x:c>
      <x:c r="C1948" t="n">
        <x:f>LOOKUP(B1948,$E$4:$E$9,$A$4:$A$9)</x:f>
        <x:v>1</x:v>
      </x:c>
    </x:row>
    <x:row r="1949">
      <x:c r="A1949" t="n">
        <x:v>1935</x:v>
      </x:c>
      <x:c r="B1949" s="40" t="n">
        <x:v>0.6228591700219328</x:v>
      </x:c>
      <x:c r="C1949" t="n">
        <x:f>LOOKUP(B1949,$E$4:$E$9,$A$4:$A$9)</x:f>
        <x:v>3</x:v>
      </x:c>
    </x:row>
    <x:row r="1950">
      <x:c r="A1950" t="n">
        <x:v>1936</x:v>
      </x:c>
      <x:c r="B1950" s="40" t="n">
        <x:v>0.3056626271110431</x:v>
      </x:c>
      <x:c r="C1950" t="n">
        <x:f>LOOKUP(B1950,$E$4:$E$9,$A$4:$A$9)</x:f>
        <x:v>2</x:v>
      </x:c>
    </x:row>
    <x:row r="1951">
      <x:c r="A1951" t="n">
        <x:v>1937</x:v>
      </x:c>
      <x:c r="B1951" s="40" t="n">
        <x:v>0.2147219425856337</x:v>
      </x:c>
      <x:c r="C1951" t="n">
        <x:f>LOOKUP(B1951,$E$4:$E$9,$A$4:$A$9)</x:f>
        <x:v>1</x:v>
      </x:c>
    </x:row>
    <x:row r="1952">
      <x:c r="A1952" t="n">
        <x:v>1938</x:v>
      </x:c>
      <x:c r="B1952" s="40" t="n">
        <x:v>0.22884650080776792</x:v>
      </x:c>
      <x:c r="C1952" t="n">
        <x:f>LOOKUP(B1952,$E$4:$E$9,$A$4:$A$9)</x:f>
        <x:v>1</x:v>
      </x:c>
    </x:row>
    <x:row r="1953">
      <x:c r="A1953" t="n">
        <x:v>1939</x:v>
      </x:c>
      <x:c r="B1953" s="40" t="n">
        <x:v>0.21481936472549545</x:v>
      </x:c>
      <x:c r="C1953" t="n">
        <x:f>LOOKUP(B1953,$E$4:$E$9,$A$4:$A$9)</x:f>
        <x:v>1</x:v>
      </x:c>
    </x:row>
    <x:row r="1954">
      <x:c r="A1954" t="n">
        <x:v>1940</x:v>
      </x:c>
      <x:c r="B1954" s="40" t="n">
        <x:v>0.6228509494305482</x:v>
      </x:c>
      <x:c r="C1954" t="n">
        <x:f>LOOKUP(B1954,$E$4:$E$9,$A$4:$A$9)</x:f>
        <x:v>3</x:v>
      </x:c>
    </x:row>
    <x:row r="1955">
      <x:c r="A1955" t="n">
        <x:v>1941</x:v>
      </x:c>
      <x:c r="B1955" s="40" t="n">
        <x:v>0.16769121446945712</x:v>
      </x:c>
      <x:c r="C1955" t="n">
        <x:f>LOOKUP(B1955,$E$4:$E$9,$A$4:$A$9)</x:f>
        <x:v>1</x:v>
      </x:c>
    </x:row>
    <x:row r="1956">
      <x:c r="A1956" t="n">
        <x:v>1942</x:v>
      </x:c>
      <x:c r="B1956" s="40" t="n">
        <x:v>0.36270635917989036</x:v>
      </x:c>
      <x:c r="C1956" t="n">
        <x:f>LOOKUP(B1956,$E$4:$E$9,$A$4:$A$9)</x:f>
        <x:v>2</x:v>
      </x:c>
    </x:row>
    <x:row r="1957">
      <x:c r="A1957" t="n">
        <x:v>1943</x:v>
      </x:c>
      <x:c r="B1957" s="40" t="n">
        <x:v>0.6878868655934522</x:v>
      </x:c>
      <x:c r="C1957" t="n">
        <x:f>LOOKUP(B1957,$E$4:$E$9,$A$4:$A$9)</x:f>
        <x:v>3</x:v>
      </x:c>
    </x:row>
    <x:row r="1958">
      <x:c r="A1958" t="n">
        <x:v>1944</x:v>
      </x:c>
      <x:c r="B1958" s="40" t="n">
        <x:v>0.5136710573476506</x:v>
      </x:c>
      <x:c r="C1958" t="n">
        <x:f>LOOKUP(B1958,$E$4:$E$9,$A$4:$A$9)</x:f>
        <x:v>3</x:v>
      </x:c>
    </x:row>
    <x:row r="1959">
      <x:c r="A1959" t="n">
        <x:v>1945</x:v>
      </x:c>
      <x:c r="B1959" s="40" t="n">
        <x:v>0.5972808707754839</x:v>
      </x:c>
      <x:c r="C1959" t="n">
        <x:f>LOOKUP(B1959,$E$4:$E$9,$A$4:$A$9)</x:f>
        <x:v>3</x:v>
      </x:c>
    </x:row>
    <x:row r="1960">
      <x:c r="A1960" t="n">
        <x:v>1946</x:v>
      </x:c>
      <x:c r="B1960" s="40" t="n">
        <x:v>0.2509069794637485</x:v>
      </x:c>
      <x:c r="C1960" t="n">
        <x:f>LOOKUP(B1960,$E$4:$E$9,$A$4:$A$9)</x:f>
        <x:v>2</x:v>
      </x:c>
    </x:row>
    <x:row r="1961">
      <x:c r="A1961" t="n">
        <x:v>1947</x:v>
      </x:c>
      <x:c r="B1961" s="40" t="n">
        <x:v>0.9327148731652056</x:v>
      </x:c>
      <x:c r="C1961" t="n">
        <x:f>LOOKUP(B1961,$E$4:$E$9,$A$4:$A$9)</x:f>
        <x:v>5</x:v>
      </x:c>
    </x:row>
    <x:row r="1962">
      <x:c r="A1962" t="n">
        <x:v>1948</x:v>
      </x:c>
      <x:c r="B1962" s="40" t="n">
        <x:v>0.4138792483163356</x:v>
      </x:c>
      <x:c r="C1962" t="n">
        <x:f>LOOKUP(B1962,$E$4:$E$9,$A$4:$A$9)</x:f>
        <x:v>2</x:v>
      </x:c>
    </x:row>
    <x:row r="1963">
      <x:c r="A1963" t="n">
        <x:v>1949</x:v>
      </x:c>
      <x:c r="B1963" s="40" t="n">
        <x:v>0.28696393661233455</x:v>
      </x:c>
      <x:c r="C1963" t="n">
        <x:f>LOOKUP(B1963,$E$4:$E$9,$A$4:$A$9)</x:f>
        <x:v>2</x:v>
      </x:c>
    </x:row>
    <x:row r="1964">
      <x:c r="A1964" t="n">
        <x:v>1950</x:v>
      </x:c>
      <x:c r="B1964" s="40" t="n">
        <x:v>0.9043261840584723</x:v>
      </x:c>
      <x:c r="C1964" t="n">
        <x:f>LOOKUP(B1964,$E$4:$E$9,$A$4:$A$9)</x:f>
        <x:v>5</x:v>
      </x:c>
    </x:row>
    <x:row r="1965">
      <x:c r="A1965" t="n">
        <x:v>1951</x:v>
      </x:c>
      <x:c r="B1965" s="40" t="n">
        <x:v>0.655289615264387</x:v>
      </x:c>
      <x:c r="C1965" t="n">
        <x:f>LOOKUP(B1965,$E$4:$E$9,$A$4:$A$9)</x:f>
        <x:v>3</x:v>
      </x:c>
    </x:row>
    <x:row r="1966">
      <x:c r="A1966" t="n">
        <x:v>1952</x:v>
      </x:c>
      <x:c r="B1966" s="40" t="n">
        <x:v>0.6139458631384505</x:v>
      </x:c>
      <x:c r="C1966" t="n">
        <x:f>LOOKUP(B1966,$E$4:$E$9,$A$4:$A$9)</x:f>
        <x:v>3</x:v>
      </x:c>
    </x:row>
    <x:row r="1967">
      <x:c r="A1967" t="n">
        <x:v>1953</x:v>
      </x:c>
      <x:c r="B1967" s="40" t="n">
        <x:v>0.8867346521661681</x:v>
      </x:c>
      <x:c r="C1967" t="n">
        <x:f>LOOKUP(B1967,$E$4:$E$9,$A$4:$A$9)</x:f>
        <x:v>4</x:v>
      </x:c>
    </x:row>
    <x:row r="1968">
      <x:c r="A1968" t="n">
        <x:v>1954</x:v>
      </x:c>
      <x:c r="B1968" s="40" t="n">
        <x:v>0.05854028627138441</x:v>
      </x:c>
      <x:c r="C1968" t="n">
        <x:f>LOOKUP(B1968,$E$4:$E$9,$A$4:$A$9)</x:f>
        <x:v>0</x:v>
      </x:c>
    </x:row>
    <x:row r="1969">
      <x:c r="A1969" t="n">
        <x:v>1955</x:v>
      </x:c>
      <x:c r="B1969" s="40" t="n">
        <x:v>0.8376795120075803</x:v>
      </x:c>
      <x:c r="C1969" t="n">
        <x:f>LOOKUP(B1969,$E$4:$E$9,$A$4:$A$9)</x:f>
        <x:v>4</x:v>
      </x:c>
    </x:row>
    <x:row r="1970">
      <x:c r="A1970" t="n">
        <x:v>1956</x:v>
      </x:c>
      <x:c r="B1970" s="40" t="n">
        <x:v>0.6778643643051009</x:v>
      </x:c>
      <x:c r="C1970" t="n">
        <x:f>LOOKUP(B1970,$E$4:$E$9,$A$4:$A$9)</x:f>
        <x:v>3</x:v>
      </x:c>
    </x:row>
    <x:row r="1971">
      <x:c r="A1971" t="n">
        <x:v>1957</x:v>
      </x:c>
      <x:c r="B1971" s="40" t="n">
        <x:v>0.35999279478012935</x:v>
      </x:c>
      <x:c r="C1971" t="n">
        <x:f>LOOKUP(B1971,$E$4:$E$9,$A$4:$A$9)</x:f>
        <x:v>2</x:v>
      </x:c>
    </x:row>
    <x:row r="1972">
      <x:c r="A1972" t="n">
        <x:v>1958</x:v>
      </x:c>
      <x:c r="B1972" s="40" t="n">
        <x:v>0.2563513425238556</x:v>
      </x:c>
      <x:c r="C1972" t="n">
        <x:f>LOOKUP(B1972,$E$4:$E$9,$A$4:$A$9)</x:f>
        <x:v>2</x:v>
      </x:c>
    </x:row>
    <x:row r="1973">
      <x:c r="A1973" t="n">
        <x:v>1959</x:v>
      </x:c>
      <x:c r="B1973" s="40" t="n">
        <x:v>0.10480589988155764</x:v>
      </x:c>
      <x:c r="C1973" t="n">
        <x:f>LOOKUP(B1973,$E$4:$E$9,$A$4:$A$9)</x:f>
        <x:v>1</x:v>
      </x:c>
    </x:row>
    <x:row r="1974">
      <x:c r="A1974" t="n">
        <x:v>1960</x:v>
      </x:c>
      <x:c r="B1974" s="40" t="n">
        <x:v>0.94107417024669</x:v>
      </x:c>
      <x:c r="C1974" t="n">
        <x:f>LOOKUP(B1974,$E$4:$E$9,$A$4:$A$9)</x:f>
        <x:v>5</x:v>
      </x:c>
    </x:row>
    <x:row r="1975">
      <x:c r="A1975" t="n">
        <x:v>1961</x:v>
      </x:c>
      <x:c r="B1975" s="40" t="n">
        <x:v>0.1419121033295362</x:v>
      </x:c>
      <x:c r="C1975" t="n">
        <x:f>LOOKUP(B1975,$E$4:$E$9,$A$4:$A$9)</x:f>
        <x:v>1</x:v>
      </x:c>
    </x:row>
    <x:row r="1976">
      <x:c r="A1976" t="n">
        <x:v>1962</x:v>
      </x:c>
      <x:c r="B1976" s="40" t="n">
        <x:v>0.25943853573088427</x:v>
      </x:c>
      <x:c r="C1976" t="n">
        <x:f>LOOKUP(B1976,$E$4:$E$9,$A$4:$A$9)</x:f>
        <x:v>2</x:v>
      </x:c>
    </x:row>
    <x:row r="1977">
      <x:c r="A1977" t="n">
        <x:v>1963</x:v>
      </x:c>
      <x:c r="B1977" s="40" t="n">
        <x:v>0.6911071795694699</x:v>
      </x:c>
      <x:c r="C1977" t="n">
        <x:f>LOOKUP(B1977,$E$4:$E$9,$A$4:$A$9)</x:f>
        <x:v>3</x:v>
      </x:c>
    </x:row>
    <x:row r="1978">
      <x:c r="A1978" t="n">
        <x:v>1964</x:v>
      </x:c>
      <x:c r="B1978" s="40" t="n">
        <x:v>0.7101524378859926</x:v>
      </x:c>
      <x:c r="C1978" t="n">
        <x:f>LOOKUP(B1978,$E$4:$E$9,$A$4:$A$9)</x:f>
        <x:v>3</x:v>
      </x:c>
    </x:row>
    <x:row r="1979">
      <x:c r="A1979" t="n">
        <x:v>1965</x:v>
      </x:c>
      <x:c r="B1979" s="40" t="n">
        <x:v>0.16076870460259396</x:v>
      </x:c>
      <x:c r="C1979" t="n">
        <x:f>LOOKUP(B1979,$E$4:$E$9,$A$4:$A$9)</x:f>
        <x:v>1</x:v>
      </x:c>
    </x:row>
    <x:row r="1980">
      <x:c r="A1980" t="n">
        <x:v>1966</x:v>
      </x:c>
      <x:c r="B1980" s="40" t="n">
        <x:v>0.8141311607656276</x:v>
      </x:c>
      <x:c r="C1980" t="n">
        <x:f>LOOKUP(B1980,$E$4:$E$9,$A$4:$A$9)</x:f>
        <x:v>4</x:v>
      </x:c>
    </x:row>
    <x:row r="1981">
      <x:c r="A1981" t="n">
        <x:v>1967</x:v>
      </x:c>
      <x:c r="B1981" s="40" t="n">
        <x:v>0.5102872691763625</x:v>
      </x:c>
      <x:c r="C1981" t="n">
        <x:f>LOOKUP(B1981,$E$4:$E$9,$A$4:$A$9)</x:f>
        <x:v>3</x:v>
      </x:c>
    </x:row>
    <x:row r="1982">
      <x:c r="A1982" t="n">
        <x:v>1968</x:v>
      </x:c>
      <x:c r="B1982" s="40" t="n">
        <x:v>0.8484566781151089</x:v>
      </x:c>
      <x:c r="C1982" t="n">
        <x:f>LOOKUP(B1982,$E$4:$E$9,$A$4:$A$9)</x:f>
        <x:v>4</x:v>
      </x:c>
    </x:row>
    <x:row r="1983">
      <x:c r="A1983" t="n">
        <x:v>1969</x:v>
      </x:c>
      <x:c r="B1983" s="40" t="n">
        <x:v>0.08728538984754453</x:v>
      </x:c>
      <x:c r="C1983" t="n">
        <x:f>LOOKUP(B1983,$E$4:$E$9,$A$4:$A$9)</x:f>
        <x:v>0</x:v>
      </x:c>
    </x:row>
    <x:row r="1984">
      <x:c r="A1984" t="n">
        <x:v>1970</x:v>
      </x:c>
      <x:c r="B1984" s="40" t="n">
        <x:v>0.042829999093689675</x:v>
      </x:c>
      <x:c r="C1984" t="n">
        <x:f>LOOKUP(B1984,$E$4:$E$9,$A$4:$A$9)</x:f>
        <x:v>0</x:v>
      </x:c>
    </x:row>
    <x:row r="1985">
      <x:c r="A1985" t="n">
        <x:v>1971</x:v>
      </x:c>
      <x:c r="B1985" s="40" t="n">
        <x:v>0.6369903814943497</x:v>
      </x:c>
      <x:c r="C1985" t="n">
        <x:f>LOOKUP(B1985,$E$4:$E$9,$A$4:$A$9)</x:f>
        <x:v>3</x:v>
      </x:c>
    </x:row>
    <x:row r="1986">
      <x:c r="A1986" t="n">
        <x:v>1972</x:v>
      </x:c>
      <x:c r="B1986" s="40" t="n">
        <x:v>0.15002379710981684</x:v>
      </x:c>
      <x:c r="C1986" t="n">
        <x:f>LOOKUP(B1986,$E$4:$E$9,$A$4:$A$9)</x:f>
        <x:v>1</x:v>
      </x:c>
    </x:row>
    <x:row r="1987">
      <x:c r="A1987" t="n">
        <x:v>1973</x:v>
      </x:c>
      <x:c r="B1987" s="40" t="n">
        <x:v>0.5249490457332999</x:v>
      </x:c>
      <x:c r="C1987" t="n">
        <x:f>LOOKUP(B1987,$E$4:$E$9,$A$4:$A$9)</x:f>
        <x:v>3</x:v>
      </x:c>
    </x:row>
    <x:row r="1988">
      <x:c r="A1988" t="n">
        <x:v>1974</x:v>
      </x:c>
      <x:c r="B1988" s="40" t="n">
        <x:v>0.01410875928450872</x:v>
      </x:c>
      <x:c r="C1988" t="n">
        <x:f>LOOKUP(B1988,$E$4:$E$9,$A$4:$A$9)</x:f>
        <x:v>0</x:v>
      </x:c>
    </x:row>
    <x:row r="1989">
      <x:c r="A1989" t="n">
        <x:v>1975</x:v>
      </x:c>
      <x:c r="B1989" s="40" t="n">
        <x:v>0.7799292605482002</x:v>
      </x:c>
      <x:c r="C1989" t="n">
        <x:f>LOOKUP(B1989,$E$4:$E$9,$A$4:$A$9)</x:f>
        <x:v>4</x:v>
      </x:c>
    </x:row>
    <x:row r="1990">
      <x:c r="A1990" t="n">
        <x:v>1976</x:v>
      </x:c>
      <x:c r="B1990" s="40" t="n">
        <x:v>0.8995301701785016</x:v>
      </x:c>
      <x:c r="C1990" t="n">
        <x:f>LOOKUP(B1990,$E$4:$E$9,$A$4:$A$9)</x:f>
        <x:v>5</x:v>
      </x:c>
    </x:row>
    <x:row r="1991">
      <x:c r="A1991" t="n">
        <x:v>1977</x:v>
      </x:c>
      <x:c r="B1991" s="40" t="n">
        <x:v>0.838882761964288</x:v>
      </x:c>
      <x:c r="C1991" t="n">
        <x:f>LOOKUP(B1991,$E$4:$E$9,$A$4:$A$9)</x:f>
        <x:v>4</x:v>
      </x:c>
    </x:row>
    <x:row r="1992">
      <x:c r="A1992" t="n">
        <x:v>1978</x:v>
      </x:c>
      <x:c r="B1992" s="40" t="n">
        <x:v>0.9583528131504183</x:v>
      </x:c>
      <x:c r="C1992" t="n">
        <x:f>LOOKUP(B1992,$E$4:$E$9,$A$4:$A$9)</x:f>
        <x:v>5</x:v>
      </x:c>
    </x:row>
    <x:row r="1993">
      <x:c r="A1993" t="n">
        <x:v>1979</x:v>
      </x:c>
      <x:c r="B1993" s="40" t="n">
        <x:v>0.9030957546587897</x:v>
      </x:c>
      <x:c r="C1993" t="n">
        <x:f>LOOKUP(B1993,$E$4:$E$9,$A$4:$A$9)</x:f>
        <x:v>5</x:v>
      </x:c>
    </x:row>
    <x:row r="1994">
      <x:c r="A1994" t="n">
        <x:v>1980</x:v>
      </x:c>
      <x:c r="B1994" s="40" t="n">
        <x:v>0.44401801829036525</x:v>
      </x:c>
      <x:c r="C1994" t="n">
        <x:f>LOOKUP(B1994,$E$4:$E$9,$A$4:$A$9)</x:f>
        <x:v>2</x:v>
      </x:c>
    </x:row>
    <x:row r="1995">
      <x:c r="A1995" t="n">
        <x:v>1981</x:v>
      </x:c>
      <x:c r="B1995" s="40" t="n">
        <x:v>0.3983482084436466</x:v>
      </x:c>
      <x:c r="C1995" t="n">
        <x:f>LOOKUP(B1995,$E$4:$E$9,$A$4:$A$9)</x:f>
        <x:v>2</x:v>
      </x:c>
    </x:row>
    <x:row r="1996">
      <x:c r="A1996" t="n">
        <x:v>1982</x:v>
      </x:c>
      <x:c r="B1996" s="40" t="n">
        <x:v>0.896183667971543</x:v>
      </x:c>
      <x:c r="C1996" t="n">
        <x:f>LOOKUP(B1996,$E$4:$E$9,$A$4:$A$9)</x:f>
        <x:v>5</x:v>
      </x:c>
    </x:row>
    <x:row r="1997">
      <x:c r="A1997" t="n">
        <x:v>1983</x:v>
      </x:c>
      <x:c r="B1997" s="40" t="n">
        <x:v>0.926938795357227</x:v>
      </x:c>
      <x:c r="C1997" t="n">
        <x:f>LOOKUP(B1997,$E$4:$E$9,$A$4:$A$9)</x:f>
        <x:v>5</x:v>
      </x:c>
    </x:row>
    <x:row r="1998">
      <x:c r="A1998" t="n">
        <x:v>1984</x:v>
      </x:c>
      <x:c r="B1998" s="40" t="n">
        <x:v>0.972835948318037</x:v>
      </x:c>
      <x:c r="C1998" t="n">
        <x:f>LOOKUP(B1998,$E$4:$E$9,$A$4:$A$9)</x:f>
        <x:v>5</x:v>
      </x:c>
    </x:row>
    <x:row r="1999">
      <x:c r="A1999" t="n">
        <x:v>1985</x:v>
      </x:c>
      <x:c r="B1999" s="40" t="n">
        <x:v>0.7683172348427827</x:v>
      </x:c>
      <x:c r="C1999" t="n">
        <x:f>LOOKUP(B1999,$E$4:$E$9,$A$4:$A$9)</x:f>
        <x:v>4</x:v>
      </x:c>
    </x:row>
    <x:row r="2000">
      <x:c r="A2000" t="n">
        <x:v>1986</x:v>
      </x:c>
      <x:c r="B2000" s="40" t="n">
        <x:v>0.20198882994138034</x:v>
      </x:c>
      <x:c r="C2000" t="n">
        <x:f>LOOKUP(B2000,$E$4:$E$9,$A$4:$A$9)</x:f>
        <x:v>1</x:v>
      </x:c>
    </x:row>
    <x:row r="2001">
      <x:c r="A2001" t="n">
        <x:v>1987</x:v>
      </x:c>
      <x:c r="B2001" s="40" t="n">
        <x:v>0.9449541361107224</x:v>
      </x:c>
      <x:c r="C2001" t="n">
        <x:f>LOOKUP(B2001,$E$4:$E$9,$A$4:$A$9)</x:f>
        <x:v>5</x:v>
      </x:c>
    </x:row>
    <x:row r="2002">
      <x:c r="A2002" t="n">
        <x:v>1988</x:v>
      </x:c>
      <x:c r="B2002" s="40" t="n">
        <x:v>0.9471414668162196</x:v>
      </x:c>
      <x:c r="C2002" t="n">
        <x:f>LOOKUP(B2002,$E$4:$E$9,$A$4:$A$9)</x:f>
        <x:v>5</x:v>
      </x:c>
    </x:row>
    <x:row r="2003">
      <x:c r="A2003" t="n">
        <x:v>1989</x:v>
      </x:c>
      <x:c r="B2003" s="40" t="n">
        <x:v>0.6661313639129715</x:v>
      </x:c>
      <x:c r="C2003" t="n">
        <x:f>LOOKUP(B2003,$E$4:$E$9,$A$4:$A$9)</x:f>
        <x:v>3</x:v>
      </x:c>
    </x:row>
    <x:row r="2004">
      <x:c r="A2004" t="n">
        <x:v>1990</x:v>
      </x:c>
      <x:c r="B2004" s="40" t="n">
        <x:v>0.8572802663494847</x:v>
      </x:c>
      <x:c r="C2004" t="n">
        <x:f>LOOKUP(B2004,$E$4:$E$9,$A$4:$A$9)</x:f>
        <x:v>4</x:v>
      </x:c>
    </x:row>
    <x:row r="2005">
      <x:c r="A2005" t="n">
        <x:v>1991</x:v>
      </x:c>
      <x:c r="B2005" s="40" t="n">
        <x:v>0.5611764211639523</x:v>
      </x:c>
      <x:c r="C2005" t="n">
        <x:f>LOOKUP(B2005,$E$4:$E$9,$A$4:$A$9)</x:f>
        <x:v>3</x:v>
      </x:c>
    </x:row>
    <x:row r="2006">
      <x:c r="A2006" t="n">
        <x:v>1992</x:v>
      </x:c>
      <x:c r="B2006" s="40" t="n">
        <x:v>0.9441269454117227</x:v>
      </x:c>
      <x:c r="C2006" t="n">
        <x:f>LOOKUP(B2006,$E$4:$E$9,$A$4:$A$9)</x:f>
        <x:v>5</x:v>
      </x:c>
    </x:row>
    <x:row r="2007">
      <x:c r="A2007" t="n">
        <x:v>1993</x:v>
      </x:c>
      <x:c r="B2007" s="40" t="n">
        <x:v>0.09393639659209119</x:v>
      </x:c>
      <x:c r="C2007" t="n">
        <x:f>LOOKUP(B2007,$E$4:$E$9,$A$4:$A$9)</x:f>
        <x:v>1</x:v>
      </x:c>
    </x:row>
    <x:row r="2008">
      <x:c r="A2008" t="n">
        <x:v>1994</x:v>
      </x:c>
      <x:c r="B2008" s="40" t="n">
        <x:v>0.8639636964847707</x:v>
      </x:c>
      <x:c r="C2008" t="n">
        <x:f>LOOKUP(B2008,$E$4:$E$9,$A$4:$A$9)</x:f>
        <x:v>4</x:v>
      </x:c>
    </x:row>
    <x:row r="2009">
      <x:c r="A2009" t="n">
        <x:v>1995</x:v>
      </x:c>
      <x:c r="B2009" s="40" t="n">
        <x:v>0.055503629037139346</x:v>
      </x:c>
      <x:c r="C2009" t="n">
        <x:f>LOOKUP(B2009,$E$4:$E$9,$A$4:$A$9)</x:f>
        <x:v>0</x:v>
      </x:c>
    </x:row>
    <x:row r="2010">
      <x:c r="A2010" t="n">
        <x:v>1996</x:v>
      </x:c>
      <x:c r="B2010" s="40" t="n">
        <x:v>0.3391070522180205</x:v>
      </x:c>
      <x:c r="C2010" t="n">
        <x:f>LOOKUP(B2010,$E$4:$E$9,$A$4:$A$9)</x:f>
        <x:v>2</x:v>
      </x:c>
    </x:row>
    <x:row r="2011">
      <x:c r="A2011" t="n">
        <x:v>1997</x:v>
      </x:c>
      <x:c r="B2011" s="40" t="n">
        <x:v>0.13532564261526192</x:v>
      </x:c>
      <x:c r="C2011" t="n">
        <x:f>LOOKUP(B2011,$E$4:$E$9,$A$4:$A$9)</x:f>
        <x:v>1</x:v>
      </x:c>
    </x:row>
    <x:row r="2012">
      <x:c r="A2012" t="n">
        <x:v>1998</x:v>
      </x:c>
      <x:c r="B2012" s="40" t="n">
        <x:v>0.4791350924629122</x:v>
      </x:c>
      <x:c r="C2012" t="n">
        <x:f>LOOKUP(B2012,$E$4:$E$9,$A$4:$A$9)</x:f>
        <x:v>2</x:v>
      </x:c>
    </x:row>
    <x:row r="2013">
      <x:c r="A2013" t="n">
        <x:v>1999</x:v>
      </x:c>
      <x:c r="B2013" s="40" t="n">
        <x:v>0.23224615799246995</x:v>
      </x:c>
      <x:c r="C2013" t="n">
        <x:f>LOOKUP(B2013,$E$4:$E$9,$A$4:$A$9)</x:f>
        <x:v>1</x:v>
      </x:c>
    </x:row>
    <x:row r="2014">
      <x:c r="A2014" t="n">
        <x:v>2000</x:v>
      </x:c>
      <x:c r="B2014" s="40" t="n">
        <x:v>0.9520723793339971</x:v>
      </x:c>
      <x:c r="C2014" t="n">
        <x:f>LOOKUP(B2014,$E$4:$E$9,$A$4:$A$9)</x:f>
        <x:v>5</x:v>
      </x:c>
    </x:row>
  </x:sheetData>
  <x:mergeCells>
    <x:mergeCell ref="A1:R1"/>
    <x:mergeCell ref="D11:R11"/>
  </x:mergeCells>
  <x:pageMargins left="0.7" right="0.7" top="0.75" bottom="0.75" header="0.3" footer="0.3"/>
  <x:drawing xmlns:r="http://schemas.openxmlformats.org/officeDocument/2006/relationships" r:id="R7451e7190cdc4ffd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>
      <x:c r="A1" s="6" t="str">
        <x:v>Билет №22 — моделирование ежедневного спроса магазина «Все по 100»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</x:row>
    <x:row r="3">
      <x:c r="A3" s="16" t="str">
        <x:v>Спрос</x:v>
      </x:c>
      <x:c r="B3" s="16" t="str">
        <x:v>Число дней</x:v>
      </x:c>
      <x:c r="C3" s="16" t="str">
        <x:v>Вероятность</x:v>
      </x:c>
      <x:c r="D3" s="16" t="str">
        <x:v>F(x)</x:v>
      </x:c>
      <x:c r="E3" s="16" t="str">
        <x:v>Начало интервала</x:v>
      </x:c>
      <x:c r="F3" s="16" t="str">
        <x:v>Конец интервала</x:v>
      </x:c>
    </x:row>
    <x:row r="4">
      <x:c r="A4" t="n">
        <x:v>0</x:v>
      </x:c>
      <x:c r="B4" t="n">
        <x:v>15</x:v>
      </x:c>
      <x:c r="C4" s="42" t="n">
        <x:f>B4/SUM($B$4:$B$9)</x:f>
        <x:v>0.075</x:v>
      </x:c>
      <x:c r="D4" s="42" t="n">
        <x:f>SUM($C$4:C4)</x:f>
        <x:v>0.075</x:v>
      </x:c>
      <x:c r="E4" s="42" t="n">
        <x:f>0</x:f>
        <x:v>0</x:v>
      </x:c>
      <x:c r="F4" s="42" t="n">
        <x:f>D4</x:f>
        <x:v>0.075</x:v>
      </x:c>
    </x:row>
    <x:row r="5">
      <x:c r="A5" t="n">
        <x:v>1</x:v>
      </x:c>
      <x:c r="B5" t="n">
        <x:v>25</x:v>
      </x:c>
      <x:c r="C5" s="42" t="n">
        <x:f>B5/SUM($B$4:$B$9)</x:f>
        <x:v>0.125</x:v>
      </x:c>
      <x:c r="D5" s="42" t="n">
        <x:f>SUM($C$4:C5)</x:f>
        <x:v>0.2</x:v>
      </x:c>
      <x:c r="E5" s="42" t="n">
        <x:f>D4</x:f>
        <x:v>0.075</x:v>
      </x:c>
      <x:c r="F5" s="42" t="n">
        <x:f>D5</x:f>
        <x:v>0.2</x:v>
      </x:c>
    </x:row>
    <x:row r="6">
      <x:c r="A6" t="n">
        <x:v>2</x:v>
      </x:c>
      <x:c r="B6" t="n">
        <x:v>45</x:v>
      </x:c>
      <x:c r="C6" s="42" t="n">
        <x:f>B6/SUM($B$4:$B$9)</x:f>
        <x:v>0.225</x:v>
      </x:c>
      <x:c r="D6" s="42" t="n">
        <x:f>SUM($C$4:C6)</x:f>
        <x:v>0.42500000000000004</x:v>
      </x:c>
      <x:c r="E6" s="42" t="n">
        <x:f>D5</x:f>
        <x:v>0.2</x:v>
      </x:c>
      <x:c r="F6" s="42" t="n">
        <x:f>D6</x:f>
        <x:v>0.42500000000000004</x:v>
      </x:c>
    </x:row>
    <x:row r="7">
      <x:c r="A7" t="n">
        <x:v>3</x:v>
      </x:c>
      <x:c r="B7" t="n">
        <x:v>55</x:v>
      </x:c>
      <x:c r="C7" s="42" t="n">
        <x:f>B7/SUM($B$4:$B$9)</x:f>
        <x:v>0.275</x:v>
      </x:c>
      <x:c r="D7" s="42" t="n">
        <x:f>SUM($C$4:C7)</x:f>
        <x:v>0.7000000000000001</x:v>
      </x:c>
      <x:c r="E7" s="42" t="n">
        <x:f>D6</x:f>
        <x:v>0.42500000000000004</x:v>
      </x:c>
      <x:c r="F7" s="42" t="n">
        <x:f>D7</x:f>
        <x:v>0.7000000000000001</x:v>
      </x:c>
    </x:row>
    <x:row r="8">
      <x:c r="A8" t="n">
        <x:v>4</x:v>
      </x:c>
      <x:c r="B8" t="n">
        <x:v>35</x:v>
      </x:c>
      <x:c r="C8" s="42" t="n">
        <x:f>B8/SUM($B$4:$B$9)</x:f>
        <x:v>0.175</x:v>
      </x:c>
      <x:c r="D8" s="42" t="n">
        <x:f>SUM($C$4:C8)</x:f>
        <x:v>0.875</x:v>
      </x:c>
      <x:c r="E8" s="42" t="n">
        <x:f>D7</x:f>
        <x:v>0.7000000000000001</x:v>
      </x:c>
      <x:c r="F8" s="42" t="n">
        <x:f>D8</x:f>
        <x:v>0.875</x:v>
      </x:c>
    </x:row>
    <x:row r="9">
      <x:c r="A9" t="n">
        <x:v>5</x:v>
      </x:c>
      <x:c r="B9" t="n">
        <x:v>25</x:v>
      </x:c>
      <x:c r="C9" s="42" t="n">
        <x:f>B9/SUM($B$4:$B$9)</x:f>
        <x:v>0.125</x:v>
      </x:c>
      <x:c r="D9" s="42" t="n">
        <x:f>SUM($C$4:C9)</x:f>
        <x:v>1</x:v>
      </x:c>
      <x:c r="E9" s="42" t="n">
        <x:f>D8</x:f>
        <x:v>0.875</x:v>
      </x:c>
      <x:c r="F9" s="42" t="n">
        <x:f>D9</x:f>
        <x:v>1</x:v>
      </x:c>
    </x:row>
    <x:row r="11">
      <x:c r="A11" s="16" t="str">
        <x:v>Показатель</x:v>
      </x:c>
      <x:c r="B11" s="16" t="str">
        <x:v>Значение</x:v>
      </x:c>
    </x:row>
    <x:row r="12">
      <x:c r="A12" t="str">
        <x:v>Теоретическое E(X)</x:v>
      </x:c>
      <x:c r="B12" s="42" t="n">
        <x:f>SUMPRODUCT(A4:A9,C4:C9)</x:f>
        <x:v>2.7249999999999996</x:v>
      </x:c>
      <x:c r="C12" s="42"/>
    </x:row>
    <x:row r="13">
      <x:c r="A13" t="str">
        <x:v>Средний спрос по 20 экспериментам</x:v>
      </x:c>
      <x:c r="B13" s="42" t="n">
        <x:f>AVERAGE(V16:V35)</x:f>
        <x:v>2.7950000000000004</x:v>
      </x:c>
      <x:c r="C13" s="42"/>
    </x:row>
    <x:row r="14">
      <x:c r="A14" s="32" t="str">
        <x:v>Разница имитация − теория</x:v>
      </x:c>
      <x:c r="B14" s="64"/>
      <x:c r="C14" s="64" t="n">
        <x:f>B13-B12</x:f>
        <x:v>0.07000000000000073</x:v>
      </x:c>
    </x:row>
    <x:row r="15">
      <x:c r="A15" s="16" t="str">
        <x:v>Эксперимент</x:v>
      </x:c>
      <x:c r="B15" s="16" t="str">
        <x:v>День 1</x:v>
      </x:c>
      <x:c r="C15" s="16" t="str">
        <x:v>День 2</x:v>
      </x:c>
      <x:c r="D15" s="16" t="str">
        <x:v>День 3</x:v>
      </x:c>
      <x:c r="E15" s="16" t="str">
        <x:v>День 4</x:v>
      </x:c>
      <x:c r="F15" s="16" t="str">
        <x:v>День 5</x:v>
      </x:c>
      <x:c r="G15" s="16" t="str">
        <x:v>День 6</x:v>
      </x:c>
      <x:c r="H15" s="16" t="str">
        <x:v>День 7</x:v>
      </x:c>
      <x:c r="I15" s="16" t="str">
        <x:v>День 8</x:v>
      </x:c>
      <x:c r="J15" s="16" t="str">
        <x:v>День 9</x:v>
      </x:c>
      <x:c r="K15" s="16" t="str">
        <x:v>День 10</x:v>
      </x:c>
      <x:c r="L15" s="16" t="str">
        <x:v>День 11</x:v>
      </x:c>
      <x:c r="M15" s="16" t="str">
        <x:v>День 12</x:v>
      </x:c>
      <x:c r="N15" s="16" t="str">
        <x:v>День 13</x:v>
      </x:c>
      <x:c r="O15" s="16" t="str">
        <x:v>День 14</x:v>
      </x:c>
      <x:c r="P15" s="16" t="str">
        <x:v>День 15</x:v>
      </x:c>
      <x:c r="Q15" s="16" t="str">
        <x:v>День 16</x:v>
      </x:c>
      <x:c r="R15" s="16" t="str">
        <x:v>День 17</x:v>
      </x:c>
      <x:c r="S15" s="16" t="str">
        <x:v>День 18</x:v>
      </x:c>
      <x:c r="T15" s="16" t="str">
        <x:v>День 19</x:v>
      </x:c>
      <x:c r="U15" s="16" t="str">
        <x:v>День 20</x:v>
      </x:c>
      <x:c r="V15" s="16" t="str">
        <x:v>Средний спрос</x:v>
      </x:c>
      <x:c r="W15" s="16" t="str">
        <x:v>Суммарный спрос</x:v>
      </x:c>
    </x:row>
    <x:row r="16">
      <x:c r="A16" t="n">
        <x:v>1</x:v>
      </x:c>
      <x:c r="B16" t="n">
        <x:v>3</x:v>
      </x:c>
      <x:c r="C16" t="n">
        <x:v>5</x:v>
      </x:c>
      <x:c r="D16" t="n">
        <x:v>2</x:v>
      </x:c>
      <x:c r="E16" t="n">
        <x:v>0</x:v>
      </x:c>
      <x:c r="F16" t="n">
        <x:v>4</x:v>
      </x:c>
      <x:c r="G16" t="n">
        <x:v>4</x:v>
      </x:c>
      <x:c r="H16" t="n">
        <x:v>3</x:v>
      </x:c>
      <x:c r="I16" t="n">
        <x:v>4</x:v>
      </x:c>
      <x:c r="J16" t="n">
        <x:v>4</x:v>
      </x:c>
      <x:c r="K16" t="n">
        <x:v>3</x:v>
      </x:c>
      <x:c r="L16" t="n">
        <x:v>5</x:v>
      </x:c>
      <x:c r="M16" t="n">
        <x:v>4</x:v>
      </x:c>
      <x:c r="N16" t="n">
        <x:v>3</x:v>
      </x:c>
      <x:c r="O16" t="n">
        <x:v>2</x:v>
      </x:c>
      <x:c r="P16" t="n">
        <x:v>0</x:v>
      </x:c>
      <x:c r="Q16" t="n">
        <x:v>2</x:v>
      </x:c>
      <x:c r="R16" t="n">
        <x:v>4</x:v>
      </x:c>
      <x:c r="S16" t="n">
        <x:v>4</x:v>
      </x:c>
      <x:c r="T16" t="n">
        <x:v>2</x:v>
      </x:c>
      <x:c r="U16" t="n">
        <x:v>3</x:v>
      </x:c>
      <x:c r="V16" s="42" t="n">
        <x:f>AVERAGE(B16:U16)</x:f>
        <x:v>3.05</x:v>
      </x:c>
      <x:c r="W16" t="n">
        <x:f>SUM(B16:U16)</x:f>
        <x:v>61</x:v>
      </x:c>
    </x:row>
    <x:row r="17">
      <x:c r="A17" t="n">
        <x:v>2</x:v>
      </x:c>
      <x:c r="B17" t="n">
        <x:v>1</x:v>
      </x:c>
      <x:c r="C17" t="n">
        <x:v>2</x:v>
      </x:c>
      <x:c r="D17" t="n">
        <x:v>5</x:v>
      </x:c>
      <x:c r="E17" t="n">
        <x:v>2</x:v>
      </x:c>
      <x:c r="F17" t="n">
        <x:v>2</x:v>
      </x:c>
      <x:c r="G17" t="n">
        <x:v>3</x:v>
      </x:c>
      <x:c r="H17" t="n">
        <x:v>2</x:v>
      </x:c>
      <x:c r="I17" t="n">
        <x:v>4</x:v>
      </x:c>
      <x:c r="J17" t="n">
        <x:v>5</x:v>
      </x:c>
      <x:c r="K17" t="n">
        <x:v>3</x:v>
      </x:c>
      <x:c r="L17" t="n">
        <x:v>3</x:v>
      </x:c>
      <x:c r="M17" t="n">
        <x:v>2</x:v>
      </x:c>
      <x:c r="N17" t="n">
        <x:v>3</x:v>
      </x:c>
      <x:c r="O17" t="n">
        <x:v>2</x:v>
      </x:c>
      <x:c r="P17" t="n">
        <x:v>0</x:v>
      </x:c>
      <x:c r="Q17" t="n">
        <x:v>4</x:v>
      </x:c>
      <x:c r="R17" t="n">
        <x:v>3</x:v>
      </x:c>
      <x:c r="S17" t="n">
        <x:v>3</x:v>
      </x:c>
      <x:c r="T17" t="n">
        <x:v>1</x:v>
      </x:c>
      <x:c r="U17" t="n">
        <x:v>4</x:v>
      </x:c>
      <x:c r="V17" s="42" t="n">
        <x:f>AVERAGE(B17:U17)</x:f>
        <x:v>2.7</x:v>
      </x:c>
      <x:c r="W17" t="n">
        <x:f>SUM(B17:U17)</x:f>
        <x:v>54</x:v>
      </x:c>
    </x:row>
    <x:row r="18">
      <x:c r="A18" t="n">
        <x:v>3</x:v>
      </x:c>
      <x:c r="B18" t="n">
        <x:v>1</x:v>
      </x:c>
      <x:c r="C18" t="n">
        <x:v>2</x:v>
      </x:c>
      <x:c r="D18" t="n">
        <x:v>4</x:v>
      </x:c>
      <x:c r="E18" t="n">
        <x:v>3</x:v>
      </x:c>
      <x:c r="F18" t="n">
        <x:v>5</x:v>
      </x:c>
      <x:c r="G18" t="n">
        <x:v>2</x:v>
      </x:c>
      <x:c r="H18" t="n">
        <x:v>4</x:v>
      </x:c>
      <x:c r="I18" t="n">
        <x:v>5</x:v>
      </x:c>
      <x:c r="J18" t="n">
        <x:v>3</x:v>
      </x:c>
      <x:c r="K18" t="n">
        <x:v>3</x:v>
      </x:c>
      <x:c r="L18" t="n">
        <x:v>2</x:v>
      </x:c>
      <x:c r="M18" t="n">
        <x:v>4</x:v>
      </x:c>
      <x:c r="N18" t="n">
        <x:v>5</x:v>
      </x:c>
      <x:c r="O18" t="n">
        <x:v>4</x:v>
      </x:c>
      <x:c r="P18" t="n">
        <x:v>5</x:v>
      </x:c>
      <x:c r="Q18" t="n">
        <x:v>3</x:v>
      </x:c>
      <x:c r="R18" t="n">
        <x:v>3</x:v>
      </x:c>
      <x:c r="S18" t="n">
        <x:v>2</x:v>
      </x:c>
      <x:c r="T18" t="n">
        <x:v>4</x:v>
      </x:c>
      <x:c r="U18" t="n">
        <x:v>5</x:v>
      </x:c>
      <x:c r="V18" s="42" t="n">
        <x:f>AVERAGE(B18:U18)</x:f>
        <x:v>3.45</x:v>
      </x:c>
      <x:c r="W18" t="n">
        <x:f>SUM(B18:U18)</x:f>
        <x:v>69</x:v>
      </x:c>
    </x:row>
    <x:row r="19">
      <x:c r="A19" t="n">
        <x:v>4</x:v>
      </x:c>
      <x:c r="B19" t="n">
        <x:v>3</x:v>
      </x:c>
      <x:c r="C19" t="n">
        <x:v>2</x:v>
      </x:c>
      <x:c r="D19" t="n">
        <x:v>3</x:v>
      </x:c>
      <x:c r="E19" t="n">
        <x:v>4</x:v>
      </x:c>
      <x:c r="F19" t="n">
        <x:v>5</x:v>
      </x:c>
      <x:c r="G19" t="n">
        <x:v>1</x:v>
      </x:c>
      <x:c r="H19" t="n">
        <x:v>1</x:v>
      </x:c>
      <x:c r="I19" t="n">
        <x:v>2</x:v>
      </x:c>
      <x:c r="J19" t="n">
        <x:v>1</x:v>
      </x:c>
      <x:c r="K19" t="n">
        <x:v>5</x:v>
      </x:c>
      <x:c r="L19" t="n">
        <x:v>2</x:v>
      </x:c>
      <x:c r="M19" t="n">
        <x:v>3</x:v>
      </x:c>
      <x:c r="N19" t="n">
        <x:v>2</x:v>
      </x:c>
      <x:c r="O19" t="n">
        <x:v>3</x:v>
      </x:c>
      <x:c r="P19" t="n">
        <x:v>5</x:v>
      </x:c>
      <x:c r="Q19" t="n">
        <x:v>3</x:v>
      </x:c>
      <x:c r="R19" t="n">
        <x:v>0</x:v>
      </x:c>
      <x:c r="S19" t="n">
        <x:v>2</x:v>
      </x:c>
      <x:c r="T19" t="n">
        <x:v>5</x:v>
      </x:c>
      <x:c r="U19" t="n">
        <x:v>5</x:v>
      </x:c>
      <x:c r="V19" s="42" t="n">
        <x:f>AVERAGE(B19:U19)</x:f>
        <x:v>2.85</x:v>
      </x:c>
      <x:c r="W19" t="n">
        <x:f>SUM(B19:U19)</x:f>
        <x:v>57</x:v>
      </x:c>
    </x:row>
    <x:row r="20">
      <x:c r="A20" t="n">
        <x:v>5</x:v>
      </x:c>
      <x:c r="B20" t="n">
        <x:v>2</x:v>
      </x:c>
      <x:c r="C20" t="n">
        <x:v>3</x:v>
      </x:c>
      <x:c r="D20" t="n">
        <x:v>1</x:v>
      </x:c>
      <x:c r="E20" t="n">
        <x:v>3</x:v>
      </x:c>
      <x:c r="F20" t="n">
        <x:v>1</x:v>
      </x:c>
      <x:c r="G20" t="n">
        <x:v>4</x:v>
      </x:c>
      <x:c r="H20" t="n">
        <x:v>5</x:v>
      </x:c>
      <x:c r="I20" t="n">
        <x:v>1</x:v>
      </x:c>
      <x:c r="J20" t="n">
        <x:v>3</x:v>
      </x:c>
      <x:c r="K20" t="n">
        <x:v>1</x:v>
      </x:c>
      <x:c r="L20" t="n">
        <x:v>2</x:v>
      </x:c>
      <x:c r="M20" t="n">
        <x:v>0</x:v>
      </x:c>
      <x:c r="N20" t="n">
        <x:v>2</x:v>
      </x:c>
      <x:c r="O20" t="n">
        <x:v>5</x:v>
      </x:c>
      <x:c r="P20" t="n">
        <x:v>0</x:v>
      </x:c>
      <x:c r="Q20" t="n">
        <x:v>4</x:v>
      </x:c>
      <x:c r="R20" t="n">
        <x:v>1</x:v>
      </x:c>
      <x:c r="S20" t="n">
        <x:v>3</x:v>
      </x:c>
      <x:c r="T20" t="n">
        <x:v>3</x:v>
      </x:c>
      <x:c r="U20" t="n">
        <x:v>5</x:v>
      </x:c>
      <x:c r="V20" s="42" t="n">
        <x:f>AVERAGE(B20:U20)</x:f>
        <x:v>2.45</x:v>
      </x:c>
      <x:c r="W20" t="n">
        <x:f>SUM(B20:U20)</x:f>
        <x:v>49</x:v>
      </x:c>
    </x:row>
    <x:row r="21">
      <x:c r="A21" t="n">
        <x:v>6</x:v>
      </x:c>
      <x:c r="B21" t="n">
        <x:v>1</x:v>
      </x:c>
      <x:c r="C21" t="n">
        <x:v>1</x:v>
      </x:c>
      <x:c r="D21" t="n">
        <x:v>4</x:v>
      </x:c>
      <x:c r="E21" t="n">
        <x:v>4</x:v>
      </x:c>
      <x:c r="F21" t="n">
        <x:v>3</x:v>
      </x:c>
      <x:c r="G21" t="n">
        <x:v>0</x:v>
      </x:c>
      <x:c r="H21" t="n">
        <x:v>2</x:v>
      </x:c>
      <x:c r="I21" t="n">
        <x:v>4</x:v>
      </x:c>
      <x:c r="J21" t="n">
        <x:v>3</x:v>
      </x:c>
      <x:c r="K21" t="n">
        <x:v>3</x:v>
      </x:c>
      <x:c r="L21" t="n">
        <x:v>2</x:v>
      </x:c>
      <x:c r="M21" t="n">
        <x:v>2</x:v>
      </x:c>
      <x:c r="N21" t="n">
        <x:v>5</x:v>
      </x:c>
      <x:c r="O21" t="n">
        <x:v>4</x:v>
      </x:c>
      <x:c r="P21" t="n">
        <x:v>1</x:v>
      </x:c>
      <x:c r="Q21" t="n">
        <x:v>5</x:v>
      </x:c>
      <x:c r="R21" t="n">
        <x:v>3</x:v>
      </x:c>
      <x:c r="S21" t="n">
        <x:v>2</x:v>
      </x:c>
      <x:c r="T21" t="n">
        <x:v>2</x:v>
      </x:c>
      <x:c r="U21" t="n">
        <x:v>4</x:v>
      </x:c>
      <x:c r="V21" s="42" t="n">
        <x:f>AVERAGE(B21:U21)</x:f>
        <x:v>2.75</x:v>
      </x:c>
      <x:c r="W21" t="n">
        <x:f>SUM(B21:U21)</x:f>
        <x:v>55</x:v>
      </x:c>
    </x:row>
    <x:row r="22">
      <x:c r="A22" t="n">
        <x:v>7</x:v>
      </x:c>
      <x:c r="B22" t="n">
        <x:v>2</x:v>
      </x:c>
      <x:c r="C22" t="n">
        <x:v>3</x:v>
      </x:c>
      <x:c r="D22" t="n">
        <x:v>4</x:v>
      </x:c>
      <x:c r="E22" t="n">
        <x:v>1</x:v>
      </x:c>
      <x:c r="F22" t="n">
        <x:v>5</x:v>
      </x:c>
      <x:c r="G22" t="n">
        <x:v>2</x:v>
      </x:c>
      <x:c r="H22" t="n">
        <x:v>2</x:v>
      </x:c>
      <x:c r="I22" t="n">
        <x:v>3</x:v>
      </x:c>
      <x:c r="J22" t="n">
        <x:v>3</x:v>
      </x:c>
      <x:c r="K22" t="n">
        <x:v>3</x:v>
      </x:c>
      <x:c r="L22" t="n">
        <x:v>3</x:v>
      </x:c>
      <x:c r="M22" t="n">
        <x:v>5</x:v>
      </x:c>
      <x:c r="N22" t="n">
        <x:v>4</x:v>
      </x:c>
      <x:c r="O22" t="n">
        <x:v>4</x:v>
      </x:c>
      <x:c r="P22" t="n">
        <x:v>2</x:v>
      </x:c>
      <x:c r="Q22" t="n">
        <x:v>2</x:v>
      </x:c>
      <x:c r="R22" t="n">
        <x:v>3</x:v>
      </x:c>
      <x:c r="S22" t="n">
        <x:v>0</x:v>
      </x:c>
      <x:c r="T22" t="n">
        <x:v>4</x:v>
      </x:c>
      <x:c r="U22" t="n">
        <x:v>2</x:v>
      </x:c>
      <x:c r="V22" s="42" t="n">
        <x:f>AVERAGE(B22:U22)</x:f>
        <x:v>2.85</x:v>
      </x:c>
      <x:c r="W22" t="n">
        <x:f>SUM(B22:U22)</x:f>
        <x:v>57</x:v>
      </x:c>
    </x:row>
    <x:row r="23">
      <x:c r="A23" t="n">
        <x:v>8</x:v>
      </x:c>
      <x:c r="B23" t="n">
        <x:v>2</x:v>
      </x:c>
      <x:c r="C23" t="n">
        <x:v>2</x:v>
      </x:c>
      <x:c r="D23" t="n">
        <x:v>2</x:v>
      </x:c>
      <x:c r="E23" t="n">
        <x:v>2</x:v>
      </x:c>
      <x:c r="F23" t="n">
        <x:v>3</x:v>
      </x:c>
      <x:c r="G23" t="n">
        <x:v>3</x:v>
      </x:c>
      <x:c r="H23" t="n">
        <x:v>2</x:v>
      </x:c>
      <x:c r="I23" t="n">
        <x:v>2</x:v>
      </x:c>
      <x:c r="J23" t="n">
        <x:v>4</x:v>
      </x:c>
      <x:c r="K23" t="n">
        <x:v>1</x:v>
      </x:c>
      <x:c r="L23" t="n">
        <x:v>3</x:v>
      </x:c>
      <x:c r="M23" t="n">
        <x:v>3</x:v>
      </x:c>
      <x:c r="N23" t="n">
        <x:v>3</x:v>
      </x:c>
      <x:c r="O23" t="n">
        <x:v>5</x:v>
      </x:c>
      <x:c r="P23" t="n">
        <x:v>3</x:v>
      </x:c>
      <x:c r="Q23" t="n">
        <x:v>5</x:v>
      </x:c>
      <x:c r="R23" t="n">
        <x:v>4</x:v>
      </x:c>
      <x:c r="S23" t="n">
        <x:v>2</x:v>
      </x:c>
      <x:c r="T23" t="n">
        <x:v>2</x:v>
      </x:c>
      <x:c r="U23" t="n">
        <x:v>2</x:v>
      </x:c>
      <x:c r="V23" s="42" t="n">
        <x:f>AVERAGE(B23:U23)</x:f>
        <x:v>2.75</x:v>
      </x:c>
      <x:c r="W23" t="n">
        <x:f>SUM(B23:U23)</x:f>
        <x:v>55</x:v>
      </x:c>
    </x:row>
    <x:row r="24">
      <x:c r="A24" t="n">
        <x:v>9</x:v>
      </x:c>
      <x:c r="B24" t="n">
        <x:v>2</x:v>
      </x:c>
      <x:c r="C24" t="n">
        <x:v>3</x:v>
      </x:c>
      <x:c r="D24" t="n">
        <x:v>2</x:v>
      </x:c>
      <x:c r="E24" t="n">
        <x:v>2</x:v>
      </x:c>
      <x:c r="F24" t="n">
        <x:v>2</x:v>
      </x:c>
      <x:c r="G24" t="n">
        <x:v>3</x:v>
      </x:c>
      <x:c r="H24" t="n">
        <x:v>3</x:v>
      </x:c>
      <x:c r="I24" t="n">
        <x:v>5</x:v>
      </x:c>
      <x:c r="J24" t="n">
        <x:v>2</x:v>
      </x:c>
      <x:c r="K24" t="n">
        <x:v>2</x:v>
      </x:c>
      <x:c r="L24" t="n">
        <x:v>5</x:v>
      </x:c>
      <x:c r="M24" t="n">
        <x:v>3</x:v>
      </x:c>
      <x:c r="N24" t="n">
        <x:v>3</x:v>
      </x:c>
      <x:c r="O24" t="n">
        <x:v>3</x:v>
      </x:c>
      <x:c r="P24" t="n">
        <x:v>1</x:v>
      </x:c>
      <x:c r="Q24" t="n">
        <x:v>5</x:v>
      </x:c>
      <x:c r="R24" t="n">
        <x:v>3</x:v>
      </x:c>
      <x:c r="S24" t="n">
        <x:v>3</x:v>
      </x:c>
      <x:c r="T24" t="n">
        <x:v>3</x:v>
      </x:c>
      <x:c r="U24" t="n">
        <x:v>2</x:v>
      </x:c>
      <x:c r="V24" s="42" t="n">
        <x:f>AVERAGE(B24:U24)</x:f>
        <x:v>2.85</x:v>
      </x:c>
      <x:c r="W24" t="n">
        <x:f>SUM(B24:U24)</x:f>
        <x:v>57</x:v>
      </x:c>
    </x:row>
    <x:row r="25">
      <x:c r="A25" t="n">
        <x:v>10</x:v>
      </x:c>
      <x:c r="B25" t="n">
        <x:v>2</x:v>
      </x:c>
      <x:c r="C25" t="n">
        <x:v>4</x:v>
      </x:c>
      <x:c r="D25" t="n">
        <x:v>3</x:v>
      </x:c>
      <x:c r="E25" t="n">
        <x:v>0</x:v>
      </x:c>
      <x:c r="F25" t="n">
        <x:v>2</x:v>
      </x:c>
      <x:c r="G25" t="n">
        <x:v>5</x:v>
      </x:c>
      <x:c r="H25" t="n">
        <x:v>2</x:v>
      </x:c>
      <x:c r="I25" t="n">
        <x:v>2</x:v>
      </x:c>
      <x:c r="J25" t="n">
        <x:v>3</x:v>
      </x:c>
      <x:c r="K25" t="n">
        <x:v>4</x:v>
      </x:c>
      <x:c r="L25" t="n">
        <x:v>3</x:v>
      </x:c>
      <x:c r="M25" t="n">
        <x:v>4</x:v>
      </x:c>
      <x:c r="N25" t="n">
        <x:v>1</x:v>
      </x:c>
      <x:c r="O25" t="n">
        <x:v>5</x:v>
      </x:c>
      <x:c r="P25" t="n">
        <x:v>5</x:v>
      </x:c>
      <x:c r="Q25" t="n">
        <x:v>3</x:v>
      </x:c>
      <x:c r="R25" t="n">
        <x:v>3</x:v>
      </x:c>
      <x:c r="S25" t="n">
        <x:v>2</x:v>
      </x:c>
      <x:c r="T25" t="n">
        <x:v>3</x:v>
      </x:c>
      <x:c r="U25" t="n">
        <x:v>2</x:v>
      </x:c>
      <x:c r="V25" s="42" t="n">
        <x:f>AVERAGE(B25:U25)</x:f>
        <x:v>2.9</x:v>
      </x:c>
      <x:c r="W25" t="n">
        <x:f>SUM(B25:U25)</x:f>
        <x:v>58</x:v>
      </x:c>
    </x:row>
    <x:row r="26">
      <x:c r="A26" t="n">
        <x:v>11</x:v>
      </x:c>
      <x:c r="B26" t="n">
        <x:v>0</x:v>
      </x:c>
      <x:c r="C26" t="n">
        <x:v>5</x:v>
      </x:c>
      <x:c r="D26" t="n">
        <x:v>2</x:v>
      </x:c>
      <x:c r="E26" t="n">
        <x:v>3</x:v>
      </x:c>
      <x:c r="F26" t="n">
        <x:v>2</x:v>
      </x:c>
      <x:c r="G26" t="n">
        <x:v>2</x:v>
      </x:c>
      <x:c r="H26" t="n">
        <x:v>2</x:v>
      </x:c>
      <x:c r="I26" t="n">
        <x:v>2</x:v>
      </x:c>
      <x:c r="J26" t="n">
        <x:v>3</x:v>
      </x:c>
      <x:c r="K26" t="n">
        <x:v>5</x:v>
      </x:c>
      <x:c r="L26" t="n">
        <x:v>3</x:v>
      </x:c>
      <x:c r="M26" t="n">
        <x:v>5</x:v>
      </x:c>
      <x:c r="N26" t="n">
        <x:v>3</x:v>
      </x:c>
      <x:c r="O26" t="n">
        <x:v>3</x:v>
      </x:c>
      <x:c r="P26" t="n">
        <x:v>2</x:v>
      </x:c>
      <x:c r="Q26" t="n">
        <x:v>0</x:v>
      </x:c>
      <x:c r="R26" t="n">
        <x:v>4</x:v>
      </x:c>
      <x:c r="S26" t="n">
        <x:v>3</x:v>
      </x:c>
      <x:c r="T26" t="n">
        <x:v>2</x:v>
      </x:c>
      <x:c r="U26" t="n">
        <x:v>4</x:v>
      </x:c>
      <x:c r="V26" s="42" t="n">
        <x:f>AVERAGE(B26:U26)</x:f>
        <x:v>2.75</x:v>
      </x:c>
      <x:c r="W26" t="n">
        <x:f>SUM(B26:U26)</x:f>
        <x:v>55</x:v>
      </x:c>
    </x:row>
    <x:row r="27">
      <x:c r="A27" t="n">
        <x:v>12</x:v>
      </x:c>
      <x:c r="B27" t="n">
        <x:v>2</x:v>
      </x:c>
      <x:c r="C27" t="n">
        <x:v>4</x:v>
      </x:c>
      <x:c r="D27" t="n">
        <x:v>2</x:v>
      </x:c>
      <x:c r="E27" t="n">
        <x:v>5</x:v>
      </x:c>
      <x:c r="F27" t="n">
        <x:v>2</x:v>
      </x:c>
      <x:c r="G27" t="n">
        <x:v>1</x:v>
      </x:c>
      <x:c r="H27" t="n">
        <x:v>3</x:v>
      </x:c>
      <x:c r="I27" t="n">
        <x:v>1</x:v>
      </x:c>
      <x:c r="J27" t="n">
        <x:v>5</x:v>
      </x:c>
      <x:c r="K27" t="n">
        <x:v>3</x:v>
      </x:c>
      <x:c r="L27" t="n">
        <x:v>2</x:v>
      </x:c>
      <x:c r="M27" t="n">
        <x:v>2</x:v>
      </x:c>
      <x:c r="N27" t="n">
        <x:v>5</x:v>
      </x:c>
      <x:c r="O27" t="n">
        <x:v>3</x:v>
      </x:c>
      <x:c r="P27" t="n">
        <x:v>5</x:v>
      </x:c>
      <x:c r="Q27" t="n">
        <x:v>1</x:v>
      </x:c>
      <x:c r="R27" t="n">
        <x:v>5</x:v>
      </x:c>
      <x:c r="S27" t="n">
        <x:v>3</x:v>
      </x:c>
      <x:c r="T27" t="n">
        <x:v>3</x:v>
      </x:c>
      <x:c r="U27" t="n">
        <x:v>2</x:v>
      </x:c>
      <x:c r="V27" s="42" t="n">
        <x:f>AVERAGE(B27:U27)</x:f>
        <x:v>2.95</x:v>
      </x:c>
      <x:c r="W27" t="n">
        <x:f>SUM(B27:U27)</x:f>
        <x:v>59</x:v>
      </x:c>
    </x:row>
    <x:row r="28">
      <x:c r="A28" t="n">
        <x:v>13</x:v>
      </x:c>
      <x:c r="B28" t="n">
        <x:v>0</x:v>
      </x:c>
      <x:c r="C28" t="n">
        <x:v>5</x:v>
      </x:c>
      <x:c r="D28" t="n">
        <x:v>5</x:v>
      </x:c>
      <x:c r="E28" t="n">
        <x:v>2</x:v>
      </x:c>
      <x:c r="F28" t="n">
        <x:v>5</x:v>
      </x:c>
      <x:c r="G28" t="n">
        <x:v>1</x:v>
      </x:c>
      <x:c r="H28" t="n">
        <x:v>1</x:v>
      </x:c>
      <x:c r="I28" t="n">
        <x:v>0</x:v>
      </x:c>
      <x:c r="J28" t="n">
        <x:v>2</x:v>
      </x:c>
      <x:c r="K28" t="n">
        <x:v>0</x:v>
      </x:c>
      <x:c r="L28" t="n">
        <x:v>2</x:v>
      </x:c>
      <x:c r="M28" t="n">
        <x:v>1</x:v>
      </x:c>
      <x:c r="N28" t="n">
        <x:v>4</x:v>
      </x:c>
      <x:c r="O28" t="n">
        <x:v>4</x:v>
      </x:c>
      <x:c r="P28" t="n">
        <x:v>3</x:v>
      </x:c>
      <x:c r="Q28" t="n">
        <x:v>2</x:v>
      </x:c>
      <x:c r="R28" t="n">
        <x:v>4</x:v>
      </x:c>
      <x:c r="S28" t="n">
        <x:v>2</x:v>
      </x:c>
      <x:c r="T28" t="n">
        <x:v>4</x:v>
      </x:c>
      <x:c r="U28" t="n">
        <x:v>3</x:v>
      </x:c>
      <x:c r="V28" s="42" t="n">
        <x:f>AVERAGE(B28:U28)</x:f>
        <x:v>2.5</x:v>
      </x:c>
      <x:c r="W28" t="n">
        <x:f>SUM(B28:U28)</x:f>
        <x:v>50</x:v>
      </x:c>
    </x:row>
    <x:row r="29">
      <x:c r="A29" t="n">
        <x:v>14</x:v>
      </x:c>
      <x:c r="B29" t="n">
        <x:v>2</x:v>
      </x:c>
      <x:c r="C29" t="n">
        <x:v>1</x:v>
      </x:c>
      <x:c r="D29" t="n">
        <x:v>4</x:v>
      </x:c>
      <x:c r="E29" t="n">
        <x:v>5</x:v>
      </x:c>
      <x:c r="F29" t="n">
        <x:v>3</x:v>
      </x:c>
      <x:c r="G29" t="n">
        <x:v>5</x:v>
      </x:c>
      <x:c r="H29" t="n">
        <x:v>5</x:v>
      </x:c>
      <x:c r="I29" t="n">
        <x:v>1</x:v>
      </x:c>
      <x:c r="J29" t="n">
        <x:v>4</x:v>
      </x:c>
      <x:c r="K29" t="n">
        <x:v>2</x:v>
      </x:c>
      <x:c r="L29" t="n">
        <x:v>3</x:v>
      </x:c>
      <x:c r="M29" t="n">
        <x:v>1</x:v>
      </x:c>
      <x:c r="N29" t="n">
        <x:v>5</x:v>
      </x:c>
      <x:c r="O29" t="n">
        <x:v>4</x:v>
      </x:c>
      <x:c r="P29" t="n">
        <x:v>2</x:v>
      </x:c>
      <x:c r="Q29" t="n">
        <x:v>2</x:v>
      </x:c>
      <x:c r="R29" t="n">
        <x:v>2</x:v>
      </x:c>
      <x:c r="S29" t="n">
        <x:v>4</x:v>
      </x:c>
      <x:c r="T29" t="n">
        <x:v>5</x:v>
      </x:c>
      <x:c r="U29" t="n">
        <x:v>2</x:v>
      </x:c>
      <x:c r="V29" s="42" t="n">
        <x:f>AVERAGE(B29:U29)</x:f>
        <x:v>3.1</x:v>
      </x:c>
      <x:c r="W29" t="n">
        <x:f>SUM(B29:U29)</x:f>
        <x:v>62</x:v>
      </x:c>
    </x:row>
    <x:row r="30">
      <x:c r="A30" t="n">
        <x:v>15</x:v>
      </x:c>
      <x:c r="B30" t="n">
        <x:v>3</x:v>
      </x:c>
      <x:c r="C30" t="n">
        <x:v>3</x:v>
      </x:c>
      <x:c r="D30" t="n">
        <x:v>2</x:v>
      </x:c>
      <x:c r="E30" t="n">
        <x:v>3</x:v>
      </x:c>
      <x:c r="F30" t="n">
        <x:v>1</x:v>
      </x:c>
      <x:c r="G30" t="n">
        <x:v>1</x:v>
      </x:c>
      <x:c r="H30" t="n">
        <x:v>2</x:v>
      </x:c>
      <x:c r="I30" t="n">
        <x:v>5</x:v>
      </x:c>
      <x:c r="J30" t="n">
        <x:v>2</x:v>
      </x:c>
      <x:c r="K30" t="n">
        <x:v>2</x:v>
      </x:c>
      <x:c r="L30" t="n">
        <x:v>4</x:v>
      </x:c>
      <x:c r="M30" t="n">
        <x:v>5</x:v>
      </x:c>
      <x:c r="N30" t="n">
        <x:v>3</x:v>
      </x:c>
      <x:c r="O30" t="n">
        <x:v>0</x:v>
      </x:c>
      <x:c r="P30" t="n">
        <x:v>3</x:v>
      </x:c>
      <x:c r="Q30" t="n">
        <x:v>2</x:v>
      </x:c>
      <x:c r="R30" t="n">
        <x:v>3</x:v>
      </x:c>
      <x:c r="S30" t="n">
        <x:v>2</x:v>
      </x:c>
      <x:c r="T30" t="n">
        <x:v>0</x:v>
      </x:c>
      <x:c r="U30" t="n">
        <x:v>2</x:v>
      </x:c>
      <x:c r="V30" s="42" t="n">
        <x:f>AVERAGE(B30:U30)</x:f>
        <x:v>2.4</x:v>
      </x:c>
      <x:c r="W30" t="n">
        <x:f>SUM(B30:U30)</x:f>
        <x:v>48</x:v>
      </x:c>
    </x:row>
    <x:row r="31">
      <x:c r="A31" t="n">
        <x:v>16</x:v>
      </x:c>
      <x:c r="B31" t="n">
        <x:v>4</x:v>
      </x:c>
      <x:c r="C31" t="n">
        <x:v>2</x:v>
      </x:c>
      <x:c r="D31" t="n">
        <x:v>2</x:v>
      </x:c>
      <x:c r="E31" t="n">
        <x:v>3</x:v>
      </x:c>
      <x:c r="F31" t="n">
        <x:v>4</x:v>
      </x:c>
      <x:c r="G31" t="n">
        <x:v>1</x:v>
      </x:c>
      <x:c r="H31" t="n">
        <x:v>3</x:v>
      </x:c>
      <x:c r="I31" t="n">
        <x:v>3</x:v>
      </x:c>
      <x:c r="J31" t="n">
        <x:v>2</x:v>
      </x:c>
      <x:c r="K31" t="n">
        <x:v>5</x:v>
      </x:c>
      <x:c r="L31" t="n">
        <x:v>5</x:v>
      </x:c>
      <x:c r="M31" t="n">
        <x:v>2</x:v>
      </x:c>
      <x:c r="N31" t="n">
        <x:v>0</x:v>
      </x:c>
      <x:c r="O31" t="n">
        <x:v>2</x:v>
      </x:c>
      <x:c r="P31" t="n">
        <x:v>2</x:v>
      </x:c>
      <x:c r="Q31" t="n">
        <x:v>3</x:v>
      </x:c>
      <x:c r="R31" t="n">
        <x:v>5</x:v>
      </x:c>
      <x:c r="S31" t="n">
        <x:v>4</x:v>
      </x:c>
      <x:c r="T31" t="n">
        <x:v>2</x:v>
      </x:c>
      <x:c r="U31" t="n">
        <x:v>3</x:v>
      </x:c>
      <x:c r="V31" s="42" t="n">
        <x:f>AVERAGE(B31:U31)</x:f>
        <x:v>2.85</x:v>
      </x:c>
      <x:c r="W31" t="n">
        <x:f>SUM(B31:U31)</x:f>
        <x:v>57</x:v>
      </x:c>
    </x:row>
    <x:row r="32">
      <x:c r="A32" t="n">
        <x:v>17</x:v>
      </x:c>
      <x:c r="B32" t="n">
        <x:v>0</x:v>
      </x:c>
      <x:c r="C32" t="n">
        <x:v>3</x:v>
      </x:c>
      <x:c r="D32" t="n">
        <x:v>0</x:v>
      </x:c>
      <x:c r="E32" t="n">
        <x:v>5</x:v>
      </x:c>
      <x:c r="F32" t="n">
        <x:v>4</x:v>
      </x:c>
      <x:c r="G32" t="n">
        <x:v>2</x:v>
      </x:c>
      <x:c r="H32" t="n">
        <x:v>3</x:v>
      </x:c>
      <x:c r="I32" t="n">
        <x:v>3</x:v>
      </x:c>
      <x:c r="J32" t="n">
        <x:v>4</x:v>
      </x:c>
      <x:c r="K32" t="n">
        <x:v>3</x:v>
      </x:c>
      <x:c r="L32" t="n">
        <x:v>1</x:v>
      </x:c>
      <x:c r="M32" t="n">
        <x:v>3</x:v>
      </x:c>
      <x:c r="N32" t="n">
        <x:v>1</x:v>
      </x:c>
      <x:c r="O32" t="n">
        <x:v>3</x:v>
      </x:c>
      <x:c r="P32" t="n">
        <x:v>2</x:v>
      </x:c>
      <x:c r="Q32" t="n">
        <x:v>3</x:v>
      </x:c>
      <x:c r="R32" t="n">
        <x:v>4</x:v>
      </x:c>
      <x:c r="S32" t="n">
        <x:v>1</x:v>
      </x:c>
      <x:c r="T32" t="n">
        <x:v>2</x:v>
      </x:c>
      <x:c r="U32" t="n">
        <x:v>4</x:v>
      </x:c>
      <x:c r="V32" s="42" t="n">
        <x:f>AVERAGE(B32:U32)</x:f>
        <x:v>2.55</x:v>
      </x:c>
      <x:c r="W32" t="n">
        <x:f>SUM(B32:U32)</x:f>
        <x:v>51</x:v>
      </x:c>
    </x:row>
    <x:row r="33">
      <x:c r="A33" t="n">
        <x:v>18</x:v>
      </x:c>
      <x:c r="B33" t="n">
        <x:v>1</x:v>
      </x:c>
      <x:c r="C33" t="n">
        <x:v>3</x:v>
      </x:c>
      <x:c r="D33" t="n">
        <x:v>3</x:v>
      </x:c>
      <x:c r="E33" t="n">
        <x:v>2</x:v>
      </x:c>
      <x:c r="F33" t="n">
        <x:v>4</x:v>
      </x:c>
      <x:c r="G33" t="n">
        <x:v>3</x:v>
      </x:c>
      <x:c r="H33" t="n">
        <x:v>3</x:v>
      </x:c>
      <x:c r="I33" t="n">
        <x:v>1</x:v>
      </x:c>
      <x:c r="J33" t="n">
        <x:v>0</x:v>
      </x:c>
      <x:c r="K33" t="n">
        <x:v>0</x:v>
      </x:c>
      <x:c r="L33" t="n">
        <x:v>5</x:v>
      </x:c>
      <x:c r="M33" t="n">
        <x:v>5</x:v>
      </x:c>
      <x:c r="N33" t="n">
        <x:v>4</x:v>
      </x:c>
      <x:c r="O33" t="n">
        <x:v>1</x:v>
      </x:c>
      <x:c r="P33" t="n">
        <x:v>3</x:v>
      </x:c>
      <x:c r="Q33" t="n">
        <x:v>4</x:v>
      </x:c>
      <x:c r="R33" t="n">
        <x:v>3</x:v>
      </x:c>
      <x:c r="S33" t="n">
        <x:v>1</x:v>
      </x:c>
      <x:c r="T33" t="n">
        <x:v>5</x:v>
      </x:c>
      <x:c r="U33" t="n">
        <x:v>1</x:v>
      </x:c>
      <x:c r="V33" s="42" t="n">
        <x:f>AVERAGE(B33:U33)</x:f>
        <x:v>2.6</x:v>
      </x:c>
      <x:c r="W33" t="n">
        <x:f>SUM(B33:U33)</x:f>
        <x:v>52</x:v>
      </x:c>
    </x:row>
    <x:row r="34">
      <x:c r="A34" t="n">
        <x:v>19</x:v>
      </x:c>
      <x:c r="B34" t="n">
        <x:v>1</x:v>
      </x:c>
      <x:c r="C34" t="n">
        <x:v>5</x:v>
      </x:c>
      <x:c r="D34" t="n">
        <x:v>3</x:v>
      </x:c>
      <x:c r="E34" t="n">
        <x:v>2</x:v>
      </x:c>
      <x:c r="F34" t="n">
        <x:v>3</x:v>
      </x:c>
      <x:c r="G34" t="n">
        <x:v>5</x:v>
      </x:c>
      <x:c r="H34" t="n">
        <x:v>1</x:v>
      </x:c>
      <x:c r="I34" t="n">
        <x:v>4</x:v>
      </x:c>
      <x:c r="J34" t="n">
        <x:v>2</x:v>
      </x:c>
      <x:c r="K34" t="n">
        <x:v>1</x:v>
      </x:c>
      <x:c r="L34" t="n">
        <x:v>2</x:v>
      </x:c>
      <x:c r="M34" t="n">
        <x:v>3</x:v>
      </x:c>
      <x:c r="N34" t="n">
        <x:v>2</x:v>
      </x:c>
      <x:c r="O34" t="n">
        <x:v>2</x:v>
      </x:c>
      <x:c r="P34" t="n">
        <x:v>3</x:v>
      </x:c>
      <x:c r="Q34" t="n">
        <x:v>3</x:v>
      </x:c>
      <x:c r="R34" t="n">
        <x:v>4</x:v>
      </x:c>
      <x:c r="S34" t="n">
        <x:v>4</x:v>
      </x:c>
      <x:c r="T34" t="n">
        <x:v>2</x:v>
      </x:c>
      <x:c r="U34" t="n">
        <x:v>2</x:v>
      </x:c>
      <x:c r="V34" s="42" t="n">
        <x:f>AVERAGE(B34:U34)</x:f>
        <x:v>2.7</x:v>
      </x:c>
      <x:c r="W34" t="n">
        <x:f>SUM(B34:U34)</x:f>
        <x:v>54</x:v>
      </x:c>
    </x:row>
    <x:row r="35">
      <x:c r="A35" t="n">
        <x:v>20</x:v>
      </x:c>
      <x:c r="B35" t="n">
        <x:v>3</x:v>
      </x:c>
      <x:c r="C35" t="n">
        <x:v>3</x:v>
      </x:c>
      <x:c r="D35" t="n">
        <x:v>1</x:v>
      </x:c>
      <x:c r="E35" t="n">
        <x:v>2</x:v>
      </x:c>
      <x:c r="F35" t="n">
        <x:v>1</x:v>
      </x:c>
      <x:c r="G35" t="n">
        <x:v>2</x:v>
      </x:c>
      <x:c r="H35" t="n">
        <x:v>5</x:v>
      </x:c>
      <x:c r="I35" t="n">
        <x:v>3</x:v>
      </x:c>
      <x:c r="J35" t="n">
        <x:v>3</x:v>
      </x:c>
      <x:c r="K35" t="n">
        <x:v>3</x:v>
      </x:c>
      <x:c r="L35" t="n">
        <x:v>3</x:v>
      </x:c>
      <x:c r="M35" t="n">
        <x:v>3</x:v>
      </x:c>
      <x:c r="N35" t="n">
        <x:v>3</x:v>
      </x:c>
      <x:c r="O35" t="n">
        <x:v>4</x:v>
      </x:c>
      <x:c r="P35" t="n">
        <x:v>0</x:v>
      </x:c>
      <x:c r="Q35" t="n">
        <x:v>3</x:v>
      </x:c>
      <x:c r="R35" t="n">
        <x:v>3</x:v>
      </x:c>
      <x:c r="S35" t="n">
        <x:v>4</x:v>
      </x:c>
      <x:c r="T35" t="n">
        <x:v>5</x:v>
      </x:c>
      <x:c r="U35" t="n">
        <x:v>4</x:v>
      </x:c>
      <x:c r="V35" s="42" t="n">
        <x:f>AVERAGE(B35:U35)</x:f>
        <x:v>2.9</x:v>
      </x:c>
      <x:c r="W35" t="n">
        <x:f>SUM(B35:U35)</x:f>
        <x:v>58</x:v>
      </x:c>
    </x:row>
    <x:row r="38">
      <x:c r="A38" s="16" t="str">
        <x:v>Эксперимент</x:v>
      </x:c>
      <x:c r="B38" s="16" t="str">
        <x:v>Средний спрос</x:v>
      </x:c>
      <x:c r="C38" s="16" t="str">
        <x:v>Теоретическое E(X)</x:v>
      </x:c>
    </x:row>
    <x:row r="39">
      <x:c r="A39" t="n">
        <x:f>A16</x:f>
        <x:v>1</x:v>
      </x:c>
      <x:c r="B39" s="42" t="n">
        <x:f>V16</x:f>
        <x:v>3.05</x:v>
      </x:c>
      <x:c r="C39" s="42" t="n">
        <x:f>$B$12</x:f>
        <x:v>2.7249999999999996</x:v>
      </x:c>
    </x:row>
    <x:row r="40">
      <x:c r="A40" t="n">
        <x:f>A17</x:f>
        <x:v>2</x:v>
      </x:c>
      <x:c r="B40" s="42" t="n">
        <x:f>V17</x:f>
        <x:v>2.7</x:v>
      </x:c>
      <x:c r="C40" s="42" t="n">
        <x:f>$B$12</x:f>
        <x:v>2.7249999999999996</x:v>
      </x:c>
    </x:row>
    <x:row r="41">
      <x:c r="A41" t="n">
        <x:f>A18</x:f>
        <x:v>3</x:v>
      </x:c>
      <x:c r="B41" s="42" t="n">
        <x:f>V18</x:f>
        <x:v>3.45</x:v>
      </x:c>
      <x:c r="C41" s="42" t="n">
        <x:f>$B$12</x:f>
        <x:v>2.7249999999999996</x:v>
      </x:c>
    </x:row>
    <x:row r="42">
      <x:c r="A42" t="n">
        <x:f>A19</x:f>
        <x:v>4</x:v>
      </x:c>
      <x:c r="B42" s="42" t="n">
        <x:f>V19</x:f>
        <x:v>2.85</x:v>
      </x:c>
      <x:c r="C42" s="42" t="n">
        <x:f>$B$12</x:f>
        <x:v>2.7249999999999996</x:v>
      </x:c>
    </x:row>
    <x:row r="43">
      <x:c r="A43" t="n">
        <x:f>A20</x:f>
        <x:v>5</x:v>
      </x:c>
      <x:c r="B43" s="42" t="n">
        <x:f>V20</x:f>
        <x:v>2.45</x:v>
      </x:c>
      <x:c r="C43" s="42" t="n">
        <x:f>$B$12</x:f>
        <x:v>2.7249999999999996</x:v>
      </x:c>
    </x:row>
    <x:row r="44">
      <x:c r="A44" t="n">
        <x:f>A21</x:f>
        <x:v>6</x:v>
      </x:c>
      <x:c r="B44" s="42" t="n">
        <x:f>V21</x:f>
        <x:v>2.75</x:v>
      </x:c>
      <x:c r="C44" s="42" t="n">
        <x:f>$B$12</x:f>
        <x:v>2.7249999999999996</x:v>
      </x:c>
    </x:row>
    <x:row r="45">
      <x:c r="A45" t="n">
        <x:f>A22</x:f>
        <x:v>7</x:v>
      </x:c>
      <x:c r="B45" s="42" t="n">
        <x:f>V22</x:f>
        <x:v>2.85</x:v>
      </x:c>
      <x:c r="C45" s="42" t="n">
        <x:f>$B$12</x:f>
        <x:v>2.7249999999999996</x:v>
      </x:c>
    </x:row>
    <x:row r="46">
      <x:c r="A46" t="n">
        <x:f>A23</x:f>
        <x:v>8</x:v>
      </x:c>
      <x:c r="B46" s="42" t="n">
        <x:f>V23</x:f>
        <x:v>2.75</x:v>
      </x:c>
      <x:c r="C46" s="42" t="n">
        <x:f>$B$12</x:f>
        <x:v>2.7249999999999996</x:v>
      </x:c>
    </x:row>
    <x:row r="47">
      <x:c r="A47" t="n">
        <x:f>A24</x:f>
        <x:v>9</x:v>
      </x:c>
      <x:c r="B47" s="42" t="n">
        <x:f>V24</x:f>
        <x:v>2.85</x:v>
      </x:c>
      <x:c r="C47" s="42" t="n">
        <x:f>$B$12</x:f>
        <x:v>2.7249999999999996</x:v>
      </x:c>
    </x:row>
    <x:row r="48">
      <x:c r="A48" t="n">
        <x:f>A25</x:f>
        <x:v>10</x:v>
      </x:c>
      <x:c r="B48" s="42" t="n">
        <x:f>V25</x:f>
        <x:v>2.9</x:v>
      </x:c>
      <x:c r="C48" s="42" t="n">
        <x:f>$B$12</x:f>
        <x:v>2.7249999999999996</x:v>
      </x:c>
    </x:row>
    <x:row r="49">
      <x:c r="A49" t="n">
        <x:f>A26</x:f>
        <x:v>11</x:v>
      </x:c>
      <x:c r="B49" s="42" t="n">
        <x:f>V26</x:f>
        <x:v>2.75</x:v>
      </x:c>
      <x:c r="C49" s="42" t="n">
        <x:f>$B$12</x:f>
        <x:v>2.7249999999999996</x:v>
      </x:c>
    </x:row>
    <x:row r="50">
      <x:c r="A50" t="n">
        <x:f>A27</x:f>
        <x:v>12</x:v>
      </x:c>
      <x:c r="B50" s="42" t="n">
        <x:f>V27</x:f>
        <x:v>2.95</x:v>
      </x:c>
      <x:c r="C50" s="42" t="n">
        <x:f>$B$12</x:f>
        <x:v>2.7249999999999996</x:v>
      </x:c>
    </x:row>
    <x:row r="51">
      <x:c r="A51" t="n">
        <x:f>A28</x:f>
        <x:v>13</x:v>
      </x:c>
      <x:c r="B51" s="42" t="n">
        <x:f>V28</x:f>
        <x:v>2.5</x:v>
      </x:c>
      <x:c r="C51" s="42" t="n">
        <x:f>$B$12</x:f>
        <x:v>2.7249999999999996</x:v>
      </x:c>
    </x:row>
    <x:row r="52">
      <x:c r="A52" t="n">
        <x:f>A29</x:f>
        <x:v>14</x:v>
      </x:c>
      <x:c r="B52" s="42" t="n">
        <x:f>V29</x:f>
        <x:v>3.1</x:v>
      </x:c>
      <x:c r="C52" s="42" t="n">
        <x:f>$B$12</x:f>
        <x:v>2.7249999999999996</x:v>
      </x:c>
    </x:row>
    <x:row r="53">
      <x:c r="A53" t="n">
        <x:f>A30</x:f>
        <x:v>15</x:v>
      </x:c>
      <x:c r="B53" s="42" t="n">
        <x:f>V30</x:f>
        <x:v>2.4</x:v>
      </x:c>
      <x:c r="C53" s="42" t="n">
        <x:f>$B$12</x:f>
        <x:v>2.7249999999999996</x:v>
      </x:c>
    </x:row>
    <x:row r="54">
      <x:c r="A54" t="n">
        <x:f>A31</x:f>
        <x:v>16</x:v>
      </x:c>
      <x:c r="B54" s="42" t="n">
        <x:f>V31</x:f>
        <x:v>2.85</x:v>
      </x:c>
      <x:c r="C54" s="42" t="n">
        <x:f>$B$12</x:f>
        <x:v>2.7249999999999996</x:v>
      </x:c>
    </x:row>
    <x:row r="55">
      <x:c r="A55" t="n">
        <x:f>A32</x:f>
        <x:v>17</x:v>
      </x:c>
      <x:c r="B55" s="42" t="n">
        <x:f>V32</x:f>
        <x:v>2.55</x:v>
      </x:c>
      <x:c r="C55" s="42" t="n">
        <x:f>$B$12</x:f>
        <x:v>2.7249999999999996</x:v>
      </x:c>
    </x:row>
    <x:row r="56">
      <x:c r="A56" t="n">
        <x:f>A33</x:f>
        <x:v>18</x:v>
      </x:c>
      <x:c r="B56" s="42" t="n">
        <x:f>V33</x:f>
        <x:v>2.6</x:v>
      </x:c>
      <x:c r="C56" s="42" t="n">
        <x:f>$B$12</x:f>
        <x:v>2.7249999999999996</x:v>
      </x:c>
    </x:row>
    <x:row r="57">
      <x:c r="A57" t="n">
        <x:f>A34</x:f>
        <x:v>19</x:v>
      </x:c>
      <x:c r="B57" s="42" t="n">
        <x:f>V34</x:f>
        <x:v>2.7</x:v>
      </x:c>
      <x:c r="C57" s="42" t="n">
        <x:f>$B$12</x:f>
        <x:v>2.7249999999999996</x:v>
      </x:c>
    </x:row>
    <x:row r="58">
      <x:c r="A58" t="n">
        <x:f>A35</x:f>
        <x:v>20</x:v>
      </x:c>
      <x:c r="B58" s="42" t="n">
        <x:f>V35</x:f>
        <x:v>2.9</x:v>
      </x:c>
      <x:c r="C58" s="42" t="n">
        <x:f>$B$12</x:f>
        <x:v>2.7249999999999996</x:v>
      </x:c>
    </x:row>
  </x:sheetData>
  <x:mergeCells>
    <x:mergeCell ref="A1:Y1"/>
  </x:mergeCells>
  <x:pageMargins left="0.7" right="0.7" top="0.75" bottom="0.75" header="0.3" footer="0.3"/>
  <x:drawing xmlns:r="http://schemas.openxmlformats.org/officeDocument/2006/relationships" r:id="Rce17ea142a1f4320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8" max="28" width="16" hidden="0" customWidth="1"/>
    <x:col min="29" max="29" width="16" hidden="0" customWidth="1"/>
  </x:cols>
  <x:sheetData>
    <x:row r="1">
      <x:c r="A1" s="6" t="str">
        <x:v>Билет №30 — моделирование накопления средств на депозите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</x:row>
    <x:row r="3">
      <x:c r="A3" s="16" t="str">
        <x:v>Параметр</x:v>
      </x:c>
      <x:c r="B3" s="16" t="str">
        <x:v>Значение</x:v>
      </x:c>
      <x:c r="D3" s="16" t="str">
        <x:v>Ставка, %</x:v>
      </x:c>
      <x:c r="E3" s="16" t="str">
        <x:v>Вероятность</x:v>
      </x:c>
      <x:c r="F3" s="16" t="str">
        <x:v>F(x)</x:v>
      </x:c>
      <x:c r="G3" s="16" t="str">
        <x:v>Начало интервала</x:v>
      </x:c>
      <x:c r="H3" s="16" t="str">
        <x:v>Конец интервала</x:v>
      </x:c>
      <x:c r="J3" s="16" t="str">
        <x:v>Пополнение, руб.</x:v>
      </x:c>
      <x:c r="K3" s="16" t="str">
        <x:v>Вероятность</x:v>
      </x:c>
      <x:c r="L3" s="16" t="str">
        <x:v>F(x)</x:v>
      </x:c>
      <x:c r="M3" s="16" t="str">
        <x:v>Начало интервала</x:v>
      </x:c>
      <x:c r="N3" s="16" t="str">
        <x:v>Конец интервала</x:v>
      </x:c>
    </x:row>
    <x:row r="4">
      <x:c r="A4" t="str">
        <x:v>Начальная сумма, руб.</x:v>
      </x:c>
      <x:c r="B4" s="46" t="n">
        <x:v>100000</x:v>
      </x:c>
      <x:c r="D4" s="48" t="n">
        <x:v>0.5</x:v>
      </x:c>
      <x:c r="E4" s="50" t="n">
        <x:v>0.2</x:v>
      </x:c>
      <x:c r="F4" s="50" t="n">
        <x:f>SUM($E$4:E4)</x:f>
        <x:v>0.2</x:v>
      </x:c>
      <x:c r="G4" s="50" t="n">
        <x:f>0</x:f>
        <x:v>0</x:v>
      </x:c>
      <x:c r="H4" s="50" t="n">
        <x:f>F4</x:f>
        <x:v>0.2</x:v>
      </x:c>
      <x:c r="J4" s="52" t="n">
        <x:v>5000</x:v>
      </x:c>
      <x:c r="K4" s="50" t="n">
        <x:v>0.25</x:v>
      </x:c>
      <x:c r="L4" s="50" t="n">
        <x:f>SUM($K$4:K4)</x:f>
        <x:v>0.25</x:v>
      </x:c>
      <x:c r="M4" s="50" t="n">
        <x:f>0</x:f>
        <x:v>0</x:v>
      </x:c>
      <x:c r="N4" s="50" t="n">
        <x:f>L4</x:f>
        <x:v>0.25</x:v>
      </x:c>
    </x:row>
    <x:row r="5">
      <x:c r="A5" t="str">
        <x:v>Число месяцев</x:v>
      </x:c>
      <x:c r="B5" s="46" t="n">
        <x:v>24</x:v>
      </x:c>
      <x:c r="D5" s="48" t="n">
        <x:v>0.7</x:v>
      </x:c>
      <x:c r="E5" s="50" t="n">
        <x:v>0.3</x:v>
      </x:c>
      <x:c r="F5" s="50" t="n">
        <x:f>SUM($E$4:E5)</x:f>
        <x:v>0.5</x:v>
      </x:c>
      <x:c r="G5" s="50" t="n">
        <x:f>F4</x:f>
        <x:v>0.2</x:v>
      </x:c>
      <x:c r="H5" s="50" t="n">
        <x:f>F5</x:f>
        <x:v>0.5</x:v>
      </x:c>
      <x:c r="J5" s="52" t="n">
        <x:v>10000</x:v>
      </x:c>
      <x:c r="K5" s="50" t="n">
        <x:v>0.35</x:v>
      </x:c>
      <x:c r="L5" s="50" t="n">
        <x:f>SUM($K$4:K5)</x:f>
        <x:v>0.6</x:v>
      </x:c>
      <x:c r="M5" s="50" t="n">
        <x:f>L4</x:f>
        <x:v>0.25</x:v>
      </x:c>
      <x:c r="N5" s="50" t="n">
        <x:f>L5</x:f>
        <x:v>0.6</x:v>
      </x:c>
    </x:row>
    <x:row r="6">
      <x:c r="A6" t="str">
        <x:v>Число экспериментов</x:v>
      </x:c>
      <x:c r="B6" s="46" t="n">
        <x:v>20</x:v>
      </x:c>
      <x:c r="D6" s="48" t="n">
        <x:v>0.9</x:v>
      </x:c>
      <x:c r="E6" s="50" t="n">
        <x:v>0.3</x:v>
      </x:c>
      <x:c r="F6" s="50" t="n">
        <x:f>SUM($E$4:E6)</x:f>
        <x:v>0.8</x:v>
      </x:c>
      <x:c r="G6" s="50" t="n">
        <x:f>F5</x:f>
        <x:v>0.5</x:v>
      </x:c>
      <x:c r="H6" s="50" t="n">
        <x:f>F6</x:f>
        <x:v>0.8</x:v>
      </x:c>
      <x:c r="J6" s="52" t="n">
        <x:v>15000</x:v>
      </x:c>
      <x:c r="K6" s="50" t="n">
        <x:v>0.25</x:v>
      </x:c>
      <x:c r="L6" s="50" t="n">
        <x:f>SUM($K$4:K6)</x:f>
        <x:v>0.85</x:v>
      </x:c>
      <x:c r="M6" s="50" t="n">
        <x:f>L5</x:f>
        <x:v>0.6</x:v>
      </x:c>
      <x:c r="N6" s="50" t="n">
        <x:f>L6</x:f>
        <x:v>0.85</x:v>
      </x:c>
    </x:row>
    <x:row r="7">
      <x:c r="A7" t="str">
        <x:v>Seed</x:v>
      </x:c>
      <x:c r="B7" s="46" t="n">
        <x:v>42</x:v>
      </x:c>
      <x:c r="D7" s="48" t="n">
        <x:v>1.1</x:v>
      </x:c>
      <x:c r="E7" s="50" t="n">
        <x:v>0.2</x:v>
      </x:c>
      <x:c r="F7" s="50" t="n">
        <x:f>SUM($E$4:E7)</x:f>
        <x:v>1</x:v>
      </x:c>
      <x:c r="G7" s="50" t="n">
        <x:f>F6</x:f>
        <x:v>0.8</x:v>
      </x:c>
      <x:c r="H7" s="50" t="n">
        <x:f>F7</x:f>
        <x:v>1</x:v>
      </x:c>
      <x:c r="J7" s="52" t="n">
        <x:v>20000</x:v>
      </x:c>
      <x:c r="K7" s="50" t="n">
        <x:v>0.15</x:v>
      </x:c>
      <x:c r="L7" s="50" t="n">
        <x:f>SUM($K$4:K7)</x:f>
        <x:v>1</x:v>
      </x:c>
      <x:c r="M7" s="50" t="n">
        <x:f>L6</x:f>
        <x:v>0.85</x:v>
      </x:c>
      <x:c r="N7" s="50" t="n">
        <x:f>L7</x:f>
        <x:v>1</x:v>
      </x:c>
    </x:row>
    <x:row r="8">
      <x:c r="A8" t="str">
        <x:v>Средняя итоговая сумма</x:v>
      </x:c>
      <x:c r="B8" s="46" t="n">
        <x:f>AVERAGE(Z16:Z35)</x:f>
        <x:v>425625.5926528997</x:v>
      </x:c>
    </x:row>
    <x:row r="9">
      <x:c r="A9" t="str">
        <x:v>Стандартное отклонение итоговой суммы</x:v>
      </x:c>
      <x:c r="B9" s="46" t="n">
        <x:f>STDEV.S(Z16:Z35)</x:f>
        <x:v>28444.280938634893</x:v>
      </x:c>
    </x:row>
    <x:row r="10">
      <x:c r="A10" t="str">
        <x:v>Стандартная ошибка</x:v>
      </x:c>
      <x:c r="B10" s="46" t="n">
        <x:f>B9/SQRT(B6)</x:f>
        <x:v>6360.334574988914</x:v>
      </x:c>
    </x:row>
    <x:row r="11">
      <x:c r="A11" t="str">
        <x:v>Нижняя граница 95% ДИ</x:v>
      </x:c>
      <x:c r="B11" s="46" t="n">
        <x:f>B8-1.96*B10</x:f>
        <x:v>413159.3368859214</x:v>
      </x:c>
    </x:row>
    <x:row r="12">
      <x:c r="A12" t="str">
        <x:v>Верхняя граница 95% ДИ</x:v>
      </x:c>
      <x:c r="B12" s="46" t="n">
        <x:f>B8+1.96*B10</x:f>
        <x:v>438091.84841987793</x:v>
      </x:c>
    </x:row>
    <x:row r="13">
      <x:c r="A13" t="str">
        <x:v>Формула баланса</x:v>
      </x:c>
      <x:c r="B13" t="str">
        <x:v>B_m = B_{m-1}·(1+r_m/100)+P_m</x:v>
      </x:c>
    </x:row>
    <x:row r="15">
      <x:c r="A15" s="16" t="str">
        <x:v>Эксперимент</x:v>
      </x:c>
      <x:c r="B15" s="16" t="str">
        <x:v>М0</x:v>
      </x:c>
      <x:c r="C15" s="16" t="str">
        <x:v>М1</x:v>
      </x:c>
      <x:c r="D15" s="16" t="str">
        <x:v>М2</x:v>
      </x:c>
      <x:c r="E15" s="16" t="str">
        <x:v>М3</x:v>
      </x:c>
      <x:c r="F15" s="16" t="str">
        <x:v>М4</x:v>
      </x:c>
      <x:c r="G15" s="16" t="str">
        <x:v>М5</x:v>
      </x:c>
      <x:c r="H15" s="16" t="str">
        <x:v>М6</x:v>
      </x:c>
      <x:c r="I15" s="16" t="str">
        <x:v>М7</x:v>
      </x:c>
      <x:c r="J15" s="16" t="str">
        <x:v>М8</x:v>
      </x:c>
      <x:c r="K15" s="16" t="str">
        <x:v>М9</x:v>
      </x:c>
      <x:c r="L15" s="16" t="str">
        <x:v>М10</x:v>
      </x:c>
      <x:c r="M15" s="16" t="str">
        <x:v>М11</x:v>
      </x:c>
      <x:c r="N15" s="16" t="str">
        <x:v>М12</x:v>
      </x:c>
      <x:c r="O15" s="16" t="str">
        <x:v>М13</x:v>
      </x:c>
      <x:c r="P15" s="16" t="str">
        <x:v>М14</x:v>
      </x:c>
      <x:c r="Q15" s="16" t="str">
        <x:v>М15</x:v>
      </x:c>
      <x:c r="R15" s="16" t="str">
        <x:v>М16</x:v>
      </x:c>
      <x:c r="S15" s="16" t="str">
        <x:v>М17</x:v>
      </x:c>
      <x:c r="T15" s="16" t="str">
        <x:v>М18</x:v>
      </x:c>
      <x:c r="U15" s="16" t="str">
        <x:v>М19</x:v>
      </x:c>
      <x:c r="V15" s="16" t="str">
        <x:v>М20</x:v>
      </x:c>
      <x:c r="W15" s="16" t="str">
        <x:v>М21</x:v>
      </x:c>
      <x:c r="X15" s="16" t="str">
        <x:v>М22</x:v>
      </x:c>
      <x:c r="Y15" s="16" t="str">
        <x:v>М23</x:v>
      </x:c>
      <x:c r="Z15" s="16" t="str">
        <x:v>М24</x:v>
      </x:c>
      <x:c r="AB15" s="16" t="str">
        <x:v>Месяц</x:v>
      </x:c>
      <x:c r="AC15" s="16" t="str">
        <x:v>Средний баланс</x:v>
      </x:c>
    </x:row>
    <x:row r="16">
      <x:c r="A16" t="n">
        <x:v>1</x:v>
      </x:c>
      <x:c r="B16" s="52" t="n">
        <x:v>100000</x:v>
      </x:c>
      <x:c r="C16" s="52" t="n">
        <x:f>B16*(1+B43/100)+B67</x:f>
        <x:v>115899.99999999999</x:v>
      </x:c>
      <x:c r="D16" s="52" t="n">
        <x:f>C16*(1+C43/100)+C67</x:f>
        <x:v>136479.49999999997</x:v>
      </x:c>
      <x:c r="E16" s="52" t="n">
        <x:f>D16*(1+D43/100)+D67</x:f>
        <x:v>152707.81549999997</x:v>
      </x:c>
      <x:c r="F16" s="52" t="n">
        <x:f>E16*(1+E43/100)+E67</x:f>
        <x:v>159387.60147049994</x:v>
      </x:c>
      <x:c r="G16" s="52" t="n">
        <x:f>F16*(1+F43/100)+F67</x:f>
        <x:v>171140.86508667542</x:v>
      </x:c>
      <x:c r="H16" s="52" t="n">
        <x:f>G16*(1+G43/100)+G67</x:f>
        <x:v>178023.41460262882</x:v>
      </x:c>
      <x:c r="I16" s="52" t="n">
        <x:f>H16*(1+H43/100)+H67</x:f>
        <x:v>183913.53167564195</x:v>
      </x:c>
      <x:c r="J16" s="52" t="n">
        <x:f>I16*(1+I43/100)+I67</x:f>
        <x:v>195568.7534607227</x:v>
      </x:c>
      <x:c r="K16" s="52" t="n">
        <x:f>J16*(1+J43/100)+J67</x:f>
        <x:v>212720.00974879065</x:v>
      </x:c>
      <x:c r="L16" s="52" t="n">
        <x:f>K16*(1+K43/100)+K67</x:f>
        <x:v>219634.48983652974</x:v>
      </x:c>
      <x:c r="M16" s="52" t="n">
        <x:f>L16*(1+L43/100)+L67</x:f>
        <x:v>236611.20024505848</x:v>
      </x:c>
      <x:c r="N16" s="52" t="n">
        <x:f>M16*(1+M43/100)+M67</x:f>
        <x:v>253740.70104726398</x:v>
      </x:c>
      <x:c r="O16" s="52" t="n">
        <x:f>N16*(1+N43/100)+N67</x:f>
        <x:v>271024.3673566893</x:v>
      </x:c>
      <x:c r="P16" s="52" t="n">
        <x:f>O16*(1+O43/100)+O67</x:f>
        <x:v>277921.53792818607</x:v>
      </x:c>
      <x:c r="Q16" s="52" t="n">
        <x:f>P16*(1+P43/100)+P67</x:f>
        <x:v>289311.14561782696</x:v>
      </x:c>
      <x:c r="R16" s="52" t="n">
        <x:f>Q16*(1+Q43/100)+Q67</x:f>
        <x:v>297493.568219623</x:v>
      </x:c>
      <x:c r="S16" s="52" t="n">
        <x:f>R16*(1+R43/100)+R67</x:f>
        <x:v>305765.9974700388</x:v>
      </x:c>
      <x:c r="T16" s="52" t="n">
        <x:f>S16*(1+S43/100)+S67</x:f>
        <x:v>319129.4234422092</x:v>
      </x:c>
      <x:c r="U16" s="52" t="n">
        <x:f>T16*(1+T43/100)+T67</x:f>
        <x:v>331363.32940630463</x:v>
      </x:c>
      <x:c r="V16" s="52" t="n">
        <x:f>U16*(1+U43/100)+U67</x:f>
        <x:v>338020.1460533361</x:v>
      </x:c>
      <x:c r="W16" s="52" t="n">
        <x:f>V16*(1+V43/100)+V67</x:f>
        <x:v>345386.28707570944</x:v>
      </x:c>
      <x:c r="X16" s="52" t="n">
        <x:f>W16*(1+W43/100)+W67</x:f>
        <x:v>369185.5362335422</x:v>
      </x:c>
      <x:c r="Y16" s="52" t="n">
        <x:f>X16*(1+X43/100)+X67</x:f>
        <x:v>387508.20605964406</x:v>
      </x:c>
      <x:c r="Z16" s="52" t="n">
        <x:f>Y16*(1+Y43/100)+Y67</x:f>
        <x:v>401770.79632630013</x:v>
      </x:c>
      <x:c r="AB16" t="n">
        <x:v>0</x:v>
      </x:c>
      <x:c r="AC16" s="52" t="n">
        <x:f>B36</x:f>
        <x:v>100000</x:v>
      </x:c>
    </x:row>
    <x:row r="17">
      <x:c r="A17" t="n">
        <x:v>2</x:v>
      </x:c>
      <x:c r="B17" s="52" t="n">
        <x:v>100000</x:v>
      </x:c>
      <x:c r="C17" s="52" t="n">
        <x:f>B17*(1+B44/100)+B68</x:f>
        <x:v>120699.99999999999</x:v>
      </x:c>
      <x:c r="D17" s="52" t="n">
        <x:f>C17*(1+C44/100)+C68</x:f>
        <x:v>126786.29999999997</x:v>
      </x:c>
      <x:c r="E17" s="52" t="n">
        <x:f>D17*(1+D44/100)+D68</x:f>
        <x:v>137927.37669999996</x:v>
      </x:c>
      <x:c r="F17" s="52" t="n">
        <x:f>E17*(1+E44/100)+E68</x:f>
        <x:v>153892.86833689996</x:v>
      </x:c>
      <x:c r="G17" s="52" t="n">
        <x:f>F17*(1+F44/100)+F68</x:f>
        <x:v>165585.68988860585</x:v>
      </x:c>
      <x:c r="H17" s="52" t="n">
        <x:f>G17*(1+G44/100)+G68</x:f>
        <x:v>172075.9610976033</x:v>
      </x:c>
      <x:c r="I17" s="52" t="n">
        <x:f>H17*(1+H44/100)+H68</x:f>
        <x:v>182936.34090309127</x:v>
      </x:c>
      <x:c r="J17" s="52" t="n">
        <x:f>I17*(1+I44/100)+I68</x:f>
        <x:v>193851.02260760672</x:v>
      </x:c>
      <x:c r="K17" s="52" t="n">
        <x:f>J17*(1+J44/100)+J68</x:f>
        <x:v>210983.38385629037</x:v>
      </x:c>
      <x:c r="L17" s="52" t="n">
        <x:f>K17*(1+K44/100)+K68</x:f>
        <x:v>222882.23431099695</x:v>
      </x:c>
      <x:c r="M17" s="52" t="n">
        <x:f>L17*(1+L44/100)+L68</x:f>
        <x:v>234888.1744197959</x:v>
      </x:c>
      <x:c r="N17" s="52" t="n">
        <x:f>M17*(1+M44/100)+M68</x:f>
        <x:v>247002.16798957402</x:v>
      </x:c>
      <x:c r="O17" s="52" t="n">
        <x:f>N17*(1+N44/100)+N68</x:f>
        <x:v>258731.18316550102</x:v>
      </x:c>
      <x:c r="P17" s="52" t="n">
        <x:f>O17*(1+O44/100)+O68</x:f>
        <x:v>266059.7638139905</x:v>
      </x:c>
      <x:c r="Q17" s="52" t="n">
        <x:f>P17*(1+P44/100)+P68</x:f>
        <x:v>288986.4212159444</x:v>
      </x:c>
      <x:c r="R17" s="52" t="n">
        <x:f>Q17*(1+Q44/100)+Q68</x:f>
        <x:v>305431.3533220241</x:v>
      </x:c>
      <x:c r="S17" s="52" t="n">
        <x:f>R17*(1+R44/100)+R68</x:f>
        <x:v>318180.2355019223</x:v>
      </x:c>
      <x:c r="T17" s="52" t="n">
        <x:f>S17*(1+S44/100)+S68</x:f>
        <x:v>335407.49715043575</x:v>
      </x:c>
      <x:c r="U17" s="52" t="n">
        <x:f>T17*(1+T44/100)+T68</x:f>
        <x:v>342755.3496304888</x:v>
      </x:c>
      <x:c r="V17" s="52" t="n">
        <x:f>U17*(1+U44/100)+U68</x:f>
        <x:v>355154.63707790215</x:v>
      </x:c>
      <x:c r="W17" s="52" t="n">
        <x:f>V17*(1+V44/100)+V68</x:f>
        <x:v>369061.338085759</x:v>
      </x:c>
      <x:c r="X17" s="52" t="n">
        <x:f>W17*(1+W44/100)+W68</x:f>
        <x:v>380906.6447761878</x:v>
      </x:c>
      <x:c r="Y17" s="52" t="n">
        <x:f>X17*(1+X44/100)+X68</x:f>
        <x:v>398572.99128962104</x:v>
      </x:c>
      <x:c r="Z17" s="52" t="n">
        <x:f>Y17*(1+Y44/100)+Y68</x:f>
        <x:v>422160.1482112276</x:v>
      </x:c>
      <x:c r="AB17" t="n">
        <x:v>1</x:v>
      </x:c>
      <x:c r="AC17" s="52" t="n">
        <x:f>C36</x:f>
        <x:v>112789.99999999997</x:v>
      </x:c>
    </x:row>
    <x:row r="18">
      <x:c r="A18" t="n">
        <x:v>3</x:v>
      </x:c>
      <x:c r="B18" s="52" t="n">
        <x:v>100000</x:v>
      </x:c>
      <x:c r="C18" s="52" t="n">
        <x:f>B18*(1+B45/100)+B69</x:f>
        <x:v>110499.99999999999</x:v>
      </x:c>
      <x:c r="D18" s="52" t="n">
        <x:f>C18*(1+C45/100)+C69</x:f>
        <x:v>121494.49999999997</x:v>
      </x:c>
      <x:c r="E18" s="52" t="n">
        <x:f>D18*(1+D45/100)+D69</x:f>
        <x:v>137830.93949999998</x:v>
      </x:c>
      <x:c r="F18" s="52" t="n">
        <x:f>E18*(1+E45/100)+E69</x:f>
        <x:v>148520.09419749997</x:v>
      </x:c>
      <x:c r="G18" s="52" t="n">
        <x:f>F18*(1+F45/100)+F69</x:f>
        <x:v>154262.69466848747</x:v>
      </x:c>
      <x:c r="H18" s="52" t="n">
        <x:f>G18*(1+G45/100)+G69</x:f>
        <x:v>175959.5843098408</x:v>
      </x:c>
      <x:c r="I18" s="52" t="n">
        <x:f>H18*(1+H45/100)+H69</x:f>
        <x:v>191839.38223139</x:v>
      </x:c>
      <x:c r="J18" s="52" t="n">
        <x:f>I18*(1+I45/100)+I69</x:f>
        <x:v>212798.57914254692</x:v>
      </x:c>
      <x:c r="K18" s="52" t="n">
        <x:f>J18*(1+J45/100)+J69</x:f>
        <x:v>220139.36351311492</x:v>
      </x:c>
      <x:c r="L18" s="52" t="n">
        <x:f>K18*(1+K45/100)+K69</x:f>
        <x:v>227560.89651175917</x:v>
      </x:c>
      <x:c r="M18" s="52" t="n">
        <x:f>L18*(1+L45/100)+L69</x:f>
        <x:v>239608.94458036497</x:v>
      </x:c>
      <x:c r="N18" s="52" t="n">
        <x:f>M18*(1+M45/100)+M69</x:f>
        <x:v>261765.42508158824</x:v>
      </x:c>
      <x:c r="O18" s="52" t="n">
        <x:f>N18*(1+N45/100)+N69</x:f>
        <x:v>269644.84475748567</x:v>
      </x:c>
      <x:c r="P18" s="52" t="n">
        <x:f>O18*(1+O45/100)+O69</x:f>
        <x:v>277071.648360303</x:v>
      </x:c>
      <x:c r="Q18" s="52" t="n">
        <x:f>P18*(1+P45/100)+P69</x:f>
        <x:v>284565.29319554573</x:v>
      </x:c>
      <x:c r="R18" s="52" t="n">
        <x:f>Q18*(1+Q45/100)+Q69</x:f>
        <x:v>302695.5114206967</x:v>
      </x:c>
      <x:c r="S18" s="52" t="n">
        <x:f>R18*(1+R45/100)+R69</x:f>
        <x:v>320419.7710234829</x:v>
      </x:c>
      <x:c r="T18" s="52" t="n">
        <x:f>S18*(1+S45/100)+S69</x:f>
        <x:v>338303.5489626942</x:v>
      </x:c>
      <x:c r="U18" s="52" t="n">
        <x:f>T18*(1+T45/100)+T69</x:f>
        <x:v>345671.67380543303</x:v>
      </x:c>
      <x:c r="V18" s="52" t="n">
        <x:f>U18*(1+U45/100)+U69</x:f>
        <x:v>363782.7188696819</x:v>
      </x:c>
      <x:c r="W18" s="52" t="n">
        <x:f>V18*(1+V45/100)+V69</x:f>
        <x:v>377056.76333950897</x:v>
      </x:c>
      <x:c r="X18" s="52" t="n">
        <x:f>W18*(1+W45/100)+W69</x:f>
        <x:v>384696.1606828855</x:v>
      </x:c>
      <x:c r="Y18" s="52" t="n">
        <x:f>X18*(1+X45/100)+X69</x:f>
        <x:v>397389.03380766563</x:v>
      </x:c>
      <x:c r="Z18" s="52" t="n">
        <x:f>Y18*(1+Y45/100)+Y69</x:f>
        <x:v>411760.31317954994</x:v>
      </x:c>
      <x:c r="AB18" t="n">
        <x:v>2</x:v>
      </x:c>
      <x:c r="AC18" s="52" t="n">
        <x:f>D36</x:f>
        <x:v>126246.12</x:v>
      </x:c>
    </x:row>
    <x:row r="19">
      <x:c r="A19" t="n">
        <x:v>4</x:v>
      </x:c>
      <x:c r="B19" s="52" t="n">
        <x:v>100000</x:v>
      </x:c>
      <x:c r="C19" s="52" t="n">
        <x:f>B19*(1+B46/100)+B70</x:f>
        <x:v>110699.99999999999</x:v>
      </x:c>
      <x:c r="D19" s="52" t="n">
        <x:f>C19*(1+C46/100)+C70</x:f>
        <x:v>131253.49999999997</x:v>
      </x:c>
      <x:c r="E19" s="52" t="n">
        <x:f>D19*(1+D46/100)+D70</x:f>
        <x:v>142172.27449999997</x:v>
      </x:c>
      <x:c r="F19" s="52" t="n">
        <x:f>E19*(1+E46/100)+E70</x:f>
        <x:v>153167.48042149996</x:v>
      </x:c>
      <x:c r="G19" s="52" t="n">
        <x:f>F19*(1+F46/100)+F70</x:f>
        <x:v>169545.98774529345</x:v>
      </x:c>
      <x:c r="H19" s="52" t="n">
        <x:f>G19*(1+G46/100)+G70</x:f>
        <x:v>185732.80965951047</x:v>
      </x:c>
      <x:c r="I19" s="52" t="n">
        <x:f>H19*(1+H46/100)+H70</x:f>
        <x:v>192032.93932712704</x:v>
      </x:c>
      <x:c r="J19" s="52" t="n">
        <x:f>I19*(1+I46/100)+I70</x:f>
        <x:v>209145.3016597254</x:v>
      </x:c>
      <x:c r="K19" s="52" t="n">
        <x:f>J19*(1+J46/100)+J70</x:f>
        <x:v>215191.028168024</x:v>
      </x:c>
      <x:c r="L19" s="52" t="n">
        <x:f>K19*(1+K46/100)+K70</x:f>
        <x:v>226266.9833088641</x:v>
      </x:c>
      <x:c r="M19" s="52" t="n">
        <x:f>L19*(1+L46/100)+L70</x:f>
        <x:v>243755.92012526156</x:v>
      </x:c>
      <x:c r="N19" s="52" t="n">
        <x:f>M19*(1+M46/100)+M70</x:f>
        <x:v>255949.7234063889</x:v>
      </x:c>
      <x:c r="O19" s="52" t="n">
        <x:f>N19*(1+N46/100)+N70</x:f>
        <x:v>268253.27091704635</x:v>
      </x:c>
      <x:c r="P19" s="52" t="n">
        <x:f>O19*(1+O46/100)+O70</x:f>
        <x:v>276204.0568971338</x:v>
      </x:c>
      <x:c r="Q19" s="52" t="n">
        <x:f>P19*(1+P46/100)+P70</x:f>
        <x:v>289242.3015230023</x:v>
      </x:c>
      <x:c r="R19" s="52" t="n">
        <x:f>Q19*(1+Q46/100)+Q70</x:f>
        <x:v>300688.51303061727</x:v>
      </x:c>
      <x:c r="S19" s="52" t="n">
        <x:f>R19*(1+R46/100)+R70</x:f>
        <x:v>323394.7096478928</x:v>
      </x:c>
      <x:c r="T19" s="52" t="n">
        <x:f>S19*(1+S46/100)+S70</x:f>
        <x:v>336305.2620347238</x:v>
      </x:c>
      <x:c r="U19" s="52" t="n">
        <x:f>T19*(1+T46/100)+T70</x:f>
        <x:v>358659.39886896685</x:v>
      </x:c>
      <x:c r="V19" s="52" t="n">
        <x:f>U19*(1+U46/100)+U70</x:f>
        <x:v>372604.65225652547</x:v>
      </x:c>
      <x:c r="W19" s="52" t="n">
        <x:f>V19*(1+V46/100)+V70</x:f>
        <x:v>390212.8848223211</x:v>
      </x:c>
      <x:c r="X19" s="52" t="n">
        <x:f>W19*(1+W46/100)+W70</x:f>
        <x:v>399505.2265553666</x:v>
      </x:c>
      <x:c r="Y19" s="52" t="n">
        <x:f>X19*(1+X46/100)+X70</x:f>
        <x:v>413100.7735943649</x:v>
      </x:c>
      <x:c r="Z19" s="52" t="n">
        <x:f>Y19*(1+Y46/100)+Y70</x:f>
        <x:v>421818.6805567141</x:v>
      </x:c>
      <x:c r="AB19" t="n">
        <x:v>3</x:v>
      </x:c>
      <x:c r="AC19" s="52" t="n">
        <x:f>E36</x:f>
        <x:v>138004.55763999996</x:v>
      </x:c>
    </x:row>
    <x:row r="20">
      <x:c r="A20" t="n">
        <x:v>5</x:v>
      </x:c>
      <x:c r="B20" s="52" t="n">
        <x:v>100000</x:v>
      </x:c>
      <x:c r="C20" s="52" t="n">
        <x:f>B20*(1+B47/100)+B71</x:f>
        <x:v>105499.99999999999</x:v>
      </x:c>
      <x:c r="D20" s="52" t="n">
        <x:f>C20*(1+C47/100)+C71</x:f>
        <x:v>126660.49999999997</x:v>
      </x:c>
      <x:c r="E20" s="52" t="n">
        <x:f>D20*(1+D47/100)+D71</x:f>
        <x:v>142800.44449999995</x:v>
      </x:c>
      <x:c r="F20" s="52" t="n">
        <x:f>E20*(1+E47/100)+E71</x:f>
        <x:v>158514.44672249994</x:v>
      </x:c>
      <x:c r="G20" s="52" t="n">
        <x:f>F20*(1+F47/100)+F71</x:f>
        <x:v>169307.0189561124</x:v>
      </x:c>
      <x:c r="H20" s="52" t="n">
        <x:f>G20*(1+G47/100)+G71</x:f>
        <x:v>180830.78212671741</x:v>
      </x:c>
      <x:c r="I20" s="52" t="n">
        <x:f>H20*(1+H47/100)+H71</x:f>
        <x:v>196734.93603735097</x:v>
      </x:c>
      <x:c r="J20" s="52" t="n">
        <x:f>I20*(1+I47/100)+I71</x:f>
        <x:v>213505.55046168712</x:v>
      </x:c>
      <x:c r="K20" s="52" t="n">
        <x:f>J20*(1+J47/100)+J71</x:f>
        <x:v>225427.1004158423</x:v>
      </x:c>
      <x:c r="L20" s="52" t="n">
        <x:f>K20*(1+K47/100)+K71</x:f>
        <x:v>242005.09011875317</x:v>
      </x:c>
      <x:c r="M20" s="52" t="n">
        <x:f>L20*(1+L47/100)+L71</x:f>
        <x:v>254183.13592982193</x:v>
      </x:c>
      <x:c r="N20" s="52" t="n">
        <x:f>M20*(1+M47/100)+M71</x:f>
        <x:v>275962.41788133065</x:v>
      </x:c>
      <x:c r="O20" s="52" t="n">
        <x:f>N20*(1+N47/100)+N71</x:f>
        <x:v>283998.00447802525</x:v>
      </x:c>
      <x:c r="P20" s="52" t="n">
        <x:f>O20*(1+O47/100)+O71</x:f>
        <x:v>297121.9825272835</x:v>
      </x:c>
      <x:c r="Q20" s="52" t="n">
        <x:f>P20*(1+P47/100)+P71</x:f>
        <x:v>319201.83640497446</x:v>
      </x:c>
      <x:c r="R20" s="52" t="n">
        <x:f>Q20*(1+Q47/100)+Q71</x:f>
        <x:v>327074.6529326192</x:v>
      </x:c>
      <x:c r="S20" s="52" t="n">
        <x:f>R20*(1+R47/100)+R71</x:f>
        <x:v>335018.32480901276</x:v>
      </x:c>
      <x:c r="T20" s="52" t="n">
        <x:f>S20*(1+S47/100)+S71</x:f>
        <x:v>348703.5263819119</x:v>
      </x:c>
      <x:c r="U20" s="52" t="n">
        <x:f>T20*(1+T47/100)+T71</x:f>
        <x:v>361144.45106658526</x:v>
      </x:c>
      <x:c r="V20" s="52" t="n">
        <x:f>U20*(1+U47/100)+U71</x:f>
        <x:v>384394.7511261845</x:v>
      </x:c>
      <x:c r="W20" s="52" t="n">
        <x:f>V20*(1+V47/100)+V71</x:f>
        <x:v>403623.09338857245</x:v>
      </x:c>
      <x:c r="X20" s="52" t="n">
        <x:f>W20*(1+W47/100)+W71</x:f>
        <x:v>415641.2088555153</x:v>
      </x:c>
      <x:c r="Y20" s="52" t="n">
        <x:f>X20*(1+X47/100)+X71</x:f>
        <x:v>439381.9797352149</x:v>
      </x:c>
      <x:c r="Z20" s="52" t="n">
        <x:f>Y20*(1+Y47/100)+Y71</x:f>
        <x:v>456578.88963389094</x:v>
      </x:c>
      <x:c r="AB20" t="n">
        <x:v>4</x:v>
      </x:c>
      <x:c r="AC20" s="52" t="n">
        <x:f>F36</x:f>
        <x:v>150847.27286438993</x:v>
      </x:c>
    </x:row>
    <x:row r="21">
      <x:c r="A21" t="n">
        <x:v>6</x:v>
      </x:c>
      <x:c r="B21" s="52" t="n">
        <x:v>100000</x:v>
      </x:c>
      <x:c r="C21" s="52" t="n">
        <x:f>B21*(1+B48/100)+B72</x:f>
        <x:v>120899.99999999999</x:v>
      </x:c>
      <x:c r="D21" s="52" t="n">
        <x:f>C21*(1+C48/100)+C72</x:f>
        <x:v>126746.29999999997</x:v>
      </x:c>
      <x:c r="E21" s="52" t="n">
        <x:f>D21*(1+D48/100)+D72</x:f>
        <x:v>138140.50929999998</x:v>
      </x:c>
      <x:c r="F21" s="52" t="n">
        <x:f>E21*(1+E48/100)+E72</x:f>
        <x:v>144107.49286509995</x:v>
      </x:c>
      <x:c r="G21" s="52" t="n">
        <x:f>F21*(1+F48/100)+F72</x:f>
        <x:v>149828.03032942544</x:v>
      </x:c>
      <x:c r="H21" s="52" t="n">
        <x:f>G21*(1+G48/100)+G72</x:f>
        <x:v>166476.13866304912</x:v>
      </x:c>
      <x:c r="I21" s="52" t="n">
        <x:f>H21*(1+H48/100)+H72</x:f>
        <x:v>173307.37618834263</x:v>
      </x:c>
      <x:c r="J21" s="52" t="n">
        <x:f>I21*(1+I48/100)+I72</x:f>
        <x:v>184867.1425740377</x:v>
      </x:c>
      <x:c r="K21" s="52" t="n">
        <x:f>J21*(1+J48/100)+J72</x:f>
        <x:v>201530.94685720402</x:v>
      </x:c>
      <x:c r="L21" s="52" t="n">
        <x:f>K21*(1+K48/100)+K72</x:f>
        <x:v>207941.66348520442</x:v>
      </x:c>
      <x:c r="M21" s="52" t="n">
        <x:f>L21*(1+L48/100)+L72</x:f>
        <x:v>219813.13845657124</x:v>
      </x:c>
      <x:c r="N21" s="52" t="n">
        <x:f>M21*(1+M48/100)+M72</x:f>
        <x:v>235912.20414885407</x:v>
      </x:c>
      <x:c r="O21" s="52" t="n">
        <x:f>N21*(1+N48/100)+N72</x:f>
        <x:v>257091.7651695983</x:v>
      </x:c>
      <x:c r="P21" s="52" t="n">
        <x:f>O21*(1+O48/100)+O72</x:f>
        <x:v>269919.7745864639</x:v>
      </x:c>
      <x:c r="Q21" s="52" t="n">
        <x:f>P21*(1+P48/100)+P72</x:f>
        <x:v>292349.052557742</x:v>
      </x:c>
      <x:c r="R21" s="52" t="n">
        <x:f>Q21*(1+Q48/100)+Q72</x:f>
        <x:v>309395.49592564616</x:v>
      </x:c>
      <x:c r="S21" s="52" t="n">
        <x:f>R21*(1+R48/100)+R72</x:f>
        <x:v>325942.47340527433</x:v>
      </x:c>
      <x:c r="T21" s="52" t="n">
        <x:f>S21*(1+S48/100)+S72</x:f>
        <x:v>339527.84061273234</x:v>
      </x:c>
      <x:c r="U21" s="52" t="n">
        <x:f>T21*(1+T48/100)+T72</x:f>
        <x:v>356225.47981579596</x:v>
      </x:c>
      <x:c r="V21" s="52" t="n">
        <x:f>U21*(1+U48/100)+U72</x:f>
        <x:v>373719.05817450647</x:v>
      </x:c>
      <x:c r="W21" s="52" t="n">
        <x:f>V21*(1+V48/100)+V72</x:f>
        <x:v>385587.653465379</x:v>
      </x:c>
      <x:c r="X21" s="52" t="n">
        <x:f>W21*(1+W48/100)+W72</x:f>
        <x:v>407515.5917327058</x:v>
      </x:c>
      <x:c r="Y21" s="52" t="n">
        <x:f>X21*(1+X48/100)+X72</x:f>
        <x:v>430368.2008748347</x:v>
      </x:c>
      <x:c r="Z21" s="52" t="n">
        <x:f>Y21*(1+Y48/100)+Y72</x:f>
        <x:v>445102.25108445785</x:v>
      </x:c>
      <x:c r="AB21" t="n">
        <x:v>5</x:v>
      </x:c>
      <x:c r="AC21" s="52" t="n">
        <x:f>G36</x:f>
        <x:v>164027.57552801326</x:v>
      </x:c>
    </x:row>
    <x:row r="22">
      <x:c r="A22" t="n">
        <x:v>7</x:v>
      </x:c>
      <x:c r="B22" s="52" t="n">
        <x:v>100000</x:v>
      </x:c>
      <x:c r="C22" s="52" t="n">
        <x:f>B22*(1+B49/100)+B73</x:f>
        <x:v>115699.99999999999</x:v>
      </x:c>
      <x:c r="D22" s="52" t="n">
        <x:f>C22*(1+C49/100)+C73</x:f>
        <x:v>126741.29999999997</x:v>
      </x:c>
      <x:c r="E22" s="52" t="n">
        <x:f>D22*(1+D49/100)+D73</x:f>
        <x:v>142881.97169999997</x:v>
      </x:c>
      <x:c r="F22" s="52" t="n">
        <x:f>E22*(1+E49/100)+E73</x:f>
        <x:v>159167.90944529994</x:v>
      </x:c>
      <x:c r="G22" s="52" t="n">
        <x:f>F22*(1+F49/100)+F73</x:f>
        <x:v>165600.42063030764</x:v>
      </x:c>
      <x:c r="H22" s="52" t="n">
        <x:f>G22*(1+G49/100)+G73</x:f>
        <x:v>172090.82441598037</x:v>
      </x:c>
      <x:c r="I22" s="52" t="n">
        <x:f>H22*(1+H49/100)+H73</x:f>
        <x:v>183639.64183572418</x:v>
      </x:c>
      <x:c r="J22" s="52" t="n">
        <x:f>I22*(1+I49/100)+I73</x:f>
        <x:v>205292.39861224568</x:v>
      </x:c>
      <x:c r="K22" s="52" t="n">
        <x:f>J22*(1+J49/100)+J73</x:f>
        <x:v>217140.03019975589</x:v>
      </x:c>
      <x:c r="L22" s="52" t="n">
        <x:f>K22*(1+K49/100)+K73</x:f>
        <x:v>239094.29047155366</x:v>
      </x:c>
      <x:c r="M22" s="52" t="n">
        <x:f>L22*(1+L49/100)+L73</x:f>
        <x:v>251246.13908579762</x:v>
      </x:c>
      <x:c r="N22" s="52" t="n">
        <x:f>M22*(1+M49/100)+M73</x:f>
        <x:v>262502.3697812266</x:v>
      </x:c>
      <x:c r="O22" s="52" t="n">
        <x:f>N22*(1+N49/100)+N73</x:f>
        <x:v>284864.89110925765</x:v>
      </x:c>
      <x:c r="P22" s="52" t="n">
        <x:f>O22*(1+O49/100)+O73</x:f>
        <x:v>297428.67512924096</x:v>
      </x:c>
      <x:c r="Q22" s="52" t="n">
        <x:f>P22*(1+P49/100)+P73</x:f>
        <x:v>309510.6758551456</x:v>
      </x:c>
      <x:c r="R22" s="52" t="n">
        <x:f>Q22*(1+Q49/100)+Q73</x:f>
        <x:v>317915.2932895522</x:v>
      </x:c>
      <x:c r="S22" s="52" t="n">
        <x:f>R22*(1+R49/100)+R73</x:f>
        <x:v>325140.70034257905</x:v>
      </x:c>
      <x:c r="T22" s="52" t="n">
        <x:f>S22*(1+S49/100)+S73</x:f>
        <x:v>332416.68524497707</x:v>
      </x:c>
      <x:c r="U22" s="52" t="n">
        <x:f>T22*(1+T49/100)+T73</x:f>
        <x:v>346073.2687826718</x:v>
      </x:c>
      <x:c r="V22" s="52" t="n">
        <x:f>U22*(1+U49/100)+U73</x:f>
        <x:v>363495.7816641504</x:v>
      </x:c>
      <x:c r="W22" s="52" t="n">
        <x:f>V22*(1+V49/100)+V73</x:f>
        <x:v>376040.25213579944</x:v>
      </x:c>
      <x:c r="X22" s="52" t="n">
        <x:f>W22*(1+W49/100)+W73</x:f>
        <x:v>383672.53390075</x:v>
      </x:c>
      <x:c r="Y22" s="52" t="n">
        <x:f>X22*(1+X49/100)+X73</x:f>
        <x:v>397892.9317736582</x:v>
      </x:c>
      <x:c r="Z22" s="52" t="n">
        <x:f>Y22*(1+Y49/100)+Y73</x:f>
        <x:v>410678.18229607376</x:v>
      </x:c>
      <x:c r="AB22" t="n">
        <x:v>6</x:v>
      </x:c>
      <x:c r="AC22" s="52" t="n">
        <x:f>H36</x:f>
        <x:v>175958.7929350994</x:v>
      </x:c>
    </x:row>
    <x:row r="23">
      <x:c r="A23" t="n">
        <x:v>8</x:v>
      </x:c>
      <x:c r="B23" s="52" t="n">
        <x:v>100000</x:v>
      </x:c>
      <x:c r="C23" s="52" t="n">
        <x:f>B23*(1+B50/100)+B74</x:f>
        <x:v>120899.99999999999</x:v>
      </x:c>
      <x:c r="D23" s="52" t="n">
        <x:f>C23*(1+C50/100)+C74</x:f>
        <x:v>131988.09999999998</x:v>
      </x:c>
      <x:c r="E23" s="52" t="n">
        <x:f>D23*(1+D50/100)+D74</x:f>
        <x:v>138175.99289999995</x:v>
      </x:c>
      <x:c r="F23" s="52" t="n">
        <x:f>E23*(1+E50/100)+E74</x:f>
        <x:v>149695.92882189993</x:v>
      </x:c>
      <x:c r="G23" s="52" t="n">
        <x:f>F23*(1+F50/100)+F74</x:f>
        <x:v>171342.5840389408</x:v>
      </x:c>
      <x:c r="H23" s="52" t="n">
        <x:f>G23*(1+G50/100)+G74</x:f>
        <x:v>187541.98212721338</x:v>
      </x:c>
      <x:c r="I23" s="52" t="n">
        <x:f>H23*(1+H50/100)+H74</x:f>
        <x:v>204604.9439306127</x:v>
      </x:c>
      <x:c r="J23" s="52" t="n">
        <x:f>I23*(1+I50/100)+I74</x:f>
        <x:v>226446.3884259882</x:v>
      </x:c>
      <x:c r="K23" s="52" t="n">
        <x:f>J23*(1+J50/100)+J74</x:f>
        <x:v>242578.6203681181</x:v>
      </x:c>
      <x:c r="L23" s="52" t="n">
        <x:f>K23*(1+K50/100)+K74</x:f>
        <x:v>264276.6707106949</x:v>
      </x:c>
      <x:c r="M23" s="52" t="n">
        <x:f>L23*(1+L50/100)+L74</x:f>
        <x:v>271655.16074709117</x:v>
      </x:c>
      <x:c r="N23" s="52" t="n">
        <x:f>M23*(1+M50/100)+M74</x:f>
        <x:v>288013.4365508266</x:v>
      </x:c>
      <x:c r="O23" s="52" t="n">
        <x:f>N23*(1+N50/100)+N74</x:f>
        <x:v>310605.557479784</x:v>
      </x:c>
      <x:c r="P23" s="52" t="n">
        <x:f>O23*(1+O50/100)+O74</x:f>
        <x:v>332779.79638214246</x:v>
      </x:c>
      <x:c r="Q23" s="52" t="n">
        <x:f>P23*(1+P50/100)+P74</x:f>
        <x:v>345774.81454958173</x:v>
      </x:c>
      <x:c r="R23" s="52" t="n">
        <x:f>Q23*(1+Q50/100)+Q74</x:f>
        <x:v>362503.6886223296</x:v>
      </x:c>
      <x:c r="S23" s="52" t="n">
        <x:f>R23*(1+R50/100)+R74</x:f>
        <x:v>371491.2291971752</x:v>
      </x:c>
      <x:c r="T23" s="52" t="n">
        <x:f>S23*(1+S50/100)+S74</x:f>
        <x:v>389091.66780155536</x:v>
      </x:c>
      <x:c r="U23" s="52" t="n">
        <x:f>T23*(1+T50/100)+T74</x:f>
        <x:v>401037.1261405631</x:v>
      </x:c>
      <x:c r="V23" s="52" t="n">
        <x:f>U23*(1+U50/100)+U74</x:f>
        <x:v>413844.38602354703</x:v>
      </x:c>
      <x:c r="W23" s="52" t="n">
        <x:f>V23*(1+V50/100)+V74</x:f>
        <x:v>431741.29672571184</x:v>
      </x:c>
      <x:c r="X23" s="52" t="n">
        <x:f>W23*(1+W50/100)+W74</x:f>
        <x:v>445626.96839624323</x:v>
      </x:c>
      <x:c r="Y23" s="52" t="n">
        <x:f>X23*(1+X50/100)+X74</x:f>
        <x:v>454637.6111118094</x:v>
      </x:c>
      <x:c r="Z23" s="52" t="n">
        <x:f>Y23*(1+Y50/100)+Y74</x:f>
        <x:v>466910.7991673684</x:v>
      </x:c>
      <x:c r="AB23" t="n">
        <x:v>7</x:v>
      </x:c>
      <x:c r="AC23" s="52" t="n">
        <x:f>I36</x:f>
        <x:v>187559.6242728662</x:v>
      </x:c>
    </x:row>
    <x:row r="24">
      <x:c r="A24" t="n">
        <x:v>9</x:v>
      </x:c>
      <x:c r="B24" s="52" t="n">
        <x:v>100000</x:v>
      </x:c>
      <x:c r="C24" s="52" t="n">
        <x:f>B24*(1+B51/100)+B75</x:f>
        <x:v>116099.99999999999</x:v>
      </x:c>
      <x:c r="D24" s="52" t="n">
        <x:f>C24*(1+C51/100)+C75</x:f>
        <x:v>131912.69999999995</x:v>
      </x:c>
      <x:c r="E24" s="52" t="n">
        <x:f>D24*(1+D51/100)+D75</x:f>
        <x:v>147572.26349999994</x:v>
      </x:c>
      <x:c r="F24" s="52" t="n">
        <x:f>E24*(1+E51/100)+E75</x:f>
        <x:v>153900.4138714999</x:v>
      </x:c>
      <x:c r="G24" s="52" t="n">
        <x:f>F24*(1+F51/100)+F75</x:f>
        <x:v>170285.5175963434</x:v>
      </x:c>
      <x:c r="H24" s="52" t="n">
        <x:f>G24*(1+G51/100)+G75</x:f>
        <x:v>186818.08725471047</x:v>
      </x:c>
      <x:c r="I24" s="52" t="n">
        <x:f>H24*(1+H51/100)+H75</x:f>
        <x:v>193125.81386549343</x:v>
      </x:c>
      <x:c r="J24" s="52" t="n">
        <x:f>I24*(1+I51/100)+I75</x:f>
        <x:v>204477.69456255186</x:v>
      </x:c>
      <x:c r="K24" s="52" t="n">
        <x:f>J24*(1+J51/100)+J75</x:f>
        <x:v>216317.9938136148</x:v>
      </x:c>
      <x:c r="L24" s="52" t="n">
        <x:f>K24*(1+K51/100)+K75</x:f>
        <x:v>227399.58378268284</x:v>
      </x:c>
      <x:c r="M24" s="52" t="n">
        <x:f>L24*(1+L51/100)+L75</x:f>
        <x:v>233991.3808691616</x:v>
      </x:c>
      <x:c r="N24" s="52" t="n">
        <x:f>M24*(1+M51/100)+M75</x:f>
        <x:v>241565.28605872235</x:v>
      </x:c>
      <x:c r="O24" s="52" t="n">
        <x:f>N24*(1+N51/100)+N75</x:f>
        <x:v>248739.37363325083</x:v>
      </x:c>
      <x:c r="P24" s="52" t="n">
        <x:f>O24*(1+O51/100)+O75</x:f>
        <x:v>255480.54924868356</x:v>
      </x:c>
      <x:c r="Q24" s="52" t="n">
        <x:f>P24*(1+P51/100)+P75</x:f>
        <x:v>267268.9130934243</x:v>
      </x:c>
      <x:c r="R24" s="52" t="n">
        <x:f>Q24*(1+Q51/100)+Q75</x:f>
        <x:v>284674.3333112651</x:v>
      </x:c>
      <x:c r="S24" s="52" t="n">
        <x:f>R24*(1+R51/100)+R75</x:f>
        <x:v>296667.0536444439</x:v>
      </x:c>
      <x:c r="T24" s="52" t="n">
        <x:f>S24*(1+S51/100)+S75</x:f>
        <x:v>308150.3889126661</x:v>
      </x:c>
      <x:c r="U24" s="52" t="n">
        <x:f>T24*(1+T51/100)+T75</x:f>
        <x:v>324691.1408572294</x:v>
      </x:c>
      <x:c r="V24" s="52" t="n">
        <x:f>U24*(1+U51/100)+U75</x:f>
        <x:v>337613.36112494447</x:v>
      </x:c>
      <x:c r="W24" s="52" t="n">
        <x:f>V24*(1+V51/100)+V75</x:f>
        <x:v>345651.8813750689</x:v>
      </x:c>
      <x:c r="X24" s="52" t="n">
        <x:f>W24*(1+W51/100)+W75</x:f>
        <x:v>352380.1407819442</x:v>
      </x:c>
      <x:c r="Y24" s="52" t="n">
        <x:f>X24*(1+X51/100)+X75</x:f>
        <x:v>359142.0414858539</x:v>
      </x:c>
      <x:c r="Z24" s="52" t="n">
        <x:f>Y24*(1+Y51/100)+Y75</x:f>
        <x:v>372374.3198592265</x:v>
      </x:c>
      <x:c r="AB24" t="n">
        <x:v>8</x:v>
      </x:c>
      <x:c r="AC24" s="52" t="n">
        <x:f>J36</x:f>
        <x:v>202102.8240717139</x:v>
      </x:c>
    </x:row>
    <x:row r="25">
      <x:c r="A25" t="n">
        <x:v>10</x:v>
      </x:c>
      <x:c r="B25" s="52" t="n">
        <x:v>100000</x:v>
      </x:c>
      <x:c r="C25" s="52" t="n">
        <x:f>B25*(1+B52/100)+B76</x:f>
        <x:v>110899.99999999999</x:v>
      </x:c>
      <x:c r="D25" s="52" t="n">
        <x:f>C25*(1+C52/100)+C76</x:f>
        <x:v>121898.09999999998</x:v>
      </x:c>
      <x:c r="E25" s="52" t="n">
        <x:f>D25*(1+D52/100)+D76</x:f>
        <x:v>132507.59049999996</x:v>
      </x:c>
      <x:c r="F25" s="52" t="n">
        <x:f>E25*(1+E52/100)+E76</x:f>
        <x:v>153700.15881449994</x:v>
      </x:c>
      <x:c r="G25" s="52" t="n">
        <x:f>F25*(1+F52/100)+F76</x:f>
        <x:v>165390.8605614594</x:v>
      </x:c>
      <x:c r="H25" s="52" t="n">
        <x:f>G25*(1+G52/100)+G76</x:f>
        <x:v>176879.37830651252</x:v>
      </x:c>
      <x:c r="I25" s="52" t="n">
        <x:f>H25*(1+H52/100)+H76</x:f>
        <x:v>187763.77519804507</x:v>
      </x:c>
      <x:c r="J25" s="52" t="n">
        <x:f>I25*(1+I52/100)+I76</x:f>
        <x:v>204453.64917482744</x:v>
      </x:c>
      <x:c r="K25" s="52" t="n">
        <x:f>J25*(1+J52/100)+J76</x:f>
        <x:v>220884.82471905122</x:v>
      </x:c>
      <x:c r="L25" s="52" t="n">
        <x:f>K25*(1+K52/100)+K76</x:f>
        <x:v>236989.24884264646</x:v>
      </x:c>
      <x:c r="M25" s="52" t="n">
        <x:f>L25*(1+L52/100)+L76</x:f>
        <x:v>243648.17358454494</x:v>
      </x:c>
      <x:c r="N25" s="52" t="n">
        <x:f>M25*(1+M52/100)+M76</x:f>
        <x:v>256328.3034939749</x:v>
      </x:c>
      <x:c r="O25" s="52" t="n">
        <x:f>N25*(1+N52/100)+N76</x:f>
        <x:v>273122.6016184327</x:v>
      </x:c>
      <x:c r="P25" s="52" t="n">
        <x:f>O25*(1+O52/100)+O76</x:f>
        <x:v>286126.9502362354</x:v>
      </x:c>
      <x:c r="Q25" s="52" t="n">
        <x:f>P25*(1+P52/100)+P76</x:f>
        <x:v>308702.0927883615</x:v>
      </x:c>
      <x:c r="R25" s="52" t="n">
        <x:f>Q25*(1+Q52/100)+Q76</x:f>
        <x:v>321480.4116234567</x:v>
      </x:c>
      <x:c r="S25" s="52" t="n">
        <x:f>R25*(1+R52/100)+R76</x:f>
        <x:v>333087.81368157396</x:v>
      </x:c>
      <x:c r="T25" s="52" t="n">
        <x:f>S25*(1+S52/100)+S76</x:f>
        <x:v>346085.60400470806</x:v>
      </x:c>
      <x:c r="U25" s="52" t="n">
        <x:f>T25*(1+T52/100)+T76</x:f>
        <x:v>357816.03202473157</x:v>
      </x:c>
      <x:c r="V25" s="52" t="n">
        <x:f>U25*(1+U52/100)+U76</x:f>
        <x:v>375320.74424890464</x:v>
      </x:c>
      <x:c r="W25" s="52" t="n">
        <x:f>V25*(1+V52/100)+V76</x:f>
        <x:v>382947.9894586469</x:v>
      </x:c>
      <x:c r="X25" s="52" t="n">
        <x:f>W25*(1+W52/100)+W76</x:f>
        <x:v>395628.6253848574</x:v>
      </x:c>
      <x:c r="Y25" s="52" t="n">
        <x:f>X25*(1+X52/100)+X76</x:f>
        <x:v>414189.2830133211</x:v>
      </x:c>
      <x:c r="Z25" s="52" t="n">
        <x:f>Y25*(1+Y52/100)+Y76</x:f>
        <x:v>436260.22942838765</x:v>
      </x:c>
      <x:c r="AB25" t="n">
        <x:v>9</x:v>
      </x:c>
      <x:c r="AC25" s="52" t="n">
        <x:f>K36</x:f>
        <x:v>215017.85077610062</x:v>
      </x:c>
    </x:row>
    <x:row r="26">
      <x:c r="A26" t="n">
        <x:v>11</x:v>
      </x:c>
      <x:c r="B26" s="52" t="n">
        <x:v>100000</x:v>
      </x:c>
      <x:c r="C26" s="52" t="n">
        <x:f>B26*(1+B53/100)+B77</x:f>
        <x:v>115699.99999999999</x:v>
      </x:c>
      <x:c r="D26" s="52" t="n">
        <x:f>C26*(1+C53/100)+C77</x:f>
        <x:v>136972.69999999995</x:v>
      </x:c>
      <x:c r="E26" s="52" t="n">
        <x:f>D26*(1+D53/100)+D77</x:f>
        <x:v>157657.56349999993</x:v>
      </x:c>
      <x:c r="F26" s="52" t="n">
        <x:f>E26*(1+E53/100)+E77</x:f>
        <x:v>168761.16644449992</x:v>
      </x:c>
      <x:c r="G26" s="52" t="n">
        <x:f>F26*(1+F53/100)+F77</x:f>
        <x:v>189942.4946096114</x:v>
      </x:c>
      <x:c r="H26" s="52" t="n">
        <x:f>G26*(1+G53/100)+G77</x:f>
        <x:v>211272.09207187867</x:v>
      </x:c>
      <x:c r="I26" s="52" t="n">
        <x:f>H26*(1+H53/100)+H77</x:f>
        <x:v>223173.54090052555</x:v>
      </x:c>
      <x:c r="J26" s="52" t="n">
        <x:f>I26*(1+I53/100)+I77</x:f>
        <x:v>239735.75568682922</x:v>
      </x:c>
      <x:c r="K26" s="52" t="n">
        <x:f>J26*(1+J53/100)+J77</x:f>
        <x:v>251413.905976637</x:v>
      </x:c>
      <x:c r="L26" s="52" t="n">
        <x:f>K26*(1+K53/100)+K77</x:f>
        <x:v>268676.6311304267</x:v>
      </x:c>
      <x:c r="M26" s="52" t="n">
        <x:f>L26*(1+L53/100)+L77</x:f>
        <x:v>275557.36754833965</x:v>
      </x:c>
      <x:c r="N26" s="52" t="n">
        <x:f>M26*(1+M53/100)+M77</x:f>
        <x:v>293588.49859137135</x:v>
      </x:c>
      <x:c r="O26" s="52" t="n">
        <x:f>N26*(1+N53/100)+N77</x:f>
        <x:v>306817.9720758764</x:v>
      </x:c>
      <x:c r="P26" s="52" t="n">
        <x:f>O26*(1+O53/100)+O77</x:f>
        <x:v>318352.0619362557</x:v>
      </x:c>
      <x:c r="Q26" s="52" t="n">
        <x:f>P26*(1+P53/100)+P77</x:f>
        <x:v>325580.52636980946</x:v>
      </x:c>
      <x:c r="R26" s="52" t="n">
        <x:f>Q26*(1+Q53/100)+Q77</x:f>
        <x:v>342859.5900543981</x:v>
      </x:c>
      <x:c r="S26" s="52" t="n">
        <x:f>R26*(1+R53/100)+R77</x:f>
        <x:v>354573.8880046701</x:v>
      </x:c>
      <x:c r="T26" s="52" t="n">
        <x:f>S26*(1+S53/100)+S77</x:f>
        <x:v>372055.90522070276</x:v>
      </x:c>
      <x:c r="U26" s="52" t="n">
        <x:f>T26*(1+T53/100)+T77</x:f>
        <x:v>385404.40836768906</x:v>
      </x:c>
      <x:c r="V26" s="52" t="n">
        <x:f>U26*(1+U53/100)+U77</x:f>
        <x:v>393102.23922626284</x:v>
      </x:c>
      <x:c r="W26" s="52" t="n">
        <x:f>V26*(1+V53/100)+V77</x:f>
        <x:v>405853.95490084664</x:v>
      </x:c>
      <x:c r="X26" s="52" t="n">
        <x:f>W26*(1+W53/100)+W77</x:f>
        <x:v>428694.9325851525</x:v>
      </x:c>
      <x:c r="Y26" s="52" t="n">
        <x:f>X26*(1+X53/100)+X77</x:f>
        <x:v>438410.57684358914</x:v>
      </x:c>
      <x:c r="Z26" s="52" t="n">
        <x:f>Y26*(1+Y53/100)+Y77</x:f>
        <x:v>458233.09318886854</x:v>
      </x:c>
      <x:c r="AB26" t="n">
        <x:v>10</x:v>
      </x:c>
      <x:c r="AC26" s="52" t="n">
        <x:f>L36</x:f>
        <x:v>229824.10372242954</x:v>
      </x:c>
    </x:row>
    <x:row r="27">
      <x:c r="A27" t="n">
        <x:v>12</x:v>
      </x:c>
      <x:c r="B27" s="52" t="n">
        <x:v>100000</x:v>
      </x:c>
      <x:c r="C27" s="52" t="n">
        <x:f>B27*(1+B54/100)+B78</x:f>
        <x:v>105499.99999999999</x:v>
      </x:c>
      <x:c r="D27" s="52" t="n">
        <x:f>C27*(1+C54/100)+C78</x:f>
        <x:v>121449.49999999997</x:v>
      </x:c>
      <x:c r="E27" s="52" t="n">
        <x:f>D27*(1+D54/100)+D78</x:f>
        <x:v>127299.64649999996</x:v>
      </x:c>
      <x:c r="F27" s="52" t="n">
        <x:f>E27*(1+E54/100)+E78</x:f>
        <x:v>138445.34331849994</x:v>
      </x:c>
      <x:c r="G27" s="52" t="n">
        <x:f>F27*(1+F54/100)+F78</x:f>
        <x:v>149691.35140836643</x:v>
      </x:c>
      <x:c r="H27" s="52" t="n">
        <x:f>G27*(1+G54/100)+G78</x:f>
        <x:v>156337.95627385844</x:v>
      </x:c>
      <x:c r="I27" s="52" t="n">
        <x:f>H27*(1+H54/100)+H78</x:f>
        <x:v>167119.6460552277</x:v>
      </x:c>
      <x:c r="J27" s="52" t="n">
        <x:f>I27*(1+I54/100)+I78</x:f>
        <x:v>178289.48357761427</x:v>
      </x:c>
      <x:c r="K27" s="52" t="n">
        <x:f>J27*(1+J54/100)+J78</x:f>
        <x:v>190250.66789696802</x:v>
      </x:c>
      <x:c r="L27" s="52" t="n">
        <x:f>K27*(1+K54/100)+K78</x:f>
        <x:v>211201.92123645285</x:v>
      </x:c>
      <x:c r="M27" s="52" t="n">
        <x:f>L27*(1+L54/100)+L78</x:f>
        <x:v>222257.9308426351</x:v>
      </x:c>
      <x:c r="N27" s="52" t="n">
        <x:f>M27*(1+M54/100)+M78</x:f>
        <x:v>244258.2522202188</x:v>
      </x:c>
      <x:c r="O27" s="52" t="n">
        <x:f>N27*(1+N54/100)+N78</x:f>
        <x:v>256456.57649020074</x:v>
      </x:c>
      <x:c r="P27" s="52" t="n">
        <x:f>O27*(1+O54/100)+O78</x:f>
        <x:v>263764.68567861256</x:v>
      </x:c>
      <x:c r="Q27" s="52" t="n">
        <x:f>P27*(1+P54/100)+P78</x:f>
        <x:v>271138.5678497201</x:v>
      </x:c>
      <x:c r="R27" s="52" t="n">
        <x:f>Q27*(1+Q54/100)+Q78</x:f>
        <x:v>283578.8149603675</x:v>
      </x:c>
      <x:c r="S27" s="52" t="n">
        <x:f>R27*(1+R54/100)+R78</x:f>
        <x:v>294996.70903516933</x:v>
      </x:c>
      <x:c r="T27" s="52" t="n">
        <x:f>S27*(1+S54/100)+S78</x:f>
        <x:v>317651.67941648583</x:v>
      </x:c>
      <x:c r="U27" s="52" t="n">
        <x:f>T27*(1+T54/100)+T78</x:f>
        <x:v>335510.5445312342</x:v>
      </x:c>
      <x:c r="V27" s="52" t="n">
        <x:f>U27*(1+U54/100)+U78</x:f>
        <x:v>349201.16052107775</x:v>
      </x:c>
      <x:c r="W27" s="52" t="n">
        <x:f>V27*(1+V54/100)+V78</x:f>
        <x:v>361645.56864472525</x:v>
      </x:c>
      <x:c r="X27" s="52" t="n">
        <x:f>W27*(1+W54/100)+W78</x:f>
        <x:v>373453.79648794886</x:v>
      </x:c>
      <x:c r="Y27" s="52" t="n">
        <x:f>X27*(1+X54/100)+X78</x:f>
        <x:v>391814.88065634033</x:v>
      </x:c>
      <x:c r="Z27" s="52" t="n">
        <x:f>Y27*(1+Y54/100)+Y78</x:f>
        <x:v>399557.5848209347</x:v>
      </x:c>
      <x:c r="AB27" t="n">
        <x:v>11</x:v>
      </x:c>
      <x:c r="AC27" s="52" t="n">
        <x:f>M36</x:f>
        <x:v>241875.857786418</x:v>
      </x:c>
    </x:row>
    <x:row r="28">
      <x:c r="A28" t="n">
        <x:v>13</x:v>
      </x:c>
      <x:c r="B28" s="52" t="n">
        <x:v>100000</x:v>
      </x:c>
      <x:c r="C28" s="52" t="n">
        <x:f>B28*(1+B55/100)+B79</x:f>
        <x:v>105499.99999999999</x:v>
      </x:c>
      <x:c r="D28" s="52" t="n">
        <x:f>C28*(1+C55/100)+C79</x:f>
        <x:v>116660.49999999997</x:v>
      </x:c>
      <x:c r="E28" s="52" t="n">
        <x:f>D28*(1+D55/100)+D79</x:f>
        <x:v>122710.44449999995</x:v>
      </x:c>
      <x:c r="F28" s="52" t="n">
        <x:f>E28*(1+E55/100)+E79</x:f>
        <x:v>138569.41761149996</x:v>
      </x:c>
      <x:c r="G28" s="52" t="n">
        <x:f>F28*(1+F55/100)+F79</x:f>
        <x:v>144262.26469955745</x:v>
      </x:c>
      <x:c r="H28" s="52" t="n">
        <x:f>G28*(1+G55/100)+G79</x:f>
        <x:v>149983.5760230552</x:v>
      </x:c>
      <x:c r="I28" s="52" t="n">
        <x:f>H28*(1+H55/100)+H79</x:f>
        <x:v>171333.42820726268</x:v>
      </x:c>
      <x:c r="J28" s="52" t="n">
        <x:f>I28*(1+I55/100)+I79</x:f>
        <x:v>192532.7622047135</x:v>
      </x:c>
      <x:c r="K28" s="52" t="n">
        <x:f>J28*(1+J55/100)+J79</x:f>
        <x:v>203495.42601573706</x:v>
      </x:c>
      <x:c r="L28" s="52" t="n">
        <x:f>K28*(1+K55/100)+K79</x:f>
        <x:v>214919.8939978472</x:v>
      </x:c>
      <x:c r="M28" s="52" t="n">
        <x:f>L28*(1+L55/100)+L79</x:f>
        <x:v>230994.4934678364</x:v>
      </x:c>
      <x:c r="N28" s="52" t="n">
        <x:f>M28*(1+M55/100)+M79</x:f>
        <x:v>237149.46593517557</x:v>
      </x:c>
      <x:c r="O28" s="52" t="n">
        <x:f>N28*(1+N55/100)+N79</x:f>
        <x:v>248809.51219672177</x:v>
      </x:c>
      <x:c r="P28" s="52" t="n">
        <x:f>O28*(1+O55/100)+O79</x:f>
        <x:v>256048.79780649225</x:v>
      </x:c>
      <x:c r="Q28" s="52" t="n">
        <x:f>P28*(1+P55/100)+P79</x:f>
        <x:v>267841.13939113764</x:v>
      </x:c>
      <x:c r="R28" s="52" t="n">
        <x:f>Q28*(1+Q55/100)+Q79</x:f>
        <x:v>289716.02736687555</x:v>
      </x:c>
      <x:c r="S28" s="52" t="n">
        <x:f>R28*(1+R55/100)+R79</x:f>
        <x:v>306744.03955844365</x:v>
      </x:c>
      <x:c r="T28" s="52" t="n">
        <x:f>S28*(1+S55/100)+S79</x:f>
        <x:v>328891.2478353527</x:v>
      </x:c>
      <x:c r="U28" s="52" t="n">
        <x:f>T28*(1+T55/100)+T79</x:f>
        <x:v>345535.70407452947</x:v>
      </x:c>
      <x:c r="V28" s="52" t="n">
        <x:f>U28*(1+U55/100)+U79</x:f>
        <x:v>362263.38259490207</x:v>
      </x:c>
      <x:c r="W28" s="52" t="n">
        <x:f>V28*(1+V55/100)+V79</x:f>
        <x:v>379074.69950787653</x:v>
      </x:c>
      <x:c r="X28" s="52" t="n">
        <x:f>W28*(1+W55/100)+W79</x:f>
        <x:v>396728.2224044316</x:v>
      </x:c>
      <x:c r="Y28" s="52" t="n">
        <x:f>X28*(1+X55/100)+X79</x:f>
        <x:v>410298.77640607144</x:v>
      </x:c>
      <x:c r="Z28" s="52" t="n">
        <x:f>Y28*(1+Y55/100)+Y79</x:f>
        <x:v>422350.27028810175</x:v>
      </x:c>
      <x:c r="AB28" t="n">
        <x:v>12</x:v>
      </x:c>
      <x:c r="AC28" s="52" t="n">
        <x:f>N36</x:f>
        <x:v>256209.1717391441</x:v>
      </x:c>
    </x:row>
    <x:row r="29">
      <x:c r="A29" t="n">
        <x:v>14</x:v>
      </x:c>
      <x:c r="B29" s="52" t="n">
        <x:v>100000</x:v>
      </x:c>
      <x:c r="C29" s="52" t="n">
        <x:f>B29*(1+B56/100)+B80</x:f>
        <x:v>110899.99999999999</x:v>
      </x:c>
      <x:c r="D29" s="52" t="n">
        <x:f>C29*(1+C56/100)+C80</x:f>
        <x:v>121898.09999999998</x:v>
      </x:c>
      <x:c r="E29" s="52" t="n">
        <x:f>D29*(1+D56/100)+D80</x:f>
        <x:v>132507.59049999996</x:v>
      </x:c>
      <x:c r="F29" s="52" t="n">
        <x:f>E29*(1+E56/100)+E80</x:f>
        <x:v>138170.12845249995</x:v>
      </x:c>
      <x:c r="G29" s="52" t="n">
        <x:f>F29*(1+F56/100)+F80</x:f>
        <x:v>148860.97909476244</x:v>
      </x:c>
      <x:c r="H29" s="52" t="n">
        <x:f>G29*(1+G56/100)+G80</x:f>
        <x:v>154605.28399023623</x:v>
      </x:c>
      <x:c r="I29" s="52" t="n">
        <x:f>H29*(1+H56/100)+H80</x:f>
        <x:v>165996.73154614834</x:v>
      </x:c>
      <x:c r="J29" s="52" t="n">
        <x:f>I29*(1+I56/100)+I80</x:f>
        <x:v>176826.71520387905</x:v>
      </x:c>
      <x:c r="K29" s="52" t="n">
        <x:f>J29*(1+J56/100)+J80</x:f>
        <x:v>183771.8090711217</x:v>
      </x:c>
      <x:c r="L29" s="52" t="n">
        <x:f>K29*(1+K56/100)+K80</x:f>
        <x:v>205058.21173461954</x:v>
      </x:c>
      <x:c r="M29" s="52" t="n">
        <x:f>L29*(1+L56/100)+L80</x:f>
        <x:v>216903.7356402311</x:v>
      </x:c>
      <x:c r="N29" s="52" t="n">
        <x:f>M29*(1+M56/100)+M80</x:f>
        <x:v>228855.86926099317</x:v>
      </x:c>
      <x:c r="O29" s="52" t="n">
        <x:f>N29*(1+N56/100)+N80</x:f>
        <x:v>235915.5720843421</x:v>
      </x:c>
      <x:c r="P29" s="52" t="n">
        <x:f>O29*(1+O56/100)+O80</x:f>
        <x:v>253510.64337726985</x:v>
      </x:c>
      <x:c r="Q29" s="52" t="n">
        <x:f>P29*(1+P56/100)+P80</x:f>
        <x:v>271299.26045441977</x:v>
      </x:c>
      <x:c r="R29" s="52" t="n">
        <x:f>Q29*(1+Q56/100)+Q80</x:f>
        <x:v>283198.3552776007</x:v>
      </x:c>
      <x:c r="S29" s="52" t="n">
        <x:f>R29*(1+R56/100)+R80</x:f>
        <x:v>289614.34705398866</x:v>
      </x:c>
      <x:c r="T29" s="52" t="n">
        <x:f>S29*(1+S56/100)+S80</x:f>
        <x:v>306641.64748336654</x:v>
      </x:c>
      <x:c r="U29" s="52" t="n">
        <x:f>T29*(1+T56/100)+T80</x:f>
        <x:v>328788.1390157501</x:v>
      </x:c>
      <x:c r="V29" s="52" t="n">
        <x:f>U29*(1+U56/100)+U80</x:f>
        <x:v>341747.2322668918</x:v>
      </x:c>
      <x:c r="W29" s="52" t="n">
        <x:f>V29*(1+V56/100)+V80</x:f>
        <x:v>349139.46289276</x:v>
      </x:c>
      <x:c r="X29" s="52" t="n">
        <x:f>W29*(1+W56/100)+W80</x:f>
        <x:v>356583.4391330093</x:v>
      </x:c>
      <x:c r="Y29" s="52" t="n">
        <x:f>X29*(1+X56/100)+X80</x:f>
        <x:v>364792.69008520636</x:v>
      </x:c>
      <x:c r="Z29" s="52" t="n">
        <x:f>Y29*(1+Y56/100)+Y80</x:f>
        <x:v>382346.23891580274</x:v>
      </x:c>
      <x:c r="AB29" t="n">
        <x:v>13</x:v>
      </x:c>
      <x:c r="AC29" s="52" t="n">
        <x:f>O36</x:f>
        <x:v>270900.55133912445</x:v>
      </x:c>
    </x:row>
    <x:row r="30">
      <x:c r="A30" t="n">
        <x:v>15</x:v>
      </x:c>
      <x:c r="B30" s="52" t="n">
        <x:v>100000</x:v>
      </x:c>
      <x:c r="C30" s="52" t="n">
        <x:f>B30*(1+B57/100)+B81</x:f>
        <x:v>120899.99999999999</x:v>
      </x:c>
      <x:c r="D30" s="52" t="n">
        <x:f>C30*(1+C57/100)+C81</x:f>
        <x:v>141746.3</x:v>
      </x:c>
      <x:c r="E30" s="52" t="n">
        <x:f>D30*(1+D57/100)+D81</x:f>
        <x:v>158022.01669999998</x:v>
      </x:c>
      <x:c r="F30" s="52" t="n">
        <x:f>E30*(1+E57/100)+E81</x:f>
        <x:v>164444.21485029996</x:v>
      </x:c>
      <x:c r="G30" s="52" t="n">
        <x:f>F30*(1+F57/100)+F81</x:f>
        <x:v>185266.43592455145</x:v>
      </x:c>
      <x:c r="H30" s="52" t="n">
        <x:f>G30*(1+G57/100)+G81</x:f>
        <x:v>196933.8338478724</x:v>
      </x:c>
      <x:c r="I30" s="52" t="n">
        <x:f>H30*(1+H57/100)+H81</x:f>
        <x:v>207918.50301711174</x:v>
      </x:c>
      <x:c r="J30" s="52" t="n">
        <x:f>I30*(1+I57/100)+I81</x:f>
        <x:v>224789.76954426573</x:v>
      </x:c>
      <x:c r="K30" s="52" t="n">
        <x:f>J30*(1+J57/100)+J81</x:f>
        <x:v>231812.8774701641</x:v>
      </x:c>
      <x:c r="L30" s="52" t="n">
        <x:f>K30*(1+K57/100)+K81</x:f>
        <x:v>248435.56761245523</x:v>
      </x:c>
      <x:c r="M30" s="52" t="n">
        <x:f>L30*(1+L57/100)+L81</x:f>
        <x:v>270671.48772096727</x:v>
      </x:c>
      <x:c r="N30" s="52" t="n">
        <x:f>M30*(1+M57/100)+M81</x:f>
        <x:v>288648.87408589787</x:v>
      </x:c>
      <x:c r="O30" s="52" t="n">
        <x:f>N30*(1+N57/100)+N81</x:f>
        <x:v>306246.7139526709</x:v>
      </x:c>
      <x:c r="P30" s="52" t="n">
        <x:f>O30*(1+O57/100)+O81</x:f>
        <x:v>319002.9343782449</x:v>
      </x:c>
      <x:c r="Q30" s="52" t="n">
        <x:f>P30*(1+P57/100)+P81</x:f>
        <x:v>326873.9607876491</x:v>
      </x:c>
      <x:c r="R30" s="52" t="n">
        <x:f>Q30*(1+Q57/100)+Q81</x:f>
        <x:v>344162.0785131626</x:v>
      </x:c>
      <x:c r="S30" s="52" t="n">
        <x:f>R30*(1+R57/100)+R81</x:f>
        <x:v>357259.537219781</x:v>
      </x:c>
      <x:c r="T30" s="52" t="n">
        <x:f>S30*(1+S57/100)+S81</x:f>
        <x:v>381189.3921291986</x:v>
      </x:c>
      <x:c r="U30" s="52" t="n">
        <x:f>T30*(1+T57/100)+T81</x:f>
        <x:v>388095.33908984455</x:v>
      </x:c>
      <x:c r="V30" s="52" t="n">
        <x:f>U30*(1+U57/100)+U81</x:f>
        <x:v>400812.00646347343</x:v>
      </x:c>
      <x:c r="W30" s="52" t="n">
        <x:f>V30*(1+V57/100)+V81</x:f>
        <x:v>413617.69050871773</x:v>
      </x:c>
      <x:c r="X30" s="52" t="n">
        <x:f>W30*(1+W57/100)+W81</x:f>
        <x:v>430685.77896126127</x:v>
      </x:c>
      <x:c r="Y30" s="52" t="n">
        <x:f>X30*(1+X57/100)+X81</x:f>
        <x:v>448700.57941399</x:v>
      </x:c>
      <x:c r="Z30" s="52" t="n">
        <x:f>Y30*(1+Y57/100)+Y81</x:f>
        <x:v>470944.08231105993</x:v>
      </x:c>
      <x:c r="AB30" t="n">
        <x:v>14</x:v>
      </x:c>
      <x:c r="AC30" s="52" t="n">
        <x:f>P36</x:f>
        <x:v>282049.93675869115</x:v>
      </x:c>
    </x:row>
    <x:row r="31">
      <x:c r="A31" t="n">
        <x:v>16</x:v>
      </x:c>
      <x:c r="B31" s="52" t="n">
        <x:v>100000</x:v>
      </x:c>
      <x:c r="C31" s="52" t="n">
        <x:f>B31*(1+B58/100)+B82</x:f>
        <x:v>110899.99999999999</x:v>
      </x:c>
      <x:c r="D31" s="52" t="n">
        <x:f>C31*(1+C58/100)+C82</x:f>
        <x:v>121454.49999999997</x:v>
      </x:c>
      <x:c r="E31" s="52" t="n">
        <x:f>D31*(1+D58/100)+D82</x:f>
        <x:v>127304.68149999996</x:v>
      </x:c>
      <x:c r="F31" s="52" t="n">
        <x:f>E31*(1+E58/100)+E82</x:f>
        <x:v>138450.42363349994</x:v>
      </x:c>
      <x:c r="G31" s="52" t="n">
        <x:f>F31*(1+F58/100)+F82</x:f>
        <x:v>149419.57659893442</x:v>
      </x:c>
      <x:c r="H31" s="52" t="n">
        <x:f>G31*(1+G58/100)+G82</x:f>
        <x:v>160465.51363512696</x:v>
      </x:c>
      <x:c r="I31" s="52" t="n">
        <x:f>H31*(1+H58/100)+H82</x:f>
        <x:v>171909.7032578431</x:v>
      </x:c>
      <x:c r="J31" s="52" t="n">
        <x:f>I31*(1+I58/100)+I82</x:f>
        <x:v>183800.70999367934</x:v>
      </x:c>
      <x:c r="K31" s="52" t="n">
        <x:f>J31*(1+J58/100)+J82</x:f>
        <x:v>200454.91638362245</x:v>
      </x:c>
      <x:c r="L31" s="52" t="n">
        <x:f>K31*(1+K58/100)+K82</x:f>
        <x:v>216457.19096554053</x:v>
      </x:c>
      <x:c r="M31" s="52" t="n">
        <x:f>L31*(1+L58/100)+L82</x:f>
        <x:v>222539.4769203682</x:v>
      </x:c>
      <x:c r="N31" s="52" t="n">
        <x:f>M31*(1+M58/100)+M82</x:f>
        <x:v>234987.41116649224</x:v>
      </x:c>
      <x:c r="O31" s="52" t="n">
        <x:f>N31*(1+N58/100)+N82</x:f>
        <x:v>252102.29786699064</x:v>
      </x:c>
      <x:c r="P31" s="52" t="n">
        <x:f>O31*(1+O58/100)+O82</x:f>
        <x:v>269371.2185477936</x:v>
      </x:c>
      <x:c r="Q31" s="52" t="n">
        <x:f>P31*(1+P58/100)+P82</x:f>
        <x:v>286795.55951472366</x:v>
      </x:c>
      <x:c r="R31" s="52" t="n">
        <x:f>Q31*(1+Q58/100)+Q82</x:f>
        <x:v>293229.53731229727</x:v>
      </x:c>
      <x:c r="S31" s="52" t="n">
        <x:f>R31*(1+R58/100)+R82</x:f>
        <x:v>305282.1440734833</x:v>
      </x:c>
      <x:c r="T31" s="52" t="n">
        <x:f>S31*(1+S58/100)+S82</x:f>
        <x:v>328029.68337014463</x:v>
      </x:c>
      <x:c r="U31" s="52" t="n">
        <x:f>T31*(1+T58/100)+T82</x:f>
        <x:v>341638.0098872162</x:v>
      </x:c>
      <x:c r="V31" s="52" t="n">
        <x:f>U31*(1+U58/100)+U82</x:f>
        <x:v>354029.4759564267</x:v>
      </x:c>
      <x:c r="W31" s="52" t="n">
        <x:f>V31*(1+V58/100)+V82</x:f>
        <x:v>377215.7412400345</x:v>
      </x:c>
      <x:c r="X31" s="52" t="n">
        <x:f>W31*(1+W58/100)+W82</x:f>
        <x:v>384101.81994623464</x:v>
      </x:c>
      <x:c r="Y31" s="52" t="n">
        <x:f>X31*(1+X58/100)+X82</x:f>
        <x:v>403326.93996564316</x:v>
      </x:c>
      <x:c r="Z31" s="52" t="n">
        <x:f>Y31*(1+Y58/100)+Y82</x:f>
        <x:v>426150.22854540264</x:v>
      </x:c>
      <x:c r="AB31" t="n">
        <x:v>15</x:v>
      </x:c>
      <x:c r="AC31" s="52" t="n">
        <x:f>Q36</x:f>
        <x:v>295934.86052414373</x:v>
      </x:c>
    </x:row>
    <x:row r="32">
      <x:c r="A32" t="n">
        <x:v>17</x:v>
      </x:c>
      <x:c r="B32" s="52" t="n">
        <x:v>100000</x:v>
      </x:c>
      <x:c r="C32" s="52" t="n">
        <x:f>B32*(1+B59/100)+B83</x:f>
        <x:v>105899.99999999999</x:v>
      </x:c>
      <x:c r="D32" s="52" t="n">
        <x:f>C32*(1+C59/100)+C83</x:f>
        <x:v>121641.29999999997</x:v>
      </x:c>
      <x:c r="E32" s="52" t="n">
        <x:f>D32*(1+D59/100)+D83</x:f>
        <x:v>132736.07169999997</x:v>
      </x:c>
      <x:c r="F32" s="52" t="n">
        <x:f>E32*(1+E59/100)+E83</x:f>
        <x:v>153930.69634529995</x:v>
      </x:c>
      <x:c r="G32" s="52" t="n">
        <x:f>F32*(1+F59/100)+F83</x:f>
        <x:v>175008.21121971702</x:v>
      </x:c>
      <x:c r="H32" s="52" t="n">
        <x:f>G32*(1+G59/100)+G83</x:f>
        <x:v>196933.3015431339</x:v>
      </x:c>
      <x:c r="I32" s="52" t="n">
        <x:f>H32*(1+H59/100)+H83</x:f>
        <x:v>204099.56786010833</x:v>
      </x:c>
      <x:c r="J32" s="52" t="n">
        <x:f>I32*(1+I59/100)+I83</x:f>
        <x:v>221344.6631065695</x:v>
      </x:c>
      <x:c r="K32" s="52" t="n">
        <x:f>J32*(1+J59/100)+J83</x:f>
        <x:v>242894.07574831546</x:v>
      </x:c>
      <x:c r="L32" s="52" t="n">
        <x:f>K32*(1+K59/100)+K83</x:f>
        <x:v>260080.12243005028</x:v>
      </x:c>
      <x:c r="M32" s="52" t="n">
        <x:f>L32*(1+L59/100)+L83</x:f>
        <x:v>277420.8435319207</x:v>
      </x:c>
      <x:c r="N32" s="52" t="n">
        <x:f>M32*(1+M59/100)+M83</x:f>
        <x:v>284917.6311237079</x:v>
      </x:c>
      <x:c r="O32" s="52" t="n">
        <x:f>N32*(1+N59/100)+N83</x:f>
        <x:v>306912.05454157386</x:v>
      </x:c>
      <x:c r="P32" s="52" t="n">
        <x:f>O32*(1+O59/100)+O83</x:f>
        <x:v>314674.263032448</x:v>
      </x:c>
      <x:c r="Q32" s="52" t="n">
        <x:f>P32*(1+P59/100)+P83</x:f>
        <x:v>326247.63434761023</x:v>
      </x:c>
      <x:c r="R32" s="52" t="n">
        <x:f>Q32*(1+Q59/100)+Q83</x:f>
        <x:v>348531.36778804346</x:v>
      </x:c>
      <x:c r="S32" s="52" t="n">
        <x:f>R32*(1+R59/100)+R83</x:f>
        <x:v>370274.0246269836</x:v>
      </x:c>
      <x:c r="T32" s="52" t="n">
        <x:f>S32*(1+S59/100)+S83</x:f>
        <x:v>392865.9427993725</x:v>
      </x:c>
      <x:c r="U32" s="52" t="n">
        <x:f>T32*(1+T59/100)+T83</x:f>
        <x:v>404830.27251336933</x:v>
      </x:c>
      <x:c r="V32" s="52" t="n">
        <x:f>U32*(1+U59/100)+U83</x:f>
        <x:v>412664.0844209629</x:v>
      </x:c>
      <x:c r="W32" s="52" t="n">
        <x:f>V32*(1+V59/100)+V83</x:f>
        <x:v>426378.06118075154</x:v>
      </x:c>
      <x:c r="X32" s="52" t="n">
        <x:f>W32*(1+W59/100)+W83</x:f>
        <x:v>435215.46373137826</x:v>
      </x:c>
      <x:c r="Y32" s="52" t="n">
        <x:f>X32*(1+X59/100)+X83</x:f>
        <x:v>457391.5410500351</x:v>
      </x:c>
      <x:c r="Z32" s="52" t="n">
        <x:f>Y32*(1+Y59/100)+Y83</x:f>
        <x:v>471508.06491948536</x:v>
      </x:c>
      <x:c r="AB32" t="n">
        <x:v>16</x:v>
      </x:c>
      <x:c r="AC32" s="52" t="n">
        <x:f>R36</x:f>
        <x:v>309790.9827964106</x:v>
      </x:c>
    </x:row>
    <x:row r="33">
      <x:c r="A33" t="n">
        <x:v>18</x:v>
      </x:c>
      <x:c r="B33" s="52" t="n">
        <x:v>100000</x:v>
      </x:c>
      <x:c r="C33" s="52" t="n">
        <x:f>B33*(1+B60/100)+B84</x:f>
        <x:v>111099.99999999999</x:v>
      </x:c>
      <x:c r="D33" s="52" t="n">
        <x:f>C33*(1+C60/100)+C84</x:f>
        <x:v>117322.09999999998</x:v>
      </x:c>
      <x:c r="E33" s="52" t="n">
        <x:f>D33*(1+D60/100)+D84</x:f>
        <x:v>128612.64309999996</x:v>
      </x:c>
      <x:c r="F33" s="52" t="n">
        <x:f>E33*(1+E60/100)+E84</x:f>
        <x:v>150027.38217409994</x:v>
      </x:c>
      <x:c r="G33" s="52" t="n">
        <x:f>F33*(1+F60/100)+F84</x:f>
        <x:v>166377.62861366684</x:v>
      </x:c>
      <x:c r="H33" s="52" t="n">
        <x:f>G33*(1+G60/100)+G84</x:f>
        <x:v>173207.78252841716</x:v>
      </x:c>
      <x:c r="I33" s="52" t="n">
        <x:f>H33*(1+H60/100)+H84</x:f>
        <x:v>180113.06813622973</x:v>
      </x:c>
      <x:c r="J33" s="52" t="n">
        <x:f>I33*(1+I60/100)+I84</x:f>
        <x:v>191373.85961318333</x:v>
      </x:c>
      <x:c r="K33" s="52" t="n">
        <x:f>J33*(1+J60/100)+J84</x:f>
        <x:v>198478.97206892833</x:v>
      </x:c>
      <x:c r="L33" s="52" t="n">
        <x:f>K33*(1+K60/100)+K84</x:f>
        <x:v>220265.28281754866</x:v>
      </x:c>
      <x:c r="M33" s="52" t="n">
        <x:f>L33*(1+L60/100)+L84</x:f>
        <x:v>237247.6703629066</x:v>
      </x:c>
      <x:c r="N33" s="52" t="n">
        <x:f>M33*(1+M60/100)+M84</x:f>
        <x:v>244857.39473689854</x:v>
      </x:c>
      <x:c r="O33" s="52" t="n">
        <x:f>N33*(1+N60/100)+N84</x:f>
        <x:v>261571.3965000568</x:v>
      </x:c>
      <x:c r="P33" s="52" t="n">
        <x:f>O33*(1+O60/100)+O84</x:f>
        <x:v>273402.39627555717</x:v>
      </x:c>
      <x:c r="Q33" s="52" t="n">
        <x:f>P33*(1+P60/100)+P84</x:f>
        <x:v>280863.01784203714</x:v>
      </x:c>
      <x:c r="R33" s="52" t="n">
        <x:f>Q33*(1+Q60/100)+Q84</x:f>
        <x:v>293390.7850026154</x:v>
      </x:c>
      <x:c r="S33" s="52" t="n">
        <x:f>R33*(1+R60/100)+R84</x:f>
        <x:v>301618.0836376442</x:v>
      </x:c>
      <x:c r="T33" s="52" t="n">
        <x:f>S33*(1+S60/100)+S84</x:f>
        <x:v>314935.88255765825</x:v>
      </x:c>
      <x:c r="U33" s="52" t="n">
        <x:f>T33*(1+T60/100)+T84</x:f>
        <x:v>332770.30550067715</x:v>
      </x:c>
      <x:c r="V33" s="52" t="n">
        <x:f>U33*(1+U60/100)+U84</x:f>
        <x:v>356430.77886118455</x:v>
      </x:c>
      <x:c r="W33" s="52" t="n">
        <x:f>V33*(1+V60/100)+V84</x:f>
        <x:v>368212.9327554904</x:v>
      </x:c>
      <x:c r="X33" s="52" t="n">
        <x:f>W33*(1+W60/100)+W84</x:f>
        <x:v>387263.2750158008</x:v>
      </x:c>
      <x:c r="Y33" s="52" t="n">
        <x:f>X33*(1+X60/100)+X84</x:f>
        <x:v>394199.59139087977</x:v>
      </x:c>
      <x:c r="Z33" s="52" t="n">
        <x:f>Y33*(1+Y60/100)+Y84</x:f>
        <x:v>407747.3877133976</x:v>
      </x:c>
      <x:c r="AB33" t="n">
        <x:v>17</x:v>
      </x:c>
      <x:c r="AC33" s="52" t="n">
        <x:f>S36</x:f>
        <x:v>322120.3744603981</x:v>
      </x:c>
    </x:row>
    <x:row r="34">
      <x:c r="A34" t="n">
        <x:v>19</x:v>
      </x:c>
      <x:c r="B34" s="52" t="n">
        <x:v>100000</x:v>
      </x:c>
      <x:c r="C34" s="52" t="n">
        <x:f>B34*(1+B61/100)+B85</x:f>
        <x:v>110499.99999999999</x:v>
      </x:c>
      <x:c r="D34" s="52" t="n">
        <x:f>C34*(1+C61/100)+C85</x:f>
        <x:v>121494.49999999997</x:v>
      </x:c>
      <x:c r="E34" s="52" t="n">
        <x:f>D34*(1+D61/100)+D85</x:f>
        <x:v>127344.96149999996</x:v>
      </x:c>
      <x:c r="F34" s="52" t="n">
        <x:f>E34*(1+E61/100)+E85</x:f>
        <x:v>147981.68630749994</x:v>
      </x:c>
      <x:c r="G34" s="52" t="n">
        <x:f>F34*(1+F61/100)+F85</x:f>
        <x:v>169313.52148426743</x:v>
      </x:c>
      <x:c r="H34" s="52" t="n">
        <x:f>G34*(1+G61/100)+G85</x:f>
        <x:v>180837.34317762582</x:v>
      </x:c>
      <x:c r="I34" s="52" t="n">
        <x:f>H34*(1+H61/100)+H85</x:f>
        <x:v>196741.52989351394</x:v>
      </x:c>
      <x:c r="J34" s="52" t="n">
        <x:f>I34*(1+I61/100)+I85</x:f>
        <x:v>203512.20366255555</x:v>
      </x:c>
      <x:c r="K34" s="52" t="n">
        <x:f>J34*(1+J61/100)+J85</x:f>
        <x:v>219529.7646808683</x:v>
      </x:c>
      <x:c r="L34" s="52" t="n">
        <x:f>K34*(1+K61/100)+K85</x:f>
        <x:v>230627.4135042726</x:v>
      </x:c>
      <x:c r="M34" s="52" t="n">
        <x:f>L34*(1+L61/100)+L85</x:f>
        <x:v>236780.55057179395</x:v>
      </x:c>
      <x:c r="N34" s="52" t="n">
        <x:f>M34*(1+M61/100)+M85</x:f>
        <x:v>253911.57552694008</x:v>
      </x:c>
      <x:c r="O34" s="52" t="n">
        <x:f>N34*(1+N61/100)+N85</x:f>
        <x:v>266196.77970668254</x:v>
      </x:c>
      <x:c r="P34" s="52" t="n">
        <x:f>O34*(1+O61/100)+O85</x:f>
        <x:v>278592.55072404264</x:v>
      </x:c>
      <x:c r="Q34" s="52" t="n">
        <x:f>P34*(1+P61/100)+P85</x:f>
        <x:v>291657.0687820071</x:v>
      </x:c>
      <x:c r="R34" s="52" t="n">
        <x:f>Q34*(1+Q61/100)+Q85</x:f>
        <x:v>299281.9824010451</x:v>
      </x:c>
      <x:c r="S34" s="52" t="n">
        <x:f>R34*(1+R61/100)+R85</x:f>
        <x:v>306975.5202426545</x:v>
      </x:c>
      <x:c r="T34" s="52" t="n">
        <x:f>S34*(1+S61/100)+S85</x:f>
        <x:v>325352.25096532365</x:v>
      </x:c>
      <x:c r="U34" s="52" t="n">
        <x:f>T34*(1+T61/100)+T85</x:f>
        <x:v>342629.7167220809</x:v>
      </x:c>
      <x:c r="V34" s="52" t="n">
        <x:f>U34*(1+U61/100)+U85</x:f>
        <x:v>349342.86530569126</x:v>
      </x:c>
      <x:c r="W34" s="52" t="n">
        <x:f>V34*(1+V61/100)+V85</x:f>
        <x:v>361089.5796322197</x:v>
      </x:c>
      <x:c r="X34" s="52" t="n">
        <x:f>W34*(1+W61/100)+W85</x:f>
        <x:v>379339.3858489096</x:v>
      </x:c>
      <x:c r="Y34" s="52" t="n">
        <x:f>X34*(1+X61/100)+X85</x:f>
        <x:v>397753.4403215498</x:v>
      </x:c>
      <x:c r="Z34" s="52" t="n">
        <x:f>Y34*(1+Y61/100)+Y85</x:f>
        <x:v>414742.20752315747</x:v>
      </x:c>
      <x:c r="AB34" t="n">
        <x:v>18</x:v>
      </x:c>
      <x:c r="AC34" s="52" t="n">
        <x:f>T36</x:f>
        <x:v>338919.7805670626</x:v>
      </x:c>
    </x:row>
    <x:row r="35">
      <x:c r="A35" t="n">
        <x:v>20</x:v>
      </x:c>
      <x:c r="B35" s="52" t="n">
        <x:v>100000</x:v>
      </x:c>
      <x:c r="C35" s="52" t="n">
        <x:f>B35*(1+B62/100)+B86</x:f>
        <x:v>111099.99999999999</x:v>
      </x:c>
      <x:c r="D35" s="52" t="n">
        <x:f>C35*(1+C62/100)+C86</x:f>
        <x:v>122322.09999999998</x:v>
      </x:c>
      <x:c r="E35" s="52" t="n">
        <x:f>D35*(1+D62/100)+D86</x:f>
        <x:v>133178.35469999997</x:v>
      </x:c>
      <x:c r="F35" s="52" t="n">
        <x:f>E35*(1+E62/100)+E86</x:f>
        <x:v>144110.60318289994</x:v>
      </x:c>
      <x:c r="G35" s="52" t="n">
        <x:f>F35*(1+F62/100)+F86</x:f>
        <x:v>150119.37740518022</x:v>
      </x:c>
      <x:c r="H35" s="52" t="n">
        <x:f>G35*(1+G62/100)+G86</x:f>
        <x:v>156170.21304701647</x:v>
      </x:c>
      <x:c r="I35" s="52" t="n">
        <x:f>H35*(1+H62/100)+H86</x:f>
        <x:v>172888.08539053364</x:v>
      </x:c>
      <x:c r="J35" s="52" t="n">
        <x:f>I35*(1+I62/100)+I86</x:f>
        <x:v>179444.07815904843</x:v>
      </x:c>
      <x:c r="K35" s="52" t="n">
        <x:f>J35*(1+J62/100)+J86</x:f>
        <x:v>195341.29854984366</x:v>
      </x:c>
      <x:c r="L35" s="52" t="n">
        <x:f>K35*(1+K62/100)+K86</x:f>
        <x:v>206708.68763969254</x:v>
      </x:c>
      <x:c r="M35" s="52" t="n">
        <x:f>L35*(1+L62/100)+L86</x:f>
        <x:v>217742.231077891</x:v>
      </x:c>
      <x:c r="N35" s="52" t="n">
        <x:f>M35*(1+M62/100)+M86</x:f>
        <x:v>234266.4266954362</x:v>
      </x:c>
      <x:c r="O35" s="52" t="n">
        <x:f>N35*(1+N62/100)+N86</x:f>
        <x:v>250906.29168230423</x:v>
      </x:c>
      <x:c r="P35" s="52" t="n">
        <x:f>O35*(1+O62/100)+O86</x:f>
        <x:v>258164.44830744495</x:v>
      </x:c>
      <x:c r="Q35" s="52" t="n">
        <x:f>P35*(1+P62/100)+P86</x:f>
        <x:v>275487.92834221193</x:v>
      </x:c>
      <x:c r="R35" s="52" t="n">
        <x:f>Q35*(1+Q62/100)+Q86</x:f>
        <x:v>288518.29555397626</x:v>
      </x:c>
      <x:c r="S35" s="52" t="n">
        <x:f>R35*(1+R62/100)+R86</x:f>
        <x:v>299960.8870317461</x:v>
      </x:c>
      <x:c r="T35" s="52" t="n">
        <x:f>S35*(1+S62/100)+S86</x:f>
        <x:v>317660.53501503175</x:v>
      </x:c>
      <x:c r="U35" s="52" t="n">
        <x:f>T35*(1+T62/100)+T86</x:f>
        <x:v>334248.8376901069</x:v>
      </x:c>
      <x:c r="V35" s="52" t="n">
        <x:f>U35*(1+U62/100)+U86</x:f>
        <x:v>346588.5795539376</x:v>
      </x:c>
      <x:c r="W35" s="52" t="n">
        <x:f>V35*(1+V62/100)+V86</x:f>
        <x:v>370401.0539290309</x:v>
      </x:c>
      <x:c r="X35" s="52" t="n">
        <x:f>W35*(1+W62/100)+W86</x:f>
        <x:v>388734.66341439215</x:v>
      </x:c>
      <x:c r="Y35" s="52" t="n">
        <x:f>X35*(1+X62/100)+X86</x:f>
        <x:v>405678.3367314641</x:v>
      </x:c>
      <x:c r="Z35" s="52" t="n">
        <x:f>Y35*(1+Y62/100)+Y86</x:f>
        <x:v>413518.0850885843</x:v>
      </x:c>
      <x:c r="AB35" t="n">
        <x:v>19</x:v>
      </x:c>
      <x:c r="AC35" s="52" t="n">
        <x:f>U36</x:f>
        <x:v>353244.42638956336</x:v>
      </x:c>
    </x:row>
    <x:row r="36">
      <x:c r="A36" s="57" t="str">
        <x:v>Среднее</x:v>
      </x:c>
      <x:c r="B36" s="62" t="n">
        <x:f>AVERAGE(B16:B35)</x:f>
        <x:v>100000</x:v>
      </x:c>
      <x:c r="C36" s="62" t="n">
        <x:f>AVERAGE(C16:C35)</x:f>
        <x:v>112789.99999999997</x:v>
      </x:c>
      <x:c r="D36" s="62" t="n">
        <x:f>AVERAGE(D16:D35)</x:f>
        <x:v>126246.12</x:v>
      </x:c>
      <x:c r="E36" s="62" t="n">
        <x:f>AVERAGE(E16:E35)</x:f>
        <x:v>138004.55763999996</x:v>
      </x:c>
      <x:c r="F36" s="62" t="n">
        <x:f>AVERAGE(F16:F35)</x:f>
        <x:v>150847.27286438993</x:v>
      </x:c>
      <x:c r="G36" s="62" t="n">
        <x:f>AVERAGE(G16:G35)</x:f>
        <x:v>164027.57552801326</x:v>
      </x:c>
      <x:c r="H36" s="62" t="n">
        <x:f>AVERAGE(H16:H35)</x:f>
        <x:v>175958.7929350994</x:v>
      </x:c>
      <x:c r="I36" s="62" t="n">
        <x:f>AVERAGE(I16:I35)</x:f>
        <x:v>187559.6242728662</x:v>
      </x:c>
      <x:c r="J36" s="62" t="n">
        <x:f>AVERAGE(J16:J35)</x:f>
        <x:v>202102.8240717139</x:v>
      </x:c>
      <x:c r="K36" s="62" t="n">
        <x:f>AVERAGE(K16:K35)</x:f>
        <x:v>215017.85077610062</x:v>
      </x:c>
      <x:c r="L36" s="62" t="n">
        <x:f>AVERAGE(L16:L35)</x:f>
        <x:v>229824.10372242954</x:v>
      </x:c>
      <x:c r="M36" s="62" t="n">
        <x:f>AVERAGE(M16:M35)</x:f>
        <x:v>241875.857786418</x:v>
      </x:c>
      <x:c r="N36" s="62" t="n">
        <x:f>AVERAGE(N16:N35)</x:f>
        <x:v>256209.1717391441</x:v>
      </x:c>
      <x:c r="O36" s="62" t="n">
        <x:f>AVERAGE(O16:O35)</x:f>
        <x:v>270900.55133912445</x:v>
      </x:c>
      <x:c r="P36" s="62" t="n">
        <x:f>AVERAGE(P16:P35)</x:f>
        <x:v>282049.93675869115</x:v>
      </x:c>
      <x:c r="Q36" s="62" t="n">
        <x:f>AVERAGE(Q16:Q35)</x:f>
        <x:v>295934.86052414373</x:v>
      </x:c>
      <x:c r="R36" s="62" t="n">
        <x:f>AVERAGE(R16:R35)</x:f>
        <x:v>309790.9827964106</x:v>
      </x:c>
      <x:c r="S36" s="62" t="n">
        <x:f>AVERAGE(S16:S35)</x:f>
        <x:v>322120.3744603981</x:v>
      </x:c>
      <x:c r="T36" s="62" t="n">
        <x:f>AVERAGE(T16:T35)</x:f>
        <x:v>338919.7805670626</x:v>
      </x:c>
      <x:c r="U36" s="62" t="n">
        <x:f>AVERAGE(U16:U35)</x:f>
        <x:v>353244.42638956336</x:v>
      </x:c>
      <x:c r="V36" s="62" t="n">
        <x:f>AVERAGE(V16:V35)</x:f>
        <x:v>367206.60208952473</x:v>
      </x:c>
      <x:c r="W36" s="62" t="n">
        <x:f>AVERAGE(W16:W35)</x:f>
        <x:v>380996.90925324656</x:v>
      </x:c>
      <x:c r="X36" s="62" t="n">
        <x:f>AVERAGE(X16:X35)</x:f>
        <x:v>394777.97074142593</x:v>
      </x:c>
      <x:c r="Y36" s="62" t="n">
        <x:f>AVERAGE(Y16:Y35)</x:f>
        <x:v>410227.52028053784</x:v>
      </x:c>
      <x:c r="Z36" s="62" t="n">
        <x:f>AVERAGE(Z16:Z35)</x:f>
        <x:v>425625.5926528997</x:v>
      </x:c>
      <x:c r="AB36" t="n">
        <x:v>20</x:v>
      </x:c>
      <x:c r="AC36" s="52" t="n">
        <x:f>V36</x:f>
        <x:v>367206.60208952473</x:v>
      </x:c>
    </x:row>
    <x:row r="37">
      <x:c r="AB37" t="n">
        <x:v>21</x:v>
      </x:c>
      <x:c r="AC37" s="52" t="n">
        <x:f>W36</x:f>
        <x:v>380996.90925324656</x:v>
      </x:c>
    </x:row>
    <x:row r="38">
      <x:c r="AB38" t="n">
        <x:v>22</x:v>
      </x:c>
      <x:c r="AC38" s="52" t="n">
        <x:f>X36</x:f>
        <x:v>394777.97074142593</x:v>
      </x:c>
    </x:row>
    <x:row r="39">
      <x:c r="AB39" t="n">
        <x:v>23</x:v>
      </x:c>
      <x:c r="AC39" s="52" t="n">
        <x:f>Y36</x:f>
        <x:v>410227.52028053784</x:v>
      </x:c>
    </x:row>
    <x:row r="40">
      <x:c r="AB40" t="n">
        <x:v>24</x:v>
      </x:c>
      <x:c r="AC40" s="52" t="n">
        <x:f>Z36</x:f>
        <x:v>425625.5926528997</x:v>
      </x:c>
    </x:row>
    <x:row r="41">
      <x:c r="A41" s="26" t="str">
        <x:v>Случайные месячные ставки, %</x:v>
      </x:c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</x:row>
    <x:row r="42">
      <x:c r="A42" s="16" t="str">
        <x:v>Эксперимент</x:v>
      </x:c>
      <x:c r="B42" s="16" t="str">
        <x:v>М1</x:v>
      </x:c>
      <x:c r="C42" s="16" t="str">
        <x:v>М2</x:v>
      </x:c>
      <x:c r="D42" s="16" t="str">
        <x:v>М3</x:v>
      </x:c>
      <x:c r="E42" s="16" t="str">
        <x:v>М4</x:v>
      </x:c>
      <x:c r="F42" s="16" t="str">
        <x:v>М5</x:v>
      </x:c>
      <x:c r="G42" s="16" t="str">
        <x:v>М6</x:v>
      </x:c>
      <x:c r="H42" s="16" t="str">
        <x:v>М7</x:v>
      </x:c>
      <x:c r="I42" s="16" t="str">
        <x:v>М8</x:v>
      </x:c>
      <x:c r="J42" s="16" t="str">
        <x:v>М9</x:v>
      </x:c>
      <x:c r="K42" s="16" t="str">
        <x:v>М10</x:v>
      </x:c>
      <x:c r="L42" s="16" t="str">
        <x:v>М11</x:v>
      </x:c>
      <x:c r="M42" s="16" t="str">
        <x:v>М12</x:v>
      </x:c>
      <x:c r="N42" s="16" t="str">
        <x:v>М13</x:v>
      </x:c>
      <x:c r="O42" s="16" t="str">
        <x:v>М14</x:v>
      </x:c>
      <x:c r="P42" s="16" t="str">
        <x:v>М15</x:v>
      </x:c>
      <x:c r="Q42" s="16" t="str">
        <x:v>М16</x:v>
      </x:c>
      <x:c r="R42" s="16" t="str">
        <x:v>М17</x:v>
      </x:c>
      <x:c r="S42" s="16" t="str">
        <x:v>М18</x:v>
      </x:c>
      <x:c r="T42" s="16" t="str">
        <x:v>М19</x:v>
      </x:c>
      <x:c r="U42" s="16" t="str">
        <x:v>М20</x:v>
      </x:c>
      <x:c r="V42" s="16" t="str">
        <x:v>М21</x:v>
      </x:c>
      <x:c r="W42" s="16" t="str">
        <x:v>М22</x:v>
      </x:c>
      <x:c r="X42" s="16" t="str">
        <x:v>М23</x:v>
      </x:c>
      <x:c r="Y42" s="16" t="str">
        <x:v>М24</x:v>
      </x:c>
    </x:row>
    <x:row r="43">
      <x:c r="A43" t="n">
        <x:v>1</x:v>
      </x:c>
      <x:c r="B43" s="48" t="n">
        <x:v>0.9</x:v>
      </x:c>
      <x:c r="C43" s="48" t="n">
        <x:v>0.5</x:v>
      </x:c>
      <x:c r="D43" s="48" t="n">
        <x:v>0.9</x:v>
      </x:c>
      <x:c r="E43" s="48" t="n">
        <x:v>1.1</x:v>
      </x:c>
      <x:c r="F43" s="48" t="n">
        <x:v>1.1</x:v>
      </x:c>
      <x:c r="G43" s="48" t="n">
        <x:v>1.1</x:v>
      </x:c>
      <x:c r="H43" s="48" t="n">
        <x:v>0.5</x:v>
      </x:c>
      <x:c r="I43" s="48" t="n">
        <x:v>0.9</x:v>
      </x:c>
      <x:c r="J43" s="48" t="n">
        <x:v>1.1</x:v>
      </x:c>
      <x:c r="K43" s="48" t="n">
        <x:v>0.9</x:v>
      </x:c>
      <x:c r="L43" s="48" t="n">
        <x:v>0.9</x:v>
      </x:c>
      <x:c r="M43" s="48" t="n">
        <x:v>0.9</x:v>
      </x:c>
      <x:c r="N43" s="48" t="n">
        <x:v>0.9</x:v>
      </x:c>
      <x:c r="O43" s="48" t="n">
        <x:v>0.7</x:v>
      </x:c>
      <x:c r="P43" s="48" t="n">
        <x:v>0.5</x:v>
      </x:c>
      <x:c r="Q43" s="48" t="n">
        <x:v>1.1</x:v>
      </x:c>
      <x:c r="R43" s="48" t="n">
        <x:v>1.1</x:v>
      </x:c>
      <x:c r="S43" s="48" t="n">
        <x:v>1.1</x:v>
      </x:c>
      <x:c r="T43" s="48" t="n">
        <x:v>0.7</x:v>
      </x:c>
      <x:c r="U43" s="48" t="n">
        <x:v>0.5</x:v>
      </x:c>
      <x:c r="V43" s="48" t="n">
        <x:v>0.7</x:v>
      </x:c>
      <x:c r="W43" s="48" t="n">
        <x:v>1.1</x:v>
      </x:c>
      <x:c r="X43" s="48" t="n">
        <x:v>0.9</x:v>
      </x:c>
      <x:c r="Y43" s="48" t="n">
        <x:v>1.1</x:v>
      </x:c>
    </x:row>
    <x:row r="44">
      <x:c r="A44" t="n">
        <x:v>2</x:v>
      </x:c>
      <x:c r="B44" s="48" t="n">
        <x:v>0.7</x:v>
      </x:c>
      <x:c r="C44" s="48" t="n">
        <x:v>0.9</x:v>
      </x:c>
      <x:c r="D44" s="48" t="n">
        <x:v>0.9</x:v>
      </x:c>
      <x:c r="E44" s="48" t="n">
        <x:v>0.7</x:v>
      </x:c>
      <x:c r="F44" s="48" t="n">
        <x:v>1.1</x:v>
      </x:c>
      <x:c r="G44" s="48" t="n">
        <x:v>0.9</x:v>
      </x:c>
      <x:c r="H44" s="48" t="n">
        <x:v>0.5</x:v>
      </x:c>
      <x:c r="I44" s="48" t="n">
        <x:v>0.5</x:v>
      </x:c>
      <x:c r="J44" s="48" t="n">
        <x:v>1.1</x:v>
      </x:c>
      <x:c r="K44" s="48" t="n">
        <x:v>0.9</x:v>
      </x:c>
      <x:c r="L44" s="48" t="n">
        <x:v>0.9</x:v>
      </x:c>
      <x:c r="M44" s="48" t="n">
        <x:v>0.9</x:v>
      </x:c>
      <x:c r="N44" s="48" t="n">
        <x:v>0.7</x:v>
      </x:c>
      <x:c r="O44" s="48" t="n">
        <x:v>0.9</x:v>
      </x:c>
      <x:c r="P44" s="48" t="n">
        <x:v>1.1</x:v>
      </x:c>
      <x:c r="Q44" s="48" t="n">
        <x:v>0.5</x:v>
      </x:c>
      <x:c r="R44" s="48" t="n">
        <x:v>0.9</x:v>
      </x:c>
      <x:c r="S44" s="48" t="n">
        <x:v>0.7</x:v>
      </x:c>
      <x:c r="T44" s="48" t="n">
        <x:v>0.7</x:v>
      </x:c>
      <x:c r="U44" s="48" t="n">
        <x:v>0.7</x:v>
      </x:c>
      <x:c r="V44" s="48" t="n">
        <x:v>1.1</x:v>
      </x:c>
      <x:c r="W44" s="48" t="n">
        <x:v>0.5</x:v>
      </x:c>
      <x:c r="X44" s="48" t="n">
        <x:v>0.7</x:v>
      </x:c>
      <x:c r="Y44" s="48" t="n">
        <x:v>0.9</x:v>
      </x:c>
    </x:row>
    <x:row r="45">
      <x:c r="A45" t="n">
        <x:v>3</x:v>
      </x:c>
      <x:c r="B45" s="48" t="n">
        <x:v>0.5</x:v>
      </x:c>
      <x:c r="C45" s="48" t="n">
        <x:v>0.9</x:v>
      </x:c>
      <x:c r="D45" s="48" t="n">
        <x:v>1.1</x:v>
      </x:c>
      <x:c r="E45" s="48" t="n">
        <x:v>0.5</x:v>
      </x:c>
      <x:c r="F45" s="48" t="n">
        <x:v>0.5</x:v>
      </x:c>
      <x:c r="G45" s="48" t="n">
        <x:v>1.1</x:v>
      </x:c>
      <x:c r="H45" s="48" t="n">
        <x:v>0.5</x:v>
      </x:c>
      <x:c r="I45" s="48" t="n">
        <x:v>0.5</x:v>
      </x:c>
      <x:c r="J45" s="48" t="n">
        <x:v>1.1</x:v>
      </x:c>
      <x:c r="K45" s="48" t="n">
        <x:v>1.1</x:v>
      </x:c>
      <x:c r="L45" s="48" t="n">
        <x:v>0.9</x:v>
      </x:c>
      <x:c r="M45" s="48" t="n">
        <x:v>0.9</x:v>
      </x:c>
      <x:c r="N45" s="48" t="n">
        <x:v>1.1</x:v>
      </x:c>
      <x:c r="O45" s="48" t="n">
        <x:v>0.9</x:v>
      </x:c>
      <x:c r="P45" s="48" t="n">
        <x:v>0.9</x:v>
      </x:c>
      <x:c r="Q45" s="48" t="n">
        <x:v>1.1</x:v>
      </x:c>
      <x:c r="R45" s="48" t="n">
        <x:v>0.9</x:v>
      </x:c>
      <x:c r="S45" s="48" t="n">
        <x:v>0.9</x:v>
      </x:c>
      <x:c r="T45" s="48" t="n">
        <x:v>0.7</x:v>
      </x:c>
      <x:c r="U45" s="48" t="n">
        <x:v>0.9</x:v>
      </x:c>
      <x:c r="V45" s="48" t="n">
        <x:v>0.9</x:v>
      </x:c>
      <x:c r="W45" s="48" t="n">
        <x:v>0.7</x:v>
      </x:c>
      <x:c r="X45" s="48" t="n">
        <x:v>0.7</x:v>
      </x:c>
      <x:c r="Y45" s="48" t="n">
        <x:v>1.1</x:v>
      </x:c>
    </x:row>
    <x:row r="46">
      <x:c r="A46" t="n">
        <x:v>4</x:v>
      </x:c>
      <x:c r="B46" s="48" t="n">
        <x:v>0.7</x:v>
      </x:c>
      <x:c r="C46" s="48" t="n">
        <x:v>0.5</x:v>
      </x:c>
      <x:c r="D46" s="48" t="n">
        <x:v>0.7</x:v>
      </x:c>
      <x:c r="E46" s="48" t="n">
        <x:v>0.7</x:v>
      </x:c>
      <x:c r="F46" s="48" t="n">
        <x:v>0.9</x:v>
      </x:c>
      <x:c r="G46" s="48" t="n">
        <x:v>0.7</x:v>
      </x:c>
      <x:c r="H46" s="48" t="n">
        <x:v>0.7</x:v>
      </x:c>
      <x:c r="I46" s="48" t="n">
        <x:v>1.1</x:v>
      </x:c>
      <x:c r="J46" s="48" t="n">
        <x:v>0.5</x:v>
      </x:c>
      <x:c r="K46" s="48" t="n">
        <x:v>0.5</x:v>
      </x:c>
      <x:c r="L46" s="48" t="n">
        <x:v>1.1</x:v>
      </x:c>
      <x:c r="M46" s="48" t="n">
        <x:v>0.9</x:v>
      </x:c>
      <x:c r="N46" s="48" t="n">
        <x:v>0.9</x:v>
      </x:c>
      <x:c r="O46" s="48" t="n">
        <x:v>1.1</x:v>
      </x:c>
      <x:c r="P46" s="48" t="n">
        <x:v>1.1</x:v>
      </x:c>
      <x:c r="Q46" s="48" t="n">
        <x:v>0.5</x:v>
      </x:c>
      <x:c r="R46" s="48" t="n">
        <x:v>0.9</x:v>
      </x:c>
      <x:c r="S46" s="48" t="n">
        <x:v>0.9</x:v>
      </x:c>
      <x:c r="T46" s="48" t="n">
        <x:v>0.7</x:v>
      </x:c>
      <x:c r="U46" s="48" t="n">
        <x:v>1.1</x:v>
      </x:c>
      <x:c r="V46" s="48" t="n">
        <x:v>0.7</x:v>
      </x:c>
      <x:c r="W46" s="48" t="n">
        <x:v>1.1</x:v>
      </x:c>
      <x:c r="X46" s="48" t="n">
        <x:v>0.9</x:v>
      </x:c>
      <x:c r="Y46" s="48" t="n">
        <x:v>0.9</x:v>
      </x:c>
    </x:row>
    <x:row r="47">
      <x:c r="A47" t="n">
        <x:v>5</x:v>
      </x:c>
      <x:c r="B47" s="48" t="n">
        <x:v>0.5</x:v>
      </x:c>
      <x:c r="C47" s="48" t="n">
        <x:v>1.1</x:v>
      </x:c>
      <x:c r="D47" s="48" t="n">
        <x:v>0.9</x:v>
      </x:c>
      <x:c r="E47" s="48" t="n">
        <x:v>0.5</x:v>
      </x:c>
      <x:c r="F47" s="48" t="n">
        <x:v>0.5</x:v>
      </x:c>
      <x:c r="G47" s="48" t="n">
        <x:v>0.9</x:v>
      </x:c>
      <x:c r="H47" s="48" t="n">
        <x:v>0.5</x:v>
      </x:c>
      <x:c r="I47" s="48" t="n">
        <x:v>0.9</x:v>
      </x:c>
      <x:c r="J47" s="48" t="n">
        <x:v>0.9</x:v>
      </x:c>
      <x:c r="K47" s="48" t="n">
        <x:v>0.7</x:v>
      </x:c>
      <x:c r="L47" s="48" t="n">
        <x:v>0.9</x:v>
      </x:c>
      <x:c r="M47" s="48" t="n">
        <x:v>0.7</x:v>
      </x:c>
      <x:c r="N47" s="48" t="n">
        <x:v>1.1</x:v>
      </x:c>
      <x:c r="O47" s="48" t="n">
        <x:v>1.1</x:v>
      </x:c>
      <x:c r="P47" s="48" t="n">
        <x:v>0.7</x:v>
      </x:c>
      <x:c r="Q47" s="48" t="n">
        <x:v>0.9</x:v>
      </x:c>
      <x:c r="R47" s="48" t="n">
        <x:v>0.9</x:v>
      </x:c>
      <x:c r="S47" s="48" t="n">
        <x:v>1.1</x:v>
      </x:c>
      <x:c r="T47" s="48" t="n">
        <x:v>0.7</x:v>
      </x:c>
      <x:c r="U47" s="48" t="n">
        <x:v>0.9</x:v>
      </x:c>
      <x:c r="V47" s="48" t="n">
        <x:v>1.1</x:v>
      </x:c>
      <x:c r="W47" s="48" t="n">
        <x:v>0.5</x:v>
      </x:c>
      <x:c r="X47" s="48" t="n">
        <x:v>0.9</x:v>
      </x:c>
      <x:c r="Y47" s="48" t="n">
        <x:v>0.5</x:v>
      </x:c>
    </x:row>
    <x:row r="48">
      <x:c r="A48" t="n">
        <x:v>6</x:v>
      </x:c>
      <x:c r="B48" s="48" t="n">
        <x:v>0.9</x:v>
      </x:c>
      <x:c r="C48" s="48" t="n">
        <x:v>0.7</x:v>
      </x:c>
      <x:c r="D48" s="48" t="n">
        <x:v>1.1</x:v>
      </x:c>
      <x:c r="E48" s="48" t="n">
        <x:v>0.7</x:v>
      </x:c>
      <x:c r="F48" s="48" t="n">
        <x:v>0.5</x:v>
      </x:c>
      <x:c r="G48" s="48" t="n">
        <x:v>1.1</x:v>
      </x:c>
      <x:c r="H48" s="48" t="n">
        <x:v>1.1</x:v>
      </x:c>
      <x:c r="I48" s="48" t="n">
        <x:v>0.9</x:v>
      </x:c>
      <x:c r="J48" s="48" t="n">
        <x:v>0.9</x:v>
      </x:c>
      <x:c r="K48" s="48" t="n">
        <x:v>0.7</x:v>
      </x:c>
      <x:c r="L48" s="48" t="n">
        <x:v>0.9</x:v>
      </x:c>
      <x:c r="M48" s="48" t="n">
        <x:v>0.5</x:v>
      </x:c>
      <x:c r="N48" s="48" t="n">
        <x:v>0.5</x:v>
      </x:c>
      <x:c r="O48" s="48" t="n">
        <x:v>1.1</x:v>
      </x:c>
      <x:c r="P48" s="48" t="n">
        <x:v>0.9</x:v>
      </x:c>
      <x:c r="Q48" s="48" t="n">
        <x:v>0.7</x:v>
      </x:c>
      <x:c r="R48" s="48" t="n">
        <x:v>0.5</x:v>
      </x:c>
      <x:c r="S48" s="48" t="n">
        <x:v>1.1</x:v>
      </x:c>
      <x:c r="T48" s="48" t="n">
        <x:v>0.5</x:v>
      </x:c>
      <x:c r="U48" s="48" t="n">
        <x:v>0.7</x:v>
      </x:c>
      <x:c r="V48" s="48" t="n">
        <x:v>0.5</x:v>
      </x:c>
      <x:c r="W48" s="48" t="n">
        <x:v>0.5</x:v>
      </x:c>
      <x:c r="X48" s="48" t="n">
        <x:v>0.7</x:v>
      </x:c>
      <x:c r="Y48" s="48" t="n">
        <x:v>1.1</x:v>
      </x:c>
    </x:row>
    <x:row r="49">
      <x:c r="A49" t="n">
        <x:v>7</x:v>
      </x:c>
      <x:c r="B49" s="48" t="n">
        <x:v>0.7</x:v>
      </x:c>
      <x:c r="C49" s="48" t="n">
        <x:v>0.9</x:v>
      </x:c>
      <x:c r="D49" s="48" t="n">
        <x:v>0.9</x:v>
      </x:c>
      <x:c r="E49" s="48" t="n">
        <x:v>0.9</x:v>
      </x:c>
      <x:c r="F49" s="48" t="n">
        <x:v>0.9</x:v>
      </x:c>
      <x:c r="G49" s="48" t="n">
        <x:v>0.9</x:v>
      </x:c>
      <x:c r="H49" s="48" t="n">
        <x:v>0.9</x:v>
      </x:c>
      <x:c r="I49" s="48" t="n">
        <x:v>0.9</x:v>
      </x:c>
      <x:c r="J49" s="48" t="n">
        <x:v>0.9</x:v>
      </x:c>
      <x:c r="K49" s="48" t="n">
        <x:v>0.9</x:v>
      </x:c>
      <x:c r="L49" s="48" t="n">
        <x:v>0.9</x:v>
      </x:c>
      <x:c r="M49" s="48" t="n">
        <x:v>0.5</x:v>
      </x:c>
      <x:c r="N49" s="48" t="n">
        <x:v>0.9</x:v>
      </x:c>
      <x:c r="O49" s="48" t="n">
        <x:v>0.9</x:v>
      </x:c>
      <x:c r="P49" s="48" t="n">
        <x:v>0.7</x:v>
      </x:c>
      <x:c r="Q49" s="48" t="n">
        <x:v>1.1</x:v>
      </x:c>
      <x:c r="R49" s="48" t="n">
        <x:v>0.7</x:v>
      </x:c>
      <x:c r="S49" s="48" t="n">
        <x:v>0.7</x:v>
      </x:c>
      <x:c r="T49" s="48" t="n">
        <x:v>1.1</x:v>
      </x:c>
      <x:c r="U49" s="48" t="n">
        <x:v>0.7</x:v>
      </x:c>
      <x:c r="V49" s="48" t="n">
        <x:v>0.7</x:v>
      </x:c>
      <x:c r="W49" s="48" t="n">
        <x:v>0.7</x:v>
      </x:c>
      <x:c r="X49" s="48" t="n">
        <x:v>1.1</x:v>
      </x:c>
      <x:c r="Y49" s="48" t="n">
        <x:v>0.7</x:v>
      </x:c>
    </x:row>
    <x:row r="50">
      <x:c r="A50" t="n">
        <x:v>8</x:v>
      </x:c>
      <x:c r="B50" s="48" t="n">
        <x:v>0.9</x:v>
      </x:c>
      <x:c r="C50" s="48" t="n">
        <x:v>0.9</x:v>
      </x:c>
      <x:c r="D50" s="48" t="n">
        <x:v>0.9</x:v>
      </x:c>
      <x:c r="E50" s="48" t="n">
        <x:v>1.1</x:v>
      </x:c>
      <x:c r="F50" s="48" t="n">
        <x:v>1.1</x:v>
      </x:c>
      <x:c r="G50" s="48" t="n">
        <x:v>0.7</x:v>
      </x:c>
      <x:c r="H50" s="48" t="n">
        <x:v>1.1</x:v>
      </x:c>
      <x:c r="I50" s="48" t="n">
        <x:v>0.9</x:v>
      </x:c>
      <x:c r="J50" s="48" t="n">
        <x:v>0.5</x:v>
      </x:c>
      <x:c r="K50" s="48" t="n">
        <x:v>0.7</x:v>
      </x:c>
      <x:c r="L50" s="48" t="n">
        <x:v>0.9</x:v>
      </x:c>
      <x:c r="M50" s="48" t="n">
        <x:v>0.5</x:v>
      </x:c>
      <x:c r="N50" s="48" t="n">
        <x:v>0.9</x:v>
      </x:c>
      <x:c r="O50" s="48" t="n">
        <x:v>0.7</x:v>
      </x:c>
      <x:c r="P50" s="48" t="n">
        <x:v>0.9</x:v>
      </x:c>
      <x:c r="Q50" s="48" t="n">
        <x:v>0.5</x:v>
      </x:c>
      <x:c r="R50" s="48" t="n">
        <x:v>1.1</x:v>
      </x:c>
      <x:c r="S50" s="48" t="n">
        <x:v>0.7</x:v>
      </x:c>
      <x:c r="T50" s="48" t="n">
        <x:v>0.5</x:v>
      </x:c>
      <x:c r="U50" s="48" t="n">
        <x:v>0.7</x:v>
      </x:c>
      <x:c r="V50" s="48" t="n">
        <x:v>0.7</x:v>
      </x:c>
      <x:c r="W50" s="48" t="n">
        <x:v>0.9</x:v>
      </x:c>
      <x:c r="X50" s="48" t="n">
        <x:v>0.9</x:v>
      </x:c>
      <x:c r="Y50" s="48" t="n">
        <x:v>0.5</x:v>
      </x:c>
    </x:row>
    <x:row r="51">
      <x:c r="A51" t="n">
        <x:v>9</x:v>
      </x:c>
      <x:c r="B51" s="48" t="n">
        <x:v>1.1</x:v>
      </x:c>
      <x:c r="C51" s="48" t="n">
        <x:v>0.7</x:v>
      </x:c>
      <x:c r="D51" s="48" t="n">
        <x:v>0.5</x:v>
      </x:c>
      <x:c r="E51" s="48" t="n">
        <x:v>0.9</x:v>
      </x:c>
      <x:c r="F51" s="48" t="n">
        <x:v>0.9</x:v>
      </x:c>
      <x:c r="G51" s="48" t="n">
        <x:v>0.9</x:v>
      </x:c>
      <x:c r="H51" s="48" t="n">
        <x:v>0.7</x:v>
      </x:c>
      <x:c r="I51" s="48" t="n">
        <x:v>0.7</x:v>
      </x:c>
      <x:c r="J51" s="48" t="n">
        <x:v>0.9</x:v>
      </x:c>
      <x:c r="K51" s="48" t="n">
        <x:v>0.5</x:v>
      </x:c>
      <x:c r="L51" s="48" t="n">
        <x:v>0.7</x:v>
      </x:c>
      <x:c r="M51" s="48" t="n">
        <x:v>1.1</x:v>
      </x:c>
      <x:c r="N51" s="48" t="n">
        <x:v>0.9</x:v>
      </x:c>
      <x:c r="O51" s="48" t="n">
        <x:v>0.7</x:v>
      </x:c>
      <x:c r="P51" s="48" t="n">
        <x:v>0.7</x:v>
      </x:c>
      <x:c r="Q51" s="48" t="n">
        <x:v>0.9</x:v>
      </x:c>
      <x:c r="R51" s="48" t="n">
        <x:v>0.7</x:v>
      </x:c>
      <x:c r="S51" s="48" t="n">
        <x:v>0.5</x:v>
      </x:c>
      <x:c r="T51" s="48" t="n">
        <x:v>0.5</x:v>
      </x:c>
      <x:c r="U51" s="48" t="n">
        <x:v>0.9</x:v>
      </x:c>
      <x:c r="V51" s="48" t="n">
        <x:v>0.9</x:v>
      </x:c>
      <x:c r="W51" s="48" t="n">
        <x:v>0.5</x:v>
      </x:c>
      <x:c r="X51" s="48" t="n">
        <x:v>0.5</x:v>
      </x:c>
      <x:c r="Y51" s="48" t="n">
        <x:v>0.9</x:v>
      </x:c>
    </x:row>
    <x:row r="52">
      <x:c r="A52" t="n">
        <x:v>10</x:v>
      </x:c>
      <x:c r="B52" s="48" t="n">
        <x:v>0.9</x:v>
      </x:c>
      <x:c r="C52" s="48" t="n">
        <x:v>0.9</x:v>
      </x:c>
      <x:c r="D52" s="48" t="n">
        <x:v>0.5</x:v>
      </x:c>
      <x:c r="E52" s="48" t="n">
        <x:v>0.9</x:v>
      </x:c>
      <x:c r="F52" s="48" t="n">
        <x:v>1.1</x:v>
      </x:c>
      <x:c r="G52" s="48" t="n">
        <x:v>0.9</x:v>
      </x:c>
      <x:c r="H52" s="48" t="n">
        <x:v>0.5</x:v>
      </x:c>
      <x:c r="I52" s="48" t="n">
        <x:v>0.9</x:v>
      </x:c>
      <x:c r="J52" s="48" t="n">
        <x:v>0.7</x:v>
      </x:c>
      <x:c r="K52" s="48" t="n">
        <x:v>0.5</x:v>
      </x:c>
      <x:c r="L52" s="48" t="n">
        <x:v>0.7</x:v>
      </x:c>
      <x:c r="M52" s="48" t="n">
        <x:v>1.1</x:v>
      </x:c>
      <x:c r="N52" s="48" t="n">
        <x:v>0.7</x:v>
      </x:c>
      <x:c r="O52" s="48" t="n">
        <x:v>1.1</x:v>
      </x:c>
      <x:c r="P52" s="48" t="n">
        <x:v>0.9</x:v>
      </x:c>
      <x:c r="Q52" s="48" t="n">
        <x:v>0.9</x:v>
      </x:c>
      <x:c r="R52" s="48" t="n">
        <x:v>0.5</x:v>
      </x:c>
      <x:c r="S52" s="48" t="n">
        <x:v>0.9</x:v>
      </x:c>
      <x:c r="T52" s="48" t="n">
        <x:v>0.5</x:v>
      </x:c>
      <x:c r="U52" s="48" t="n">
        <x:v>0.7</x:v>
      </x:c>
      <x:c r="V52" s="48" t="n">
        <x:v>0.7</x:v>
      </x:c>
      <x:c r="W52" s="48" t="n">
        <x:v>0.7</x:v>
      </x:c>
      <x:c r="X52" s="48" t="n">
        <x:v>0.9</x:v>
      </x:c>
      <x:c r="Y52" s="48" t="n">
        <x:v>0.5</x:v>
      </x:c>
    </x:row>
    <x:row r="53">
      <x:c r="A53" t="n">
        <x:v>11</x:v>
      </x:c>
      <x:c r="B53" s="48" t="n">
        <x:v>0.7</x:v>
      </x:c>
      <x:c r="C53" s="48" t="n">
        <x:v>1.1</x:v>
      </x:c>
      <x:c r="D53" s="48" t="n">
        <x:v>0.5</x:v>
      </x:c>
      <x:c r="E53" s="48" t="n">
        <x:v>0.7</x:v>
      </x:c>
      <x:c r="F53" s="48" t="n">
        <x:v>0.7</x:v>
      </x:c>
      <x:c r="G53" s="48" t="n">
        <x:v>0.7</x:v>
      </x:c>
      <x:c r="H53" s="48" t="n">
        <x:v>0.9</x:v>
      </x:c>
      <x:c r="I53" s="48" t="n">
        <x:v>0.7</x:v>
      </x:c>
      <x:c r="J53" s="48" t="n">
        <x:v>0.7</x:v>
      </x:c>
      <x:c r="K53" s="48" t="n">
        <x:v>0.9</x:v>
      </x:c>
      <x:c r="L53" s="48" t="n">
        <x:v>0.7</x:v>
      </x:c>
      <x:c r="M53" s="48" t="n">
        <x:v>1.1</x:v>
      </x:c>
      <x:c r="N53" s="48" t="n">
        <x:v>1.1</x:v>
      </x:c>
      <x:c r="O53" s="48" t="n">
        <x:v>0.5</x:v>
      </x:c>
      <x:c r="P53" s="48" t="n">
        <x:v>0.7</x:v>
      </x:c>
      <x:c r="Q53" s="48" t="n">
        <x:v>0.7</x:v>
      </x:c>
      <x:c r="R53" s="48" t="n">
        <x:v>0.5</x:v>
      </x:c>
      <x:c r="S53" s="48" t="n">
        <x:v>0.7</x:v>
      </x:c>
      <x:c r="T53" s="48" t="n">
        <x:v>0.9</x:v>
      </x:c>
      <x:c r="U53" s="48" t="n">
        <x:v>0.7</x:v>
      </x:c>
      <x:c r="V53" s="48" t="n">
        <x:v>0.7</x:v>
      </x:c>
      <x:c r="W53" s="48" t="n">
        <x:v>0.7</x:v>
      </x:c>
      <x:c r="X53" s="48" t="n">
        <x:v>1.1</x:v>
      </x:c>
      <x:c r="Y53" s="48" t="n">
        <x:v>1.1</x:v>
      </x:c>
    </x:row>
    <x:row r="54">
      <x:c r="A54" t="n">
        <x:v>12</x:v>
      </x:c>
      <x:c r="B54" s="48" t="n">
        <x:v>0.5</x:v>
      </x:c>
      <x:c r="C54" s="48" t="n">
        <x:v>0.9</x:v>
      </x:c>
      <x:c r="D54" s="48" t="n">
        <x:v>0.7</x:v>
      </x:c>
      <x:c r="E54" s="48" t="n">
        <x:v>0.9</x:v>
      </x:c>
      <x:c r="F54" s="48" t="n">
        <x:v>0.9</x:v>
      </x:c>
      <x:c r="G54" s="48" t="n">
        <x:v>1.1</x:v>
      </x:c>
      <x:c r="H54" s="48" t="n">
        <x:v>0.5</x:v>
      </x:c>
      <x:c r="I54" s="48" t="n">
        <x:v>0.7</x:v>
      </x:c>
      <x:c r="J54" s="48" t="n">
        <x:v>1.1</x:v>
      </x:c>
      <x:c r="K54" s="48" t="n">
        <x:v>0.5</x:v>
      </x:c>
      <x:c r="L54" s="48" t="n">
        <x:v>0.5</x:v>
      </x:c>
      <x:c r="M54" s="48" t="n">
        <x:v>0.9</x:v>
      </x:c>
      <x:c r="N54" s="48" t="n">
        <x:v>0.9</x:v>
      </x:c>
      <x:c r="O54" s="48" t="n">
        <x:v>0.9</x:v>
      </x:c>
      <x:c r="P54" s="48" t="n">
        <x:v>0.9</x:v>
      </x:c>
      <x:c r="Q54" s="48" t="n">
        <x:v>0.9</x:v>
      </x:c>
      <x:c r="R54" s="48" t="n">
        <x:v>0.5</x:v>
      </x:c>
      <x:c r="S54" s="48" t="n">
        <x:v>0.9</x:v>
      </x:c>
      <x:c r="T54" s="48" t="n">
        <x:v>0.9</x:v>
      </x:c>
      <x:c r="U54" s="48" t="n">
        <x:v>1.1</x:v>
      </x:c>
      <x:c r="V54" s="48" t="n">
        <x:v>0.7</x:v>
      </x:c>
      <x:c r="W54" s="48" t="n">
        <x:v>0.5</x:v>
      </x:c>
      <x:c r="X54" s="48" t="n">
        <x:v>0.9</x:v>
      </x:c>
      <x:c r="Y54" s="48" t="n">
        <x:v>0.7</x:v>
      </x:c>
    </x:row>
    <x:row r="55">
      <x:c r="A55" t="n">
        <x:v>13</x:v>
      </x:c>
      <x:c r="B55" s="48" t="n">
        <x:v>0.5</x:v>
      </x:c>
      <x:c r="C55" s="48" t="n">
        <x:v>1.1</x:v>
      </x:c>
      <x:c r="D55" s="48" t="n">
        <x:v>0.9</x:v>
      </x:c>
      <x:c r="E55" s="48" t="n">
        <x:v>0.7</x:v>
      </x:c>
      <x:c r="F55" s="48" t="n">
        <x:v>0.5</x:v>
      </x:c>
      <x:c r="G55" s="48" t="n">
        <x:v>0.5</x:v>
      </x:c>
      <x:c r="H55" s="48" t="n">
        <x:v>0.9</x:v>
      </x:c>
      <x:c r="I55" s="48" t="n">
        <x:v>0.7</x:v>
      </x:c>
      <x:c r="J55" s="48" t="n">
        <x:v>0.5</x:v>
      </x:c>
      <x:c r="K55" s="48" t="n">
        <x:v>0.7</x:v>
      </x:c>
      <x:c r="L55" s="48" t="n">
        <x:v>0.5</x:v>
      </x:c>
      <x:c r="M55" s="48" t="n">
        <x:v>0.5</x:v>
      </x:c>
      <x:c r="N55" s="48" t="n">
        <x:v>0.7</x:v>
      </x:c>
      <x:c r="O55" s="48" t="n">
        <x:v>0.9</x:v>
      </x:c>
      <x:c r="P55" s="48" t="n">
        <x:v>0.7</x:v>
      </x:c>
      <x:c r="Q55" s="48" t="n">
        <x:v>0.7</x:v>
      </x:c>
      <x:c r="R55" s="48" t="n">
        <x:v>0.7</x:v>
      </x:c>
      <x:c r="S55" s="48" t="n">
        <x:v>0.7</x:v>
      </x:c>
      <x:c r="T55" s="48" t="n">
        <x:v>0.5</x:v>
      </x:c>
      <x:c r="U55" s="48" t="n">
        <x:v>0.5</x:v>
      </x:c>
      <x:c r="V55" s="48" t="n">
        <x:v>0.5</x:v>
      </x:c>
      <x:c r="W55" s="48" t="n">
        <x:v>0.7</x:v>
      </x:c>
      <x:c r="X55" s="48" t="n">
        <x:v>0.9</x:v>
      </x:c>
      <x:c r="Y55" s="48" t="n">
        <x:v>0.5</x:v>
      </x:c>
    </x:row>
    <x:row r="56">
      <x:c r="A56" t="n">
        <x:v>14</x:v>
      </x:c>
      <x:c r="B56" s="48" t="n">
        <x:v>0.9</x:v>
      </x:c>
      <x:c r="C56" s="48" t="n">
        <x:v>0.9</x:v>
      </x:c>
      <x:c r="D56" s="48" t="n">
        <x:v>0.5</x:v>
      </x:c>
      <x:c r="E56" s="48" t="n">
        <x:v>0.5</x:v>
      </x:c>
      <x:c r="F56" s="48" t="n">
        <x:v>0.5</x:v>
      </x:c>
      <x:c r="G56" s="48" t="n">
        <x:v>0.5</x:v>
      </x:c>
      <x:c r="H56" s="48" t="n">
        <x:v>0.9</x:v>
      </x:c>
      <x:c r="I56" s="48" t="n">
        <x:v>0.5</x:v>
      </x:c>
      <x:c r="J56" s="48" t="n">
        <x:v>1.1</x:v>
      </x:c>
      <x:c r="K56" s="48" t="n">
        <x:v>0.7</x:v>
      </x:c>
      <x:c r="L56" s="48" t="n">
        <x:v>0.9</x:v>
      </x:c>
      <x:c r="M56" s="48" t="n">
        <x:v>0.9</x:v>
      </x:c>
      <x:c r="N56" s="48" t="n">
        <x:v>0.9</x:v>
      </x:c>
      <x:c r="O56" s="48" t="n">
        <x:v>1.1</x:v>
      </x:c>
      <x:c r="P56" s="48" t="n">
        <x:v>1.1</x:v>
      </x:c>
      <x:c r="Q56" s="48" t="n">
        <x:v>0.7</x:v>
      </x:c>
      <x:c r="R56" s="48" t="n">
        <x:v>0.5</x:v>
      </x:c>
      <x:c r="S56" s="48" t="n">
        <x:v>0.7</x:v>
      </x:c>
      <x:c r="T56" s="48" t="n">
        <x:v>0.7</x:v>
      </x:c>
      <x:c r="U56" s="48" t="n">
        <x:v>0.9</x:v>
      </x:c>
      <x:c r="V56" s="48" t="n">
        <x:v>0.7</x:v>
      </x:c>
      <x:c r="W56" s="48" t="n">
        <x:v>0.7</x:v>
      </x:c>
      <x:c r="X56" s="48" t="n">
        <x:v>0.9</x:v>
      </x:c>
      <x:c r="Y56" s="48" t="n">
        <x:v>0.7</x:v>
      </x:c>
    </x:row>
    <x:row r="57">
      <x:c r="A57" t="n">
        <x:v>15</x:v>
      </x:c>
      <x:c r="B57" s="48" t="n">
        <x:v>0.9</x:v>
      </x:c>
      <x:c r="C57" s="48" t="n">
        <x:v>0.7</x:v>
      </x:c>
      <x:c r="D57" s="48" t="n">
        <x:v>0.9</x:v>
      </x:c>
      <x:c r="E57" s="48" t="n">
        <x:v>0.9</x:v>
      </x:c>
      <x:c r="F57" s="48" t="n">
        <x:v>0.5</x:v>
      </x:c>
      <x:c r="G57" s="48" t="n">
        <x:v>0.9</x:v>
      </x:c>
      <x:c r="H57" s="48" t="n">
        <x:v>0.5</x:v>
      </x:c>
      <x:c r="I57" s="48" t="n">
        <x:v>0.9</x:v>
      </x:c>
      <x:c r="J57" s="48" t="n">
        <x:v>0.9</x:v>
      </x:c>
      <x:c r="K57" s="48" t="n">
        <x:v>0.7</x:v>
      </x:c>
      <x:c r="L57" s="48" t="n">
        <x:v>0.9</x:v>
      </x:c>
      <x:c r="M57" s="48" t="n">
        <x:v>1.1</x:v>
      </x:c>
      <x:c r="N57" s="48" t="n">
        <x:v>0.9</x:v>
      </x:c>
      <x:c r="O57" s="48" t="n">
        <x:v>0.9</x:v>
      </x:c>
      <x:c r="P57" s="48" t="n">
        <x:v>0.9</x:v>
      </x:c>
      <x:c r="Q57" s="48" t="n">
        <x:v>0.7</x:v>
      </x:c>
      <x:c r="R57" s="48" t="n">
        <x:v>0.9</x:v>
      </x:c>
      <x:c r="S57" s="48" t="n">
        <x:v>1.1</x:v>
      </x:c>
      <x:c r="T57" s="48" t="n">
        <x:v>0.5</x:v>
      </x:c>
      <x:c r="U57" s="48" t="n">
        <x:v>0.7</x:v>
      </x:c>
      <x:c r="V57" s="48" t="n">
        <x:v>0.7</x:v>
      </x:c>
      <x:c r="W57" s="48" t="n">
        <x:v>0.5</x:v>
      </x:c>
      <x:c r="X57" s="48" t="n">
        <x:v>0.7</x:v>
      </x:c>
      <x:c r="Y57" s="48" t="n">
        <x:v>0.5</x:v>
      </x:c>
    </x:row>
    <x:row r="58">
      <x:c r="A58" t="n">
        <x:v>16</x:v>
      </x:c>
      <x:c r="B58" s="48" t="n">
        <x:v>0.9</x:v>
      </x:c>
      <x:c r="C58" s="48" t="n">
        <x:v>0.5</x:v>
      </x:c>
      <x:c r="D58" s="48" t="n">
        <x:v>0.7</x:v>
      </x:c>
      <x:c r="E58" s="48" t="n">
        <x:v>0.9</x:v>
      </x:c>
      <x:c r="F58" s="48" t="n">
        <x:v>0.7</x:v>
      </x:c>
      <x:c r="G58" s="48" t="n">
        <x:v>0.7</x:v>
      </x:c>
      <x:c r="H58" s="48" t="n">
        <x:v>0.9</x:v>
      </x:c>
      <x:c r="I58" s="48" t="n">
        <x:v>1.1</x:v>
      </x:c>
      <x:c r="J58" s="48" t="n">
        <x:v>0.9</x:v>
      </x:c>
      <x:c r="K58" s="48" t="n">
        <x:v>0.5</x:v>
      </x:c>
      <x:c r="L58" s="48" t="n">
        <x:v>0.5</x:v>
      </x:c>
      <x:c r="M58" s="48" t="n">
        <x:v>1.1</x:v>
      </x:c>
      <x:c r="N58" s="48" t="n">
        <x:v>0.9</x:v>
      </x:c>
      <x:c r="O58" s="48" t="n">
        <x:v>0.9</x:v>
      </x:c>
      <x:c r="P58" s="48" t="n">
        <x:v>0.9</x:v>
      </x:c>
      <x:c r="Q58" s="48" t="n">
        <x:v>0.5</x:v>
      </x:c>
      <x:c r="R58" s="48" t="n">
        <x:v>0.7</x:v>
      </x:c>
      <x:c r="S58" s="48" t="n">
        <x:v>0.9</x:v>
      </x:c>
      <x:c r="T58" s="48" t="n">
        <x:v>1.1</x:v>
      </x:c>
      <x:c r="U58" s="48" t="n">
        <x:v>0.7</x:v>
      </x:c>
      <x:c r="V58" s="48" t="n">
        <x:v>0.9</x:v>
      </x:c>
      <x:c r="W58" s="48" t="n">
        <x:v>0.5</x:v>
      </x:c>
      <x:c r="X58" s="48" t="n">
        <x:v>1.1</x:v>
      </x:c>
      <x:c r="Y58" s="48" t="n">
        <x:v>0.7</x:v>
      </x:c>
    </x:row>
    <x:row r="59">
      <x:c r="A59" t="n">
        <x:v>17</x:v>
      </x:c>
      <x:c r="B59" s="48" t="n">
        <x:v>0.9</x:v>
      </x:c>
      <x:c r="C59" s="48" t="n">
        <x:v>0.7</x:v>
      </x:c>
      <x:c r="D59" s="48" t="n">
        <x:v>0.9</x:v>
      </x:c>
      <x:c r="E59" s="48" t="n">
        <x:v>0.9</x:v>
      </x:c>
      <x:c r="F59" s="48" t="n">
        <x:v>0.7</x:v>
      </x:c>
      <x:c r="G59" s="48" t="n">
        <x:v>1.1</x:v>
      </x:c>
      <x:c r="H59" s="48" t="n">
        <x:v>1.1</x:v>
      </x:c>
      <x:c r="I59" s="48" t="n">
        <x:v>1.1</x:v>
      </x:c>
      <x:c r="J59" s="48" t="n">
        <x:v>0.7</x:v>
      </x:c>
      <x:c r="K59" s="48" t="n">
        <x:v>0.9</x:v>
      </x:c>
      <x:c r="L59" s="48" t="n">
        <x:v>0.9</x:v>
      </x:c>
      <x:c r="M59" s="48" t="n">
        <x:v>0.9</x:v>
      </x:c>
      <x:c r="N59" s="48" t="n">
        <x:v>0.7</x:v>
      </x:c>
      <x:c r="O59" s="48" t="n">
        <x:v>0.9</x:v>
      </x:c>
      <x:c r="P59" s="48" t="n">
        <x:v>0.5</x:v>
      </x:c>
      <x:c r="Q59" s="48" t="n">
        <x:v>0.7</x:v>
      </x:c>
      <x:c r="R59" s="48" t="n">
        <x:v>0.5</x:v>
      </x:c>
      <x:c r="S59" s="48" t="n">
        <x:v>0.7</x:v>
      </x:c>
      <x:c r="T59" s="48" t="n">
        <x:v>0.5</x:v>
      </x:c>
      <x:c r="U59" s="48" t="n">
        <x:v>0.7</x:v>
      </x:c>
      <x:c r="V59" s="48" t="n">
        <x:v>0.9</x:v>
      </x:c>
      <x:c r="W59" s="48" t="n">
        <x:v>0.9</x:v>
      </x:c>
      <x:c r="X59" s="48" t="n">
        <x:v>0.5</x:v>
      </x:c>
      <x:c r="Y59" s="48" t="n">
        <x:v>0.9</x:v>
      </x:c>
    </x:row>
    <x:row r="60">
      <x:c r="A60" t="n">
        <x:v>18</x:v>
      </x:c>
      <x:c r="B60" s="48" t="n">
        <x:v>1.1</x:v>
      </x:c>
      <x:c r="C60" s="48" t="n">
        <x:v>1.1</x:v>
      </x:c>
      <x:c r="D60" s="48" t="n">
        <x:v>1.1</x:v>
      </x:c>
      <x:c r="E60" s="48" t="n">
        <x:v>1.1</x:v>
      </x:c>
      <x:c r="F60" s="48" t="n">
        <x:v>0.9</x:v>
      </x:c>
      <x:c r="G60" s="48" t="n">
        <x:v>1.1</x:v>
      </x:c>
      <x:c r="H60" s="48" t="n">
        <x:v>1.1</x:v>
      </x:c>
      <x:c r="I60" s="48" t="n">
        <x:v>0.7</x:v>
      </x:c>
      <x:c r="J60" s="48" t="n">
        <x:v>1.1</x:v>
      </x:c>
      <x:c r="K60" s="48" t="n">
        <x:v>0.9</x:v>
      </x:c>
      <x:c r="L60" s="48" t="n">
        <x:v>0.9</x:v>
      </x:c>
      <x:c r="M60" s="48" t="n">
        <x:v>1.1</x:v>
      </x:c>
      <x:c r="N60" s="48" t="n">
        <x:v>0.7</x:v>
      </x:c>
      <x:c r="O60" s="48" t="n">
        <x:v>0.7</x:v>
      </x:c>
      <x:c r="P60" s="48" t="n">
        <x:v>0.9</x:v>
      </x:c>
      <x:c r="Q60" s="48" t="n">
        <x:v>0.9</x:v>
      </x:c>
      <x:c r="R60" s="48" t="n">
        <x:v>1.1</x:v>
      </x:c>
      <x:c r="S60" s="48" t="n">
        <x:v>1.1</x:v>
      </x:c>
      <x:c r="T60" s="48" t="n">
        <x:v>0.9</x:v>
      </x:c>
      <x:c r="U60" s="48" t="n">
        <x:v>1.1</x:v>
      </x:c>
      <x:c r="V60" s="48" t="n">
        <x:v>0.5</x:v>
      </x:c>
      <x:c r="W60" s="48" t="n">
        <x:v>1.1</x:v>
      </x:c>
      <x:c r="X60" s="48" t="n">
        <x:v>0.5</x:v>
      </x:c>
      <x:c r="Y60" s="48" t="n">
        <x:v>0.9</x:v>
      </x:c>
    </x:row>
    <x:row r="61">
      <x:c r="A61" t="n">
        <x:v>19</x:v>
      </x:c>
      <x:c r="B61" s="48" t="n">
        <x:v>0.5</x:v>
      </x:c>
      <x:c r="C61" s="48" t="n">
        <x:v>0.9</x:v>
      </x:c>
      <x:c r="D61" s="48" t="n">
        <x:v>0.7</x:v>
      </x:c>
      <x:c r="E61" s="48" t="n">
        <x:v>0.5</x:v>
      </x:c>
      <x:c r="F61" s="48" t="n">
        <x:v>0.9</x:v>
      </x:c>
      <x:c r="G61" s="48" t="n">
        <x:v>0.9</x:v>
      </x:c>
      <x:c r="H61" s="48" t="n">
        <x:v>0.5</x:v>
      </x:c>
      <x:c r="I61" s="48" t="n">
        <x:v>0.9</x:v>
      </x:c>
      <x:c r="J61" s="48" t="n">
        <x:v>0.5</x:v>
      </x:c>
      <x:c r="K61" s="48" t="n">
        <x:v>0.5</x:v>
      </x:c>
      <x:c r="L61" s="48" t="n">
        <x:v>0.5</x:v>
      </x:c>
      <x:c r="M61" s="48" t="n">
        <x:v>0.9</x:v>
      </x:c>
      <x:c r="N61" s="48" t="n">
        <x:v>0.9</x:v>
      </x:c>
      <x:c r="O61" s="48" t="n">
        <x:v>0.9</x:v>
      </x:c>
      <x:c r="P61" s="48" t="n">
        <x:v>1.1</x:v>
      </x:c>
      <x:c r="Q61" s="48" t="n">
        <x:v>0.9</x:v>
      </x:c>
      <x:c r="R61" s="48" t="n">
        <x:v>0.9</x:v>
      </x:c>
      <x:c r="S61" s="48" t="n">
        <x:v>1.1</x:v>
      </x:c>
      <x:c r="T61" s="48" t="n">
        <x:v>0.7</x:v>
      </x:c>
      <x:c r="U61" s="48" t="n">
        <x:v>0.5</x:v>
      </x:c>
      <x:c r="V61" s="48" t="n">
        <x:v>0.5</x:v>
      </x:c>
      <x:c r="W61" s="48" t="n">
        <x:v>0.9</x:v>
      </x:c>
      <x:c r="X61" s="48" t="n">
        <x:v>0.9</x:v>
      </x:c>
      <x:c r="Y61" s="48" t="n">
        <x:v>0.5</x:v>
      </x:c>
    </x:row>
    <x:row r="62">
      <x:c r="A62" t="n">
        <x:v>20</x:v>
      </x:c>
      <x:c r="B62" s="48" t="n">
        <x:v>1.1</x:v>
      </x:c>
      <x:c r="C62" s="48" t="n">
        <x:v>1.1</x:v>
      </x:c>
      <x:c r="D62" s="48" t="n">
        <x:v>0.7</x:v>
      </x:c>
      <x:c r="E62" s="48" t="n">
        <x:v>0.7</x:v>
      </x:c>
      <x:c r="F62" s="48" t="n">
        <x:v>0.7</x:v>
      </x:c>
      <x:c r="G62" s="48" t="n">
        <x:v>0.7</x:v>
      </x:c>
      <x:c r="H62" s="48" t="n">
        <x:v>1.1</x:v>
      </x:c>
      <x:c r="I62" s="48" t="n">
        <x:v>0.9</x:v>
      </x:c>
      <x:c r="J62" s="48" t="n">
        <x:v>0.5</x:v>
      </x:c>
      <x:c r="K62" s="48" t="n">
        <x:v>0.7</x:v>
      </x:c>
      <x:c r="L62" s="48" t="n">
        <x:v>0.5</x:v>
      </x:c>
      <x:c r="M62" s="48" t="n">
        <x:v>0.7</x:v>
      </x:c>
      <x:c r="N62" s="48" t="n">
        <x:v>0.7</x:v>
      </x:c>
      <x:c r="O62" s="48" t="n">
        <x:v>0.9</x:v>
      </x:c>
      <x:c r="P62" s="48" t="n">
        <x:v>0.9</x:v>
      </x:c>
      <x:c r="Q62" s="48" t="n">
        <x:v>1.1</x:v>
      </x:c>
      <x:c r="R62" s="48" t="n">
        <x:v>0.5</x:v>
      </x:c>
      <x:c r="S62" s="48" t="n">
        <x:v>0.9</x:v>
      </x:c>
      <x:c r="T62" s="48" t="n">
        <x:v>0.5</x:v>
      </x:c>
      <x:c r="U62" s="48" t="n">
        <x:v>0.7</x:v>
      </x:c>
      <x:c r="V62" s="48" t="n">
        <x:v>1.1</x:v>
      </x:c>
      <x:c r="W62" s="48" t="n">
        <x:v>0.9</x:v>
      </x:c>
      <x:c r="X62" s="48" t="n">
        <x:v>0.5</x:v>
      </x:c>
      <x:c r="Y62" s="48" t="n">
        <x:v>0.7</x:v>
      </x:c>
    </x:row>
    <x:row r="65">
      <x:c r="A65" s="26" t="str">
        <x:v>Случайные ежемесячные пополнения, руб.</x:v>
      </x:c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</x:row>
    <x:row r="66">
      <x:c r="A66" s="16" t="str">
        <x:v>Эксперимент</x:v>
      </x:c>
      <x:c r="B66" s="16" t="str">
        <x:v>М1</x:v>
      </x:c>
      <x:c r="C66" s="16" t="str">
        <x:v>М2</x:v>
      </x:c>
      <x:c r="D66" s="16" t="str">
        <x:v>М3</x:v>
      </x:c>
      <x:c r="E66" s="16" t="str">
        <x:v>М4</x:v>
      </x:c>
      <x:c r="F66" s="16" t="str">
        <x:v>М5</x:v>
      </x:c>
      <x:c r="G66" s="16" t="str">
        <x:v>М6</x:v>
      </x:c>
      <x:c r="H66" s="16" t="str">
        <x:v>М7</x:v>
      </x:c>
      <x:c r="I66" s="16" t="str">
        <x:v>М8</x:v>
      </x:c>
      <x:c r="J66" s="16" t="str">
        <x:v>М9</x:v>
      </x:c>
      <x:c r="K66" s="16" t="str">
        <x:v>М10</x:v>
      </x:c>
      <x:c r="L66" s="16" t="str">
        <x:v>М11</x:v>
      </x:c>
      <x:c r="M66" s="16" t="str">
        <x:v>М12</x:v>
      </x:c>
      <x:c r="N66" s="16" t="str">
        <x:v>М13</x:v>
      </x:c>
      <x:c r="O66" s="16" t="str">
        <x:v>М14</x:v>
      </x:c>
      <x:c r="P66" s="16" t="str">
        <x:v>М15</x:v>
      </x:c>
      <x:c r="Q66" s="16" t="str">
        <x:v>М16</x:v>
      </x:c>
      <x:c r="R66" s="16" t="str">
        <x:v>М17</x:v>
      </x:c>
      <x:c r="S66" s="16" t="str">
        <x:v>М18</x:v>
      </x:c>
      <x:c r="T66" s="16" t="str">
        <x:v>М19</x:v>
      </x:c>
      <x:c r="U66" s="16" t="str">
        <x:v>М20</x:v>
      </x:c>
      <x:c r="V66" s="16" t="str">
        <x:v>М21</x:v>
      </x:c>
      <x:c r="W66" s="16" t="str">
        <x:v>М22</x:v>
      </x:c>
      <x:c r="X66" s="16" t="str">
        <x:v>М23</x:v>
      </x:c>
      <x:c r="Y66" s="16" t="str">
        <x:v>М24</x:v>
      </x:c>
    </x:row>
    <x:row r="67">
      <x:c r="A67" t="n">
        <x:v>1</x:v>
      </x:c>
      <x:c r="B67" s="52" t="n">
        <x:v>15000</x:v>
      </x:c>
      <x:c r="C67" s="52" t="n">
        <x:v>20000</x:v>
      </x:c>
      <x:c r="D67" s="52" t="n">
        <x:v>15000</x:v>
      </x:c>
      <x:c r="E67" s="52" t="n">
        <x:v>5000</x:v>
      </x:c>
      <x:c r="F67" s="52" t="n">
        <x:v>10000</x:v>
      </x:c>
      <x:c r="G67" s="52" t="n">
        <x:v>5000</x:v>
      </x:c>
      <x:c r="H67" s="52" t="n">
        <x:v>5000</x:v>
      </x:c>
      <x:c r="I67" s="52" t="n">
        <x:v>10000</x:v>
      </x:c>
      <x:c r="J67" s="52" t="n">
        <x:v>15000</x:v>
      </x:c>
      <x:c r="K67" s="52" t="n">
        <x:v>5000</x:v>
      </x:c>
      <x:c r="L67" s="52" t="n">
        <x:v>15000</x:v>
      </x:c>
      <x:c r="M67" s="52" t="n">
        <x:v>15000</x:v>
      </x:c>
      <x:c r="N67" s="52" t="n">
        <x:v>15000</x:v>
      </x:c>
      <x:c r="O67" s="52" t="n">
        <x:v>5000</x:v>
      </x:c>
      <x:c r="P67" s="52" t="n">
        <x:v>10000</x:v>
      </x:c>
      <x:c r="Q67" s="52" t="n">
        <x:v>5000</x:v>
      </x:c>
      <x:c r="R67" s="52" t="n">
        <x:v>5000</x:v>
      </x:c>
      <x:c r="S67" s="52" t="n">
        <x:v>10000</x:v>
      </x:c>
      <x:c r="T67" s="52" t="n">
        <x:v>10000</x:v>
      </x:c>
      <x:c r="U67" s="52" t="n">
        <x:v>5000</x:v>
      </x:c>
      <x:c r="V67" s="52" t="n">
        <x:v>5000</x:v>
      </x:c>
      <x:c r="W67" s="52" t="n">
        <x:v>20000</x:v>
      </x:c>
      <x:c r="X67" s="52" t="n">
        <x:v>15000</x:v>
      </x:c>
      <x:c r="Y67" s="52" t="n">
        <x:v>10000</x:v>
      </x:c>
    </x:row>
    <x:row r="68">
      <x:c r="A68" t="n">
        <x:v>2</x:v>
      </x:c>
      <x:c r="B68" s="52" t="n">
        <x:v>20000</x:v>
      </x:c>
      <x:c r="C68" s="52" t="n">
        <x:v>5000</x:v>
      </x:c>
      <x:c r="D68" s="52" t="n">
        <x:v>10000</x:v>
      </x:c>
      <x:c r="E68" s="52" t="n">
        <x:v>15000</x:v>
      </x:c>
      <x:c r="F68" s="52" t="n">
        <x:v>10000</x:v>
      </x:c>
      <x:c r="G68" s="52" t="n">
        <x:v>5000</x:v>
      </x:c>
      <x:c r="H68" s="52" t="n">
        <x:v>10000</x:v>
      </x:c>
      <x:c r="I68" s="52" t="n">
        <x:v>10000</x:v>
      </x:c>
      <x:c r="J68" s="52" t="n">
        <x:v>15000</x:v>
      </x:c>
      <x:c r="K68" s="52" t="n">
        <x:v>10000</x:v>
      </x:c>
      <x:c r="L68" s="52" t="n">
        <x:v>10000</x:v>
      </x:c>
      <x:c r="M68" s="52" t="n">
        <x:v>10000</x:v>
      </x:c>
      <x:c r="N68" s="52" t="n">
        <x:v>10000</x:v>
      </x:c>
      <x:c r="O68" s="52" t="n">
        <x:v>5000</x:v>
      </x:c>
      <x:c r="P68" s="52" t="n">
        <x:v>20000</x:v>
      </x:c>
      <x:c r="Q68" s="52" t="n">
        <x:v>15000</x:v>
      </x:c>
      <x:c r="R68" s="52" t="n">
        <x:v>10000</x:v>
      </x:c>
      <x:c r="S68" s="52" t="n">
        <x:v>15000</x:v>
      </x:c>
      <x:c r="T68" s="52" t="n">
        <x:v>5000</x:v>
      </x:c>
      <x:c r="U68" s="52" t="n">
        <x:v>10000</x:v>
      </x:c>
      <x:c r="V68" s="52" t="n">
        <x:v>10000</x:v>
      </x:c>
      <x:c r="W68" s="52" t="n">
        <x:v>10000</x:v>
      </x:c>
      <x:c r="X68" s="52" t="n">
        <x:v>15000</x:v>
      </x:c>
      <x:c r="Y68" s="52" t="n">
        <x:v>20000</x:v>
      </x:c>
    </x:row>
    <x:row r="69">
      <x:c r="A69" t="n">
        <x:v>3</x:v>
      </x:c>
      <x:c r="B69" s="52" t="n">
        <x:v>10000</x:v>
      </x:c>
      <x:c r="C69" s="52" t="n">
        <x:v>10000</x:v>
      </x:c>
      <x:c r="D69" s="52" t="n">
        <x:v>15000</x:v>
      </x:c>
      <x:c r="E69" s="52" t="n">
        <x:v>10000</x:v>
      </x:c>
      <x:c r="F69" s="52" t="n">
        <x:v>5000</x:v>
      </x:c>
      <x:c r="G69" s="52" t="n">
        <x:v>20000</x:v>
      </x:c>
      <x:c r="H69" s="52" t="n">
        <x:v>15000</x:v>
      </x:c>
      <x:c r="I69" s="52" t="n">
        <x:v>20000</x:v>
      </x:c>
      <x:c r="J69" s="52" t="n">
        <x:v>5000</x:v>
      </x:c>
      <x:c r="K69" s="52" t="n">
        <x:v>5000</x:v>
      </x:c>
      <x:c r="L69" s="52" t="n">
        <x:v>10000</x:v>
      </x:c>
      <x:c r="M69" s="52" t="n">
        <x:v>20000</x:v>
      </x:c>
      <x:c r="N69" s="52" t="n">
        <x:v>5000</x:v>
      </x:c>
      <x:c r="O69" s="52" t="n">
        <x:v>5000</x:v>
      </x:c>
      <x:c r="P69" s="52" t="n">
        <x:v>5000</x:v>
      </x:c>
      <x:c r="Q69" s="52" t="n">
        <x:v>15000</x:v>
      </x:c>
      <x:c r="R69" s="52" t="n">
        <x:v>15000</x:v>
      </x:c>
      <x:c r="S69" s="52" t="n">
        <x:v>15000</x:v>
      </x:c>
      <x:c r="T69" s="52" t="n">
        <x:v>5000</x:v>
      </x:c>
      <x:c r="U69" s="52" t="n">
        <x:v>15000</x:v>
      </x:c>
      <x:c r="V69" s="52" t="n">
        <x:v>10000</x:v>
      </x:c>
      <x:c r="W69" s="52" t="n">
        <x:v>5000</x:v>
      </x:c>
      <x:c r="X69" s="52" t="n">
        <x:v>10000</x:v>
      </x:c>
      <x:c r="Y69" s="52" t="n">
        <x:v>10000</x:v>
      </x:c>
    </x:row>
    <x:row r="70">
      <x:c r="A70" t="n">
        <x:v>4</x:v>
      </x:c>
      <x:c r="B70" s="52" t="n">
        <x:v>10000</x:v>
      </x:c>
      <x:c r="C70" s="52" t="n">
        <x:v>20000</x:v>
      </x:c>
      <x:c r="D70" s="52" t="n">
        <x:v>10000</x:v>
      </x:c>
      <x:c r="E70" s="52" t="n">
        <x:v>10000</x:v>
      </x:c>
      <x:c r="F70" s="52" t="n">
        <x:v>15000</x:v>
      </x:c>
      <x:c r="G70" s="52" t="n">
        <x:v>15000</x:v>
      </x:c>
      <x:c r="H70" s="52" t="n">
        <x:v>5000</x:v>
      </x:c>
      <x:c r="I70" s="52" t="n">
        <x:v>15000</x:v>
      </x:c>
      <x:c r="J70" s="52" t="n">
        <x:v>5000</x:v>
      </x:c>
      <x:c r="K70" s="52" t="n">
        <x:v>10000</x:v>
      </x:c>
      <x:c r="L70" s="52" t="n">
        <x:v>15000</x:v>
      </x:c>
      <x:c r="M70" s="52" t="n">
        <x:v>10000</x:v>
      </x:c>
      <x:c r="N70" s="52" t="n">
        <x:v>10000</x:v>
      </x:c>
      <x:c r="O70" s="52" t="n">
        <x:v>5000</x:v>
      </x:c>
      <x:c r="P70" s="52" t="n">
        <x:v>10000</x:v>
      </x:c>
      <x:c r="Q70" s="52" t="n">
        <x:v>10000</x:v>
      </x:c>
      <x:c r="R70" s="52" t="n">
        <x:v>20000</x:v>
      </x:c>
      <x:c r="S70" s="52" t="n">
        <x:v>10000</x:v>
      </x:c>
      <x:c r="T70" s="52" t="n">
        <x:v>20000</x:v>
      </x:c>
      <x:c r="U70" s="52" t="n">
        <x:v>10000</x:v>
      </x:c>
      <x:c r="V70" s="52" t="n">
        <x:v>15000</x:v>
      </x:c>
      <x:c r="W70" s="52" t="n">
        <x:v>5000</x:v>
      </x:c>
      <x:c r="X70" s="52" t="n">
        <x:v>10000</x:v>
      </x:c>
      <x:c r="Y70" s="52" t="n">
        <x:v>5000</x:v>
      </x:c>
    </x:row>
    <x:row r="71">
      <x:c r="A71" t="n">
        <x:v>5</x:v>
      </x:c>
      <x:c r="B71" s="52" t="n">
        <x:v>5000</x:v>
      </x:c>
      <x:c r="C71" s="52" t="n">
        <x:v>20000</x:v>
      </x:c>
      <x:c r="D71" s="52" t="n">
        <x:v>15000</x:v>
      </x:c>
      <x:c r="E71" s="52" t="n">
        <x:v>15000</x:v>
      </x:c>
      <x:c r="F71" s="52" t="n">
        <x:v>10000</x:v>
      </x:c>
      <x:c r="G71" s="52" t="n">
        <x:v>10000</x:v>
      </x:c>
      <x:c r="H71" s="52" t="n">
        <x:v>15000</x:v>
      </x:c>
      <x:c r="I71" s="52" t="n">
        <x:v>15000</x:v>
      </x:c>
      <x:c r="J71" s="52" t="n">
        <x:v>10000</x:v>
      </x:c>
      <x:c r="K71" s="52" t="n">
        <x:v>15000</x:v>
      </x:c>
      <x:c r="L71" s="52" t="n">
        <x:v>10000</x:v>
      </x:c>
      <x:c r="M71" s="52" t="n">
        <x:v>20000</x:v>
      </x:c>
      <x:c r="N71" s="52" t="n">
        <x:v>5000</x:v>
      </x:c>
      <x:c r="O71" s="52" t="n">
        <x:v>10000</x:v>
      </x:c>
      <x:c r="P71" s="52" t="n">
        <x:v>20000</x:v>
      </x:c>
      <x:c r="Q71" s="52" t="n">
        <x:v>5000</x:v>
      </x:c>
      <x:c r="R71" s="52" t="n">
        <x:v>5000</x:v>
      </x:c>
      <x:c r="S71" s="52" t="n">
        <x:v>10000</x:v>
      </x:c>
      <x:c r="T71" s="52" t="n">
        <x:v>10000</x:v>
      </x:c>
      <x:c r="U71" s="52" t="n">
        <x:v>20000</x:v>
      </x:c>
      <x:c r="V71" s="52" t="n">
        <x:v>15000</x:v>
      </x:c>
      <x:c r="W71" s="52" t="n">
        <x:v>10000</x:v>
      </x:c>
      <x:c r="X71" s="52" t="n">
        <x:v>20000</x:v>
      </x:c>
      <x:c r="Y71" s="52" t="n">
        <x:v>15000</x:v>
      </x:c>
    </x:row>
    <x:row r="72">
      <x:c r="A72" t="n">
        <x:v>6</x:v>
      </x:c>
      <x:c r="B72" s="52" t="n">
        <x:v>20000</x:v>
      </x:c>
      <x:c r="C72" s="52" t="n">
        <x:v>5000</x:v>
      </x:c>
      <x:c r="D72" s="52" t="n">
        <x:v>10000</x:v>
      </x:c>
      <x:c r="E72" s="52" t="n">
        <x:v>5000</x:v>
      </x:c>
      <x:c r="F72" s="52" t="n">
        <x:v>5000</x:v>
      </x:c>
      <x:c r="G72" s="52" t="n">
        <x:v>15000</x:v>
      </x:c>
      <x:c r="H72" s="52" t="n">
        <x:v>5000</x:v>
      </x:c>
      <x:c r="I72" s="52" t="n">
        <x:v>10000</x:v>
      </x:c>
      <x:c r="J72" s="52" t="n">
        <x:v>15000</x:v>
      </x:c>
      <x:c r="K72" s="52" t="n">
        <x:v>5000</x:v>
      </x:c>
      <x:c r="L72" s="52" t="n">
        <x:v>10000</x:v>
      </x:c>
      <x:c r="M72" s="52" t="n">
        <x:v>15000</x:v>
      </x:c>
      <x:c r="N72" s="52" t="n">
        <x:v>20000</x:v>
      </x:c>
      <x:c r="O72" s="52" t="n">
        <x:v>10000</x:v>
      </x:c>
      <x:c r="P72" s="52" t="n">
        <x:v>20000</x:v>
      </x:c>
      <x:c r="Q72" s="52" t="n">
        <x:v>15000</x:v>
      </x:c>
      <x:c r="R72" s="52" t="n">
        <x:v>15000</x:v>
      </x:c>
      <x:c r="S72" s="52" t="n">
        <x:v>10000</x:v>
      </x:c>
      <x:c r="T72" s="52" t="n">
        <x:v>15000</x:v>
      </x:c>
      <x:c r="U72" s="52" t="n">
        <x:v>15000</x:v>
      </x:c>
      <x:c r="V72" s="52" t="n">
        <x:v>10000</x:v>
      </x:c>
      <x:c r="W72" s="52" t="n">
        <x:v>20000</x:v>
      </x:c>
      <x:c r="X72" s="52" t="n">
        <x:v>20000</x:v>
      </x:c>
      <x:c r="Y72" s="52" t="n">
        <x:v>10000</x:v>
      </x:c>
    </x:row>
    <x:row r="73">
      <x:c r="A73" t="n">
        <x:v>7</x:v>
      </x:c>
      <x:c r="B73" s="52" t="n">
        <x:v>15000</x:v>
      </x:c>
      <x:c r="C73" s="52" t="n">
        <x:v>10000</x:v>
      </x:c>
      <x:c r="D73" s="52" t="n">
        <x:v>15000</x:v>
      </x:c>
      <x:c r="E73" s="52" t="n">
        <x:v>15000</x:v>
      </x:c>
      <x:c r="F73" s="52" t="n">
        <x:v>5000</x:v>
      </x:c>
      <x:c r="G73" s="52" t="n">
        <x:v>5000</x:v>
      </x:c>
      <x:c r="H73" s="52" t="n">
        <x:v>10000</x:v>
      </x:c>
      <x:c r="I73" s="52" t="n">
        <x:v>20000</x:v>
      </x:c>
      <x:c r="J73" s="52" t="n">
        <x:v>10000</x:v>
      </x:c>
      <x:c r="K73" s="52" t="n">
        <x:v>20000</x:v>
      </x:c>
      <x:c r="L73" s="52" t="n">
        <x:v>10000</x:v>
      </x:c>
      <x:c r="M73" s="52" t="n">
        <x:v>10000</x:v>
      </x:c>
      <x:c r="N73" s="52" t="n">
        <x:v>20000</x:v>
      </x:c>
      <x:c r="O73" s="52" t="n">
        <x:v>10000</x:v>
      </x:c>
      <x:c r="P73" s="52" t="n">
        <x:v>10000</x:v>
      </x:c>
      <x:c r="Q73" s="52" t="n">
        <x:v>5000</x:v>
      </x:c>
      <x:c r="R73" s="52" t="n">
        <x:v>5000</x:v>
      </x:c>
      <x:c r="S73" s="52" t="n">
        <x:v>5000</x:v>
      </x:c>
      <x:c r="T73" s="52" t="n">
        <x:v>10000</x:v>
      </x:c>
      <x:c r="U73" s="52" t="n">
        <x:v>15000</x:v>
      </x:c>
      <x:c r="V73" s="52" t="n">
        <x:v>10000</x:v>
      </x:c>
      <x:c r="W73" s="52" t="n">
        <x:v>5000</x:v>
      </x:c>
      <x:c r="X73" s="52" t="n">
        <x:v>10000</x:v>
      </x:c>
      <x:c r="Y73" s="52" t="n">
        <x:v>10000</x:v>
      </x:c>
    </x:row>
    <x:row r="74">
      <x:c r="A74" t="n">
        <x:v>8</x:v>
      </x:c>
      <x:c r="B74" s="52" t="n">
        <x:v>20000</x:v>
      </x:c>
      <x:c r="C74" s="52" t="n">
        <x:v>10000</x:v>
      </x:c>
      <x:c r="D74" s="52" t="n">
        <x:v>5000</x:v>
      </x:c>
      <x:c r="E74" s="52" t="n">
        <x:v>10000</x:v>
      </x:c>
      <x:c r="F74" s="52" t="n">
        <x:v>20000</x:v>
      </x:c>
      <x:c r="G74" s="52" t="n">
        <x:v>15000</x:v>
      </x:c>
      <x:c r="H74" s="52" t="n">
        <x:v>15000</x:v>
      </x:c>
      <x:c r="I74" s="52" t="n">
        <x:v>20000</x:v>
      </x:c>
      <x:c r="J74" s="52" t="n">
        <x:v>15000</x:v>
      </x:c>
      <x:c r="K74" s="52" t="n">
        <x:v>20000</x:v>
      </x:c>
      <x:c r="L74" s="52" t="n">
        <x:v>5000</x:v>
      </x:c>
      <x:c r="M74" s="52" t="n">
        <x:v>15000</x:v>
      </x:c>
      <x:c r="N74" s="52" t="n">
        <x:v>20000</x:v>
      </x:c>
      <x:c r="O74" s="52" t="n">
        <x:v>20000</x:v>
      </x:c>
      <x:c r="P74" s="52" t="n">
        <x:v>10000</x:v>
      </x:c>
      <x:c r="Q74" s="52" t="n">
        <x:v>15000</x:v>
      </x:c>
      <x:c r="R74" s="52" t="n">
        <x:v>5000</x:v>
      </x:c>
      <x:c r="S74" s="52" t="n">
        <x:v>15000</x:v>
      </x:c>
      <x:c r="T74" s="52" t="n">
        <x:v>10000</x:v>
      </x:c>
      <x:c r="U74" s="52" t="n">
        <x:v>10000</x:v>
      </x:c>
      <x:c r="V74" s="52" t="n">
        <x:v>15000</x:v>
      </x:c>
      <x:c r="W74" s="52" t="n">
        <x:v>10000</x:v>
      </x:c>
      <x:c r="X74" s="52" t="n">
        <x:v>5000</x:v>
      </x:c>
      <x:c r="Y74" s="52" t="n">
        <x:v>10000</x:v>
      </x:c>
    </x:row>
    <x:row r="75">
      <x:c r="A75" t="n">
        <x:v>9</x:v>
      </x:c>
      <x:c r="B75" s="52" t="n">
        <x:v>15000</x:v>
      </x:c>
      <x:c r="C75" s="52" t="n">
        <x:v>15000</x:v>
      </x:c>
      <x:c r="D75" s="52" t="n">
        <x:v>15000</x:v>
      </x:c>
      <x:c r="E75" s="52" t="n">
        <x:v>5000</x:v>
      </x:c>
      <x:c r="F75" s="52" t="n">
        <x:v>15000</x:v>
      </x:c>
      <x:c r="G75" s="52" t="n">
        <x:v>15000</x:v>
      </x:c>
      <x:c r="H75" s="52" t="n">
        <x:v>5000</x:v>
      </x:c>
      <x:c r="I75" s="52" t="n">
        <x:v>10000</x:v>
      </x:c>
      <x:c r="J75" s="52" t="n">
        <x:v>10000</x:v>
      </x:c>
      <x:c r="K75" s="52" t="n">
        <x:v>10000</x:v>
      </x:c>
      <x:c r="L75" s="52" t="n">
        <x:v>5000</x:v>
      </x:c>
      <x:c r="M75" s="52" t="n">
        <x:v>5000</x:v>
      </x:c>
      <x:c r="N75" s="52" t="n">
        <x:v>5000</x:v>
      </x:c>
      <x:c r="O75" s="52" t="n">
        <x:v>5000</x:v>
      </x:c>
      <x:c r="P75" s="52" t="n">
        <x:v>10000</x:v>
      </x:c>
      <x:c r="Q75" s="52" t="n">
        <x:v>15000</x:v>
      </x:c>
      <x:c r="R75" s="52" t="n">
        <x:v>10000</x:v>
      </x:c>
      <x:c r="S75" s="52" t="n">
        <x:v>10000</x:v>
      </x:c>
      <x:c r="T75" s="52" t="n">
        <x:v>15000</x:v>
      </x:c>
      <x:c r="U75" s="52" t="n">
        <x:v>10000</x:v>
      </x:c>
      <x:c r="V75" s="52" t="n">
        <x:v>5000</x:v>
      </x:c>
      <x:c r="W75" s="52" t="n">
        <x:v>5000</x:v>
      </x:c>
      <x:c r="X75" s="52" t="n">
        <x:v>5000</x:v>
      </x:c>
      <x:c r="Y75" s="52" t="n">
        <x:v>10000</x:v>
      </x:c>
    </x:row>
    <x:row r="76">
      <x:c r="A76" t="n">
        <x:v>10</x:v>
      </x:c>
      <x:c r="B76" s="52" t="n">
        <x:v>10000</x:v>
      </x:c>
      <x:c r="C76" s="52" t="n">
        <x:v>10000</x:v>
      </x:c>
      <x:c r="D76" s="52" t="n">
        <x:v>10000</x:v>
      </x:c>
      <x:c r="E76" s="52" t="n">
        <x:v>20000</x:v>
      </x:c>
      <x:c r="F76" s="52" t="n">
        <x:v>10000</x:v>
      </x:c>
      <x:c r="G76" s="52" t="n">
        <x:v>10000</x:v>
      </x:c>
      <x:c r="H76" s="52" t="n">
        <x:v>10000</x:v>
      </x:c>
      <x:c r="I76" s="52" t="n">
        <x:v>15000</x:v>
      </x:c>
      <x:c r="J76" s="52" t="n">
        <x:v>15000</x:v>
      </x:c>
      <x:c r="K76" s="52" t="n">
        <x:v>15000</x:v>
      </x:c>
      <x:c r="L76" s="52" t="n">
        <x:v>5000</x:v>
      </x:c>
      <x:c r="M76" s="52" t="n">
        <x:v>10000</x:v>
      </x:c>
      <x:c r="N76" s="52" t="n">
        <x:v>15000</x:v>
      </x:c>
      <x:c r="O76" s="52" t="n">
        <x:v>10000</x:v>
      </x:c>
      <x:c r="P76" s="52" t="n">
        <x:v>20000</x:v>
      </x:c>
      <x:c r="Q76" s="52" t="n">
        <x:v>10000</x:v>
      </x:c>
      <x:c r="R76" s="52" t="n">
        <x:v>10000</x:v>
      </x:c>
      <x:c r="S76" s="52" t="n">
        <x:v>10000</x:v>
      </x:c>
      <x:c r="T76" s="52" t="n">
        <x:v>10000</x:v>
      </x:c>
      <x:c r="U76" s="52" t="n">
        <x:v>15000</x:v>
      </x:c>
      <x:c r="V76" s="52" t="n">
        <x:v>5000</x:v>
      </x:c>
      <x:c r="W76" s="52" t="n">
        <x:v>10000</x:v>
      </x:c>
      <x:c r="X76" s="52" t="n">
        <x:v>15000</x:v>
      </x:c>
      <x:c r="Y76" s="52" t="n">
        <x:v>20000</x:v>
      </x:c>
    </x:row>
    <x:row r="77">
      <x:c r="A77" t="n">
        <x:v>11</x:v>
      </x:c>
      <x:c r="B77" s="52" t="n">
        <x:v>15000</x:v>
      </x:c>
      <x:c r="C77" s="52" t="n">
        <x:v>20000</x:v>
      </x:c>
      <x:c r="D77" s="52" t="n">
        <x:v>20000</x:v>
      </x:c>
      <x:c r="E77" s="52" t="n">
        <x:v>10000</x:v>
      </x:c>
      <x:c r="F77" s="52" t="n">
        <x:v>20000</x:v>
      </x:c>
      <x:c r="G77" s="52" t="n">
        <x:v>20000</x:v>
      </x:c>
      <x:c r="H77" s="52" t="n">
        <x:v>10000</x:v>
      </x:c>
      <x:c r="I77" s="52" t="n">
        <x:v>15000</x:v>
      </x:c>
      <x:c r="J77" s="52" t="n">
        <x:v>10000</x:v>
      </x:c>
      <x:c r="K77" s="52" t="n">
        <x:v>15000</x:v>
      </x:c>
      <x:c r="L77" s="52" t="n">
        <x:v>5000</x:v>
      </x:c>
      <x:c r="M77" s="52" t="n">
        <x:v>15000</x:v>
      </x:c>
      <x:c r="N77" s="52" t="n">
        <x:v>10000</x:v>
      </x:c>
      <x:c r="O77" s="52" t="n">
        <x:v>10000</x:v>
      </x:c>
      <x:c r="P77" s="52" t="n">
        <x:v>5000</x:v>
      </x:c>
      <x:c r="Q77" s="52" t="n">
        <x:v>15000</x:v>
      </x:c>
      <x:c r="R77" s="52" t="n">
        <x:v>10000</x:v>
      </x:c>
      <x:c r="S77" s="52" t="n">
        <x:v>15000</x:v>
      </x:c>
      <x:c r="T77" s="52" t="n">
        <x:v>10000</x:v>
      </x:c>
      <x:c r="U77" s="52" t="n">
        <x:v>5000</x:v>
      </x:c>
      <x:c r="V77" s="52" t="n">
        <x:v>10000</x:v>
      </x:c>
      <x:c r="W77" s="52" t="n">
        <x:v>20000</x:v>
      </x:c>
      <x:c r="X77" s="52" t="n">
        <x:v>5000</x:v>
      </x:c>
      <x:c r="Y77" s="52" t="n">
        <x:v>15000</x:v>
      </x:c>
    </x:row>
    <x:row r="78">
      <x:c r="A78" t="n">
        <x:v>12</x:v>
      </x:c>
      <x:c r="B78" s="52" t="n">
        <x:v>5000</x:v>
      </x:c>
      <x:c r="C78" s="52" t="n">
        <x:v>15000</x:v>
      </x:c>
      <x:c r="D78" s="52" t="n">
        <x:v>5000</x:v>
      </x:c>
      <x:c r="E78" s="52" t="n">
        <x:v>10000</x:v>
      </x:c>
      <x:c r="F78" s="52" t="n">
        <x:v>10000</x:v>
      </x:c>
      <x:c r="G78" s="52" t="n">
        <x:v>5000</x:v>
      </x:c>
      <x:c r="H78" s="52" t="n">
        <x:v>10000</x:v>
      </x:c>
      <x:c r="I78" s="52" t="n">
        <x:v>10000</x:v>
      </x:c>
      <x:c r="J78" s="52" t="n">
        <x:v>10000</x:v>
      </x:c>
      <x:c r="K78" s="52" t="n">
        <x:v>20000</x:v>
      </x:c>
      <x:c r="L78" s="52" t="n">
        <x:v>10000</x:v>
      </x:c>
      <x:c r="M78" s="52" t="n">
        <x:v>20000</x:v>
      </x:c>
      <x:c r="N78" s="52" t="n">
        <x:v>10000</x:v>
      </x:c>
      <x:c r="O78" s="52" t="n">
        <x:v>5000</x:v>
      </x:c>
      <x:c r="P78" s="52" t="n">
        <x:v>5000</x:v>
      </x:c>
      <x:c r="Q78" s="52" t="n">
        <x:v>10000</x:v>
      </x:c>
      <x:c r="R78" s="52" t="n">
        <x:v>10000</x:v>
      </x:c>
      <x:c r="S78" s="52" t="n">
        <x:v>20000</x:v>
      </x:c>
      <x:c r="T78" s="52" t="n">
        <x:v>15000</x:v>
      </x:c>
      <x:c r="U78" s="52" t="n">
        <x:v>10000</x:v>
      </x:c>
      <x:c r="V78" s="52" t="n">
        <x:v>10000</x:v>
      </x:c>
      <x:c r="W78" s="52" t="n">
        <x:v>10000</x:v>
      </x:c>
      <x:c r="X78" s="52" t="n">
        <x:v>15000</x:v>
      </x:c>
      <x:c r="Y78" s="52" t="n">
        <x:v>5000</x:v>
      </x:c>
    </x:row>
    <x:row r="79">
      <x:c r="A79" t="n">
        <x:v>13</x:v>
      </x:c>
      <x:c r="B79" s="52" t="n">
        <x:v>5000</x:v>
      </x:c>
      <x:c r="C79" s="52" t="n">
        <x:v>10000</x:v>
      </x:c>
      <x:c r="D79" s="52" t="n">
        <x:v>5000</x:v>
      </x:c>
      <x:c r="E79" s="52" t="n">
        <x:v>15000</x:v>
      </x:c>
      <x:c r="F79" s="52" t="n">
        <x:v>5000</x:v>
      </x:c>
      <x:c r="G79" s="52" t="n">
        <x:v>5000</x:v>
      </x:c>
      <x:c r="H79" s="52" t="n">
        <x:v>20000</x:v>
      </x:c>
      <x:c r="I79" s="52" t="n">
        <x:v>20000</x:v>
      </x:c>
      <x:c r="J79" s="52" t="n">
        <x:v>10000</x:v>
      </x:c>
      <x:c r="K79" s="52" t="n">
        <x:v>10000</x:v>
      </x:c>
      <x:c r="L79" s="52" t="n">
        <x:v>15000</x:v>
      </x:c>
      <x:c r="M79" s="52" t="n">
        <x:v>5000</x:v>
      </x:c>
      <x:c r="N79" s="52" t="n">
        <x:v>10000</x:v>
      </x:c>
      <x:c r="O79" s="52" t="n">
        <x:v>5000</x:v>
      </x:c>
      <x:c r="P79" s="52" t="n">
        <x:v>10000</x:v>
      </x:c>
      <x:c r="Q79" s="52" t="n">
        <x:v>20000</x:v>
      </x:c>
      <x:c r="R79" s="52" t="n">
        <x:v>15000</x:v>
      </x:c>
      <x:c r="S79" s="52" t="n">
        <x:v>20000</x:v>
      </x:c>
      <x:c r="T79" s="52" t="n">
        <x:v>15000</x:v>
      </x:c>
      <x:c r="U79" s="52" t="n">
        <x:v>15000</x:v>
      </x:c>
      <x:c r="V79" s="52" t="n">
        <x:v>15000</x:v>
      </x:c>
      <x:c r="W79" s="52" t="n">
        <x:v>15000</x:v>
      </x:c>
      <x:c r="X79" s="52" t="n">
        <x:v>10000</x:v>
      </x:c>
      <x:c r="Y79" s="52" t="n">
        <x:v>10000</x:v>
      </x:c>
    </x:row>
    <x:row r="80">
      <x:c r="A80" t="n">
        <x:v>14</x:v>
      </x:c>
      <x:c r="B80" s="52" t="n">
        <x:v>10000</x:v>
      </x:c>
      <x:c r="C80" s="52" t="n">
        <x:v>10000</x:v>
      </x:c>
      <x:c r="D80" s="52" t="n">
        <x:v>10000</x:v>
      </x:c>
      <x:c r="E80" s="52" t="n">
        <x:v>5000</x:v>
      </x:c>
      <x:c r="F80" s="52" t="n">
        <x:v>10000</x:v>
      </x:c>
      <x:c r="G80" s="52" t="n">
        <x:v>5000</x:v>
      </x:c>
      <x:c r="H80" s="52" t="n">
        <x:v>10000</x:v>
      </x:c>
      <x:c r="I80" s="52" t="n">
        <x:v>10000</x:v>
      </x:c>
      <x:c r="J80" s="52" t="n">
        <x:v>5000</x:v>
      </x:c>
      <x:c r="K80" s="52" t="n">
        <x:v>20000</x:v>
      </x:c>
      <x:c r="L80" s="52" t="n">
        <x:v>10000</x:v>
      </x:c>
      <x:c r="M80" s="52" t="n">
        <x:v>10000</x:v>
      </x:c>
      <x:c r="N80" s="52" t="n">
        <x:v>5000</x:v>
      </x:c>
      <x:c r="O80" s="52" t="n">
        <x:v>15000</x:v>
      </x:c>
      <x:c r="P80" s="52" t="n">
        <x:v>15000</x:v>
      </x:c>
      <x:c r="Q80" s="52" t="n">
        <x:v>10000</x:v>
      </x:c>
      <x:c r="R80" s="52" t="n">
        <x:v>5000</x:v>
      </x:c>
      <x:c r="S80" s="52" t="n">
        <x:v>15000</x:v>
      </x:c>
      <x:c r="T80" s="52" t="n">
        <x:v>20000</x:v>
      </x:c>
      <x:c r="U80" s="52" t="n">
        <x:v>10000</x:v>
      </x:c>
      <x:c r="V80" s="52" t="n">
        <x:v>5000</x:v>
      </x:c>
      <x:c r="W80" s="52" t="n">
        <x:v>5000</x:v>
      </x:c>
      <x:c r="X80" s="52" t="n">
        <x:v>5000</x:v>
      </x:c>
      <x:c r="Y80" s="52" t="n">
        <x:v>15000</x:v>
      </x:c>
    </x:row>
    <x:row r="81">
      <x:c r="A81" t="n">
        <x:v>15</x:v>
      </x:c>
      <x:c r="B81" s="52" t="n">
        <x:v>20000</x:v>
      </x:c>
      <x:c r="C81" s="52" t="n">
        <x:v>20000</x:v>
      </x:c>
      <x:c r="D81" s="52" t="n">
        <x:v>15000</x:v>
      </x:c>
      <x:c r="E81" s="52" t="n">
        <x:v>5000</x:v>
      </x:c>
      <x:c r="F81" s="52" t="n">
        <x:v>20000</x:v>
      </x:c>
      <x:c r="G81" s="52" t="n">
        <x:v>10000</x:v>
      </x:c>
      <x:c r="H81" s="52" t="n">
        <x:v>10000</x:v>
      </x:c>
      <x:c r="I81" s="52" t="n">
        <x:v>15000</x:v>
      </x:c>
      <x:c r="J81" s="52" t="n">
        <x:v>5000</x:v>
      </x:c>
      <x:c r="K81" s="52" t="n">
        <x:v>15000</x:v>
      </x:c>
      <x:c r="L81" s="52" t="n">
        <x:v>20000</x:v>
      </x:c>
      <x:c r="M81" s="52" t="n">
        <x:v>15000</x:v>
      </x:c>
      <x:c r="N81" s="52" t="n">
        <x:v>15000</x:v>
      </x:c>
      <x:c r="O81" s="52" t="n">
        <x:v>10000</x:v>
      </x:c>
      <x:c r="P81" s="52" t="n">
        <x:v>5000</x:v>
      </x:c>
      <x:c r="Q81" s="52" t="n">
        <x:v>15000</x:v>
      </x:c>
      <x:c r="R81" s="52" t="n">
        <x:v>10000</x:v>
      </x:c>
      <x:c r="S81" s="52" t="n">
        <x:v>20000</x:v>
      </x:c>
      <x:c r="T81" s="52" t="n">
        <x:v>5000</x:v>
      </x:c>
      <x:c r="U81" s="52" t="n">
        <x:v>10000</x:v>
      </x:c>
      <x:c r="V81" s="52" t="n">
        <x:v>10000</x:v>
      </x:c>
      <x:c r="W81" s="52" t="n">
        <x:v>15000</x:v>
      </x:c>
      <x:c r="X81" s="52" t="n">
        <x:v>15000</x:v>
      </x:c>
      <x:c r="Y81" s="52" t="n">
        <x:v>20000</x:v>
      </x:c>
    </x:row>
    <x:row r="82">
      <x:c r="A82" t="n">
        <x:v>16</x:v>
      </x:c>
      <x:c r="B82" s="52" t="n">
        <x:v>10000</x:v>
      </x:c>
      <x:c r="C82" s="52" t="n">
        <x:v>10000</x:v>
      </x:c>
      <x:c r="D82" s="52" t="n">
        <x:v>5000</x:v>
      </x:c>
      <x:c r="E82" s="52" t="n">
        <x:v>10000</x:v>
      </x:c>
      <x:c r="F82" s="52" t="n">
        <x:v>10000</x:v>
      </x:c>
      <x:c r="G82" s="52" t="n">
        <x:v>10000</x:v>
      </x:c>
      <x:c r="H82" s="52" t="n">
        <x:v>10000</x:v>
      </x:c>
      <x:c r="I82" s="52" t="n">
        <x:v>10000</x:v>
      </x:c>
      <x:c r="J82" s="52" t="n">
        <x:v>15000</x:v>
      </x:c>
      <x:c r="K82" s="52" t="n">
        <x:v>15000</x:v>
      </x:c>
      <x:c r="L82" s="52" t="n">
        <x:v>5000</x:v>
      </x:c>
      <x:c r="M82" s="52" t="n">
        <x:v>10000</x:v>
      </x:c>
      <x:c r="N82" s="52" t="n">
        <x:v>15000</x:v>
      </x:c>
      <x:c r="O82" s="52" t="n">
        <x:v>15000</x:v>
      </x:c>
      <x:c r="P82" s="52" t="n">
        <x:v>15000</x:v>
      </x:c>
      <x:c r="Q82" s="52" t="n">
        <x:v>5000</x:v>
      </x:c>
      <x:c r="R82" s="52" t="n">
        <x:v>10000</x:v>
      </x:c>
      <x:c r="S82" s="52" t="n">
        <x:v>20000</x:v>
      </x:c>
      <x:c r="T82" s="52" t="n">
        <x:v>10000</x:v>
      </x:c>
      <x:c r="U82" s="52" t="n">
        <x:v>10000</x:v>
      </x:c>
      <x:c r="V82" s="52" t="n">
        <x:v>20000</x:v>
      </x:c>
      <x:c r="W82" s="52" t="n">
        <x:v>5000</x:v>
      </x:c>
      <x:c r="X82" s="52" t="n">
        <x:v>15000</x:v>
      </x:c>
      <x:c r="Y82" s="52" t="n">
        <x:v>20000</x:v>
      </x:c>
    </x:row>
    <x:row r="83">
      <x:c r="A83" t="n">
        <x:v>17</x:v>
      </x:c>
      <x:c r="B83" s="52" t="n">
        <x:v>5000</x:v>
      </x:c>
      <x:c r="C83" s="52" t="n">
        <x:v>15000</x:v>
      </x:c>
      <x:c r="D83" s="52" t="n">
        <x:v>10000</x:v>
      </x:c>
      <x:c r="E83" s="52" t="n">
        <x:v>20000</x:v>
      </x:c>
      <x:c r="F83" s="52" t="n">
        <x:v>20000</x:v>
      </x:c>
      <x:c r="G83" s="52" t="n">
        <x:v>20000</x:v>
      </x:c>
      <x:c r="H83" s="52" t="n">
        <x:v>5000</x:v>
      </x:c>
      <x:c r="I83" s="52" t="n">
        <x:v>15000</x:v>
      </x:c>
      <x:c r="J83" s="52" t="n">
        <x:v>20000</x:v>
      </x:c>
      <x:c r="K83" s="52" t="n">
        <x:v>15000</x:v>
      </x:c>
      <x:c r="L83" s="52" t="n">
        <x:v>15000</x:v>
      </x:c>
      <x:c r="M83" s="52" t="n">
        <x:v>5000</x:v>
      </x:c>
      <x:c r="N83" s="52" t="n">
        <x:v>20000</x:v>
      </x:c>
      <x:c r="O83" s="52" t="n">
        <x:v>5000</x:v>
      </x:c>
      <x:c r="P83" s="52" t="n">
        <x:v>10000</x:v>
      </x:c>
      <x:c r="Q83" s="52" t="n">
        <x:v>20000</x:v>
      </x:c>
      <x:c r="R83" s="52" t="n">
        <x:v>20000</x:v>
      </x:c>
      <x:c r="S83" s="52" t="n">
        <x:v>20000</x:v>
      </x:c>
      <x:c r="T83" s="52" t="n">
        <x:v>10000</x:v>
      </x:c>
      <x:c r="U83" s="52" t="n">
        <x:v>5000</x:v>
      </x:c>
      <x:c r="V83" s="52" t="n">
        <x:v>10000</x:v>
      </x:c>
      <x:c r="W83" s="52" t="n">
        <x:v>5000</x:v>
      </x:c>
      <x:c r="X83" s="52" t="n">
        <x:v>20000</x:v>
      </x:c>
      <x:c r="Y83" s="52" t="n">
        <x:v>10000</x:v>
      </x:c>
    </x:row>
    <x:row r="84">
      <x:c r="A84" t="n">
        <x:v>18</x:v>
      </x:c>
      <x:c r="B84" s="52" t="n">
        <x:v>10000</x:v>
      </x:c>
      <x:c r="C84" s="52" t="n">
        <x:v>5000</x:v>
      </x:c>
      <x:c r="D84" s="52" t="n">
        <x:v>10000</x:v>
      </x:c>
      <x:c r="E84" s="52" t="n">
        <x:v>20000</x:v>
      </x:c>
      <x:c r="F84" s="52" t="n">
        <x:v>15000</x:v>
      </x:c>
      <x:c r="G84" s="52" t="n">
        <x:v>5000</x:v>
      </x:c>
      <x:c r="H84" s="52" t="n">
        <x:v>5000</x:v>
      </x:c>
      <x:c r="I84" s="52" t="n">
        <x:v>10000</x:v>
      </x:c>
      <x:c r="J84" s="52" t="n">
        <x:v>5000</x:v>
      </x:c>
      <x:c r="K84" s="52" t="n">
        <x:v>20000</x:v>
      </x:c>
      <x:c r="L84" s="52" t="n">
        <x:v>15000</x:v>
      </x:c>
      <x:c r="M84" s="52" t="n">
        <x:v>5000</x:v>
      </x:c>
      <x:c r="N84" s="52" t="n">
        <x:v>15000</x:v>
      </x:c>
      <x:c r="O84" s="52" t="n">
        <x:v>10000</x:v>
      </x:c>
      <x:c r="P84" s="52" t="n">
        <x:v>5000</x:v>
      </x:c>
      <x:c r="Q84" s="52" t="n">
        <x:v>10000</x:v>
      </x:c>
      <x:c r="R84" s="52" t="n">
        <x:v>5000</x:v>
      </x:c>
      <x:c r="S84" s="52" t="n">
        <x:v>10000</x:v>
      </x:c>
      <x:c r="T84" s="52" t="n">
        <x:v>15000</x:v>
      </x:c>
      <x:c r="U84" s="52" t="n">
        <x:v>20000</x:v>
      </x:c>
      <x:c r="V84" s="52" t="n">
        <x:v>10000</x:v>
      </x:c>
      <x:c r="W84" s="52" t="n">
        <x:v>15000</x:v>
      </x:c>
      <x:c r="X84" s="52" t="n">
        <x:v>5000</x:v>
      </x:c>
      <x:c r="Y84" s="52" t="n">
        <x:v>10000</x:v>
      </x:c>
    </x:row>
    <x:row r="85">
      <x:c r="A85" t="n">
        <x:v>19</x:v>
      </x:c>
      <x:c r="B85" s="52" t="n">
        <x:v>10000</x:v>
      </x:c>
      <x:c r="C85" s="52" t="n">
        <x:v>10000</x:v>
      </x:c>
      <x:c r="D85" s="52" t="n">
        <x:v>5000</x:v>
      </x:c>
      <x:c r="E85" s="52" t="n">
        <x:v>20000</x:v>
      </x:c>
      <x:c r="F85" s="52" t="n">
        <x:v>20000</x:v>
      </x:c>
      <x:c r="G85" s="52" t="n">
        <x:v>10000</x:v>
      </x:c>
      <x:c r="H85" s="52" t="n">
        <x:v>15000</x:v>
      </x:c>
      <x:c r="I85" s="52" t="n">
        <x:v>5000</x:v>
      </x:c>
      <x:c r="J85" s="52" t="n">
        <x:v>15000</x:v>
      </x:c>
      <x:c r="K85" s="52" t="n">
        <x:v>10000</x:v>
      </x:c>
      <x:c r="L85" s="52" t="n">
        <x:v>5000</x:v>
      </x:c>
      <x:c r="M85" s="52" t="n">
        <x:v>15000</x:v>
      </x:c>
      <x:c r="N85" s="52" t="n">
        <x:v>10000</x:v>
      </x:c>
      <x:c r="O85" s="52" t="n">
        <x:v>10000</x:v>
      </x:c>
      <x:c r="P85" s="52" t="n">
        <x:v>10000</x:v>
      </x:c>
      <x:c r="Q85" s="52" t="n">
        <x:v>5000</x:v>
      </x:c>
      <x:c r="R85" s="52" t="n">
        <x:v>5000</x:v>
      </x:c>
      <x:c r="S85" s="52" t="n">
        <x:v>15000</x:v>
      </x:c>
      <x:c r="T85" s="52" t="n">
        <x:v>15000</x:v>
      </x:c>
      <x:c r="U85" s="52" t="n">
        <x:v>5000</x:v>
      </x:c>
      <x:c r="V85" s="52" t="n">
        <x:v>10000</x:v>
      </x:c>
      <x:c r="W85" s="52" t="n">
        <x:v>15000</x:v>
      </x:c>
      <x:c r="X85" s="52" t="n">
        <x:v>15000</x:v>
      </x:c>
      <x:c r="Y85" s="52" t="n">
        <x:v>15000</x:v>
      </x:c>
    </x:row>
    <x:row r="86">
      <x:c r="A86" t="n">
        <x:v>20</x:v>
      </x:c>
      <x:c r="B86" s="52" t="n">
        <x:v>10000</x:v>
      </x:c>
      <x:c r="C86" s="52" t="n">
        <x:v>10000</x:v>
      </x:c>
      <x:c r="D86" s="52" t="n">
        <x:v>10000</x:v>
      </x:c>
      <x:c r="E86" s="52" t="n">
        <x:v>10000</x:v>
      </x:c>
      <x:c r="F86" s="52" t="n">
        <x:v>5000</x:v>
      </x:c>
      <x:c r="G86" s="52" t="n">
        <x:v>5000</x:v>
      </x:c>
      <x:c r="H86" s="52" t="n">
        <x:v>15000</x:v>
      </x:c>
      <x:c r="I86" s="52" t="n">
        <x:v>5000</x:v>
      </x:c>
      <x:c r="J86" s="52" t="n">
        <x:v>15000</x:v>
      </x:c>
      <x:c r="K86" s="52" t="n">
        <x:v>10000</x:v>
      </x:c>
      <x:c r="L86" s="52" t="n">
        <x:v>10000</x:v>
      </x:c>
      <x:c r="M86" s="52" t="n">
        <x:v>15000</x:v>
      </x:c>
      <x:c r="N86" s="52" t="n">
        <x:v>15000</x:v>
      </x:c>
      <x:c r="O86" s="52" t="n">
        <x:v>5000</x:v>
      </x:c>
      <x:c r="P86" s="52" t="n">
        <x:v>15000</x:v>
      </x:c>
      <x:c r="Q86" s="52" t="n">
        <x:v>10000</x:v>
      </x:c>
      <x:c r="R86" s="52" t="n">
        <x:v>10000</x:v>
      </x:c>
      <x:c r="S86" s="52" t="n">
        <x:v>15000</x:v>
      </x:c>
      <x:c r="T86" s="52" t="n">
        <x:v>15000</x:v>
      </x:c>
      <x:c r="U86" s="52" t="n">
        <x:v>10000</x:v>
      </x:c>
      <x:c r="V86" s="52" t="n">
        <x:v>20000</x:v>
      </x:c>
      <x:c r="W86" s="52" t="n">
        <x:v>15000</x:v>
      </x:c>
      <x:c r="X86" s="52" t="n">
        <x:v>15000</x:v>
      </x:c>
      <x:c r="Y86" s="52" t="n">
        <x:v>5000</x:v>
      </x:c>
    </x:row>
  </x:sheetData>
  <x:mergeCells>
    <x:mergeCell ref="A1:AD1"/>
  </x:mergeCells>
  <x:pageMargins left="0.7" right="0.7" top="0.75" bottom="0.75" header="0.3" footer="0.3"/>
  <x:drawing xmlns:r="http://schemas.openxmlformats.org/officeDocument/2006/relationships" r:id="R433c474bbaa04898"/>
</x:worksheet>
</file>