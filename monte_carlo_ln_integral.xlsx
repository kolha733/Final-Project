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fc5d9a517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99177dc46980448f"/>
    <x:sheet xmlns:r="http://schemas.openxmlformats.org/officeDocument/2006/relationships" name="Данные" sheetId="2" r:id="R8139a49c9c6e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</x:fills>
  <x:borders count="38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3" fillId="5" borderId="2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horizontal="center" vertical="center" wrapText="1"/>
    </x:xf>
    <x:xf numFmtId="0" fontId="3" fillId="5" borderId="30" xfId="0" applyNumberFormat="1" applyFont="1" applyFill="1" applyBorder="1" applyAlignment="1">
      <x:alignment horizontal="center" vertical="center" wrapText="1"/>
    </x:xf>
    <x:xf numFmtId="0" fontId="3" fillId="5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0" fontId="0" fillId="0" borderId="25" xfId="0" applyNumberFormat="1" applyFont="1" applyFill="1" applyBorder="1" applyAlignment="1">
      <x:alignment vertical="center"/>
    </x:xf>
    <x:xf numFmtId="200" fontId="0" fillId="0" borderId="27" xfId="0" applyNumberFormat="1" applyFont="1" applyFill="1" applyBorder="1" applyAlignment="1">
      <x:alignment vertical="center"/>
    </x:xf>
    <x:xf numFmtId="200" fontId="0" fillId="0" borderId="2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429e4fee74918" /><Relationship Type="http://schemas.openxmlformats.org/officeDocument/2006/relationships/theme" Target="/xl/theme/theme1.xml" Id="Rb3412810d4b24dd2" /><Relationship Type="http://schemas.openxmlformats.org/officeDocument/2006/relationships/sharedStrings" Target="/xl/sharedStrings.xml" Id="Rd273ca3ce0dd47f8" /><Relationship Type="http://schemas.openxmlformats.org/officeDocument/2006/relationships/worksheet" Target="/xl/worksheets/sheet1.xml" Id="R99177dc46980448f" /><Relationship Type="http://schemas.openxmlformats.org/officeDocument/2006/relationships/worksheet" Target="/xl/worksheets/sheet2.xml" Id="R8139a49c9c6e49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71e4098ed14fd3" /><Relationship Type="http://schemas.openxmlformats.org/officeDocument/2006/relationships/chart" Target="/xl/drawings/charts/chart2.xml" Id="R5d48eccb71d34d9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Оценка Монте-Карло</c:v>
          </c:tx>
          <c:cat>
            <c:strRef>
              <c:f>'Данные'!$A$2:$A$2001</c:f>
              <c:strCache>
                <c:ptCount val="0"/>
              </c:strCache>
            </c:strRef>
          </c:cat>
          <c:val>
            <c:numRef>
              <c:f>'Данные'!$D$2:$D$2001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Точное значение</c:v>
          </c:tx>
          <c:cat>
            <c:strRef>
              <c:f>'Данные'!$A$2:$A$2001</c:f>
              <c:strCache>
                <c:ptCount val="0"/>
              </c:strCache>
            </c:strRef>
          </c:cat>
          <c:val>
            <c:numRef>
              <c:f>'Данные'!$E$2:$E$2001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Количество точек 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Оценка интеграла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Ошибка</c:v>
          </c:tx>
          <c:cat>
            <c:strRef>
              <c:f>'Данные'!$A$2:$A$2001</c:f>
              <c:strCache>
                <c:ptCount val="0"/>
              </c:strCache>
            </c:strRef>
          </c:cat>
          <c:val>
            <c:numRef>
              <c:f>'Данные'!$F$2:$F$2001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Количество точек 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Абс. ошибка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71e4098ed14fd3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48eccb71d34d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eCarloData" displayName="MonteCarloData" ref="A1:F2001" headerRowCount="1">
  <x:tableColumns count="6">
    <x:tableColumn id="1" name="k"/>
    <x:tableColumn id="2" name="xᵢ"/>
    <x:tableColumn id="3" name="ln(xᵢ)"/>
    <x:tableColumn id="4" name="Оценка интеграла по первым k точкам"/>
    <x:tableColumn id="5" name="Точное значение"/>
    <x:tableColumn id="6" name="Абсолютная ошибка по 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2fcb55c724e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a195ca55a94394" /></Relationships>
</file>

<file path=xl/worksheets/sheet1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18" hidden="0" customWidth="1"/>
    <x:col min="3" max="3" width="42" hidden="0" customWidth="1"/>
  </x:cols>
  <x:sheetData>
    <x:row r="1" ht="28" customHeight="1">
      <x:c r="A1" s="18" t="str">
        <x:v>Вычисление интеграла ∫₁³ ln(x) dx методом Монте-Карло</x:v>
      </x:c>
      <x:c r="B1" s="16"/>
      <x:c r="C1" s="16"/>
      <x:c r="D1" s="16"/>
      <x:c r="E1" s="16"/>
      <x:c r="F1" s="16"/>
    </x:row>
    <x:row r="3">
      <x:c r="A3" s="22" t="str">
        <x:v>Параметр / показатель</x:v>
      </x:c>
      <x:c r="B3" s="22" t="str">
        <x:v>Значение</x:v>
      </x:c>
      <x:c r="C3" s="22" t="str">
        <x:v>Пояснение</x:v>
      </x:c>
    </x:row>
    <x:row r="4">
      <x:c r="A4" s="44" t="str">
        <x:v>Нижняя граница a</x:v>
      </x:c>
      <x:c r="B4" s="80" t="n">
        <x:v>1</x:v>
      </x:c>
      <x:c r="C4" s="46" t="str">
        <x:v>Начало отрезка интегрирования</x:v>
      </x:c>
    </x:row>
    <x:row r="5">
      <x:c r="A5" s="47" t="str">
        <x:v>Верхняя граница b</x:v>
      </x:c>
      <x:c r="B5" s="81" t="n">
        <x:v>3</x:v>
      </x:c>
      <x:c r="C5" s="49" t="str">
        <x:v>Конец отрезка интегрирования</x:v>
      </x:c>
    </x:row>
    <x:row r="6">
      <x:c r="A6" s="47" t="str">
        <x:v>Количество точек N</x:v>
      </x:c>
      <x:c r="B6" s="86" t="n">
        <x:v>2000</x:v>
      </x:c>
      <x:c r="C6" s="49" t="str">
        <x:v>Число случайных точек</x:v>
      </x:c>
    </x:row>
    <x:row r="7">
      <x:c r="A7" s="47" t="str">
        <x:v>Seed</x:v>
      </x:c>
      <x:c r="B7" s="86" t="n">
        <x:v>42</x:v>
      </x:c>
      <x:c r="C7" s="49" t="str">
        <x:v>Фиксирован для воспроизводимости</x:v>
      </x:c>
    </x:row>
    <x:row r="8">
      <x:c r="A8" s="47" t="str">
        <x:v>Ширина интервала b-a</x:v>
      </x:c>
      <x:c r="B8" s="81" t="n">
        <x:f>B5-B4</x:f>
        <x:v>2</x:v>
      </x:c>
      <x:c r="C8" s="49" t="str">
        <x:v>Множитель в формуле Монте-Карло</x:v>
      </x:c>
    </x:row>
    <x:row r="9">
      <x:c r="A9" s="47" t="str">
        <x:v>Точное значение интеграла</x:v>
      </x:c>
      <x:c r="B9" s="81" t="n">
        <x:f>B5*LN(B5)-B5-(B4*LN(B4)-B4)</x:f>
        <x:v>1.2958368660043291</x:v>
      </x:c>
      <x:c r="C9" s="49" t="str">
        <x:v>∫ ln(x) dx = x ln(x) − x</x:v>
      </x:c>
    </x:row>
    <x:row r="10">
      <x:c r="A10" s="47" t="str">
        <x:v>Оценка Монте-Карло</x:v>
      </x:c>
      <x:c r="B10" s="81" t="n">
        <x:f>B8*AVERAGE('Данные'!C2:C2001)</x:f>
        <x:v>1.3011578316622598</x:v>
      </x:c>
      <x:c r="C10" s="49" t="str">
        <x:v>I ≈ (b-a)·AVERAGE(ln(xᵢ))</x:v>
      </x:c>
    </x:row>
    <x:row r="11">
      <x:c r="A11" s="47" t="str">
        <x:v>Выборочное std для ln(x)</x:v>
      </x:c>
      <x:c r="B11" s="81" t="n">
        <x:f>STDEV.S('Данные'!C2:C2001)</x:f>
        <x:v>0.30830071736750286</x:v>
      </x:c>
      <x:c r="C11" s="49" t="str">
        <x:v>Используется для оценки стандартной ошибки</x:v>
      </x:c>
    </x:row>
    <x:row r="12">
      <x:c r="A12" s="47" t="str">
        <x:v>Стандартная ошибка интеграла</x:v>
      </x:c>
      <x:c r="B12" s="81" t="n">
        <x:f>B8*B11/SQRT(B6)</x:f>
        <x:v>0.013787627230913728</x:v>
      </x:c>
      <x:c r="C12" s="49" t="str">
        <x:v>SE = (b-a)·s/sqrt(N)</x:v>
      </x:c>
    </x:row>
    <x:row r="13">
      <x:c r="A13" s="47" t="str">
        <x:v>z для 95% ДИ</x:v>
      </x:c>
      <x:c r="B13" s="81" t="n">
        <x:v>1.96</x:v>
      </x:c>
      <x:c r="C13" s="49" t="str">
        <x:v>Нормальное приближение</x:v>
      </x:c>
    </x:row>
    <x:row r="14">
      <x:c r="A14" s="47" t="str">
        <x:v>Нижняя граница 95% ДИ</x:v>
      </x:c>
      <x:c r="B14" s="81" t="n">
        <x:f>B10-B13*B12</x:f>
        <x:v>1.274134082289669</x:v>
      </x:c>
      <x:c r="C14" s="49" t="str">
        <x:v>Оценка − z·SE</x:v>
      </x:c>
    </x:row>
    <x:row r="15">
      <x:c r="A15" s="47" t="str">
        <x:v>Верхняя граница 95% ДИ</x:v>
      </x:c>
      <x:c r="B15" s="81" t="n">
        <x:f>B10+B13*B12</x:f>
        <x:v>1.3281815810348507</x:v>
      </x:c>
      <x:c r="C15" s="49" t="str">
        <x:v>Оценка + z·SE</x:v>
      </x:c>
    </x:row>
    <x:row r="16">
      <x:c r="A16" s="47" t="str">
        <x:v>Абсолютная погрешность</x:v>
      </x:c>
      <x:c r="B16" s="81" t="n">
        <x:f>ABS(B10-B9)</x:f>
        <x:v>0.005320965657930721</x:v>
      </x:c>
      <x:c r="C16" s="49" t="str">
        <x:v>|оценка − точное значение|</x:v>
      </x:c>
    </x:row>
    <x:row r="17">
      <x:c r="A17" s="50" t="str">
        <x:v>Относительная погрешность</x:v>
      </x:c>
      <x:c r="B17" s="88" t="n">
        <x:f>B16/ABS(B9)</x:f>
        <x:v>0.00410620024597521</x:v>
      </x:c>
      <x:c r="C17" s="52" t="str">
        <x:v>Абсолютная погрешность / |точное значение|</x:v>
      </x:c>
    </x:row>
    <x:row r="19">
      <x:c r="A19" s="12" t="str">
        <x:v>Краткое объяснение решения</x:v>
      </x:c>
    </x:row>
    <x:row r="20">
      <x:c r="A20" s="16" t="str">
        <x:v>1. Генерируются 2000 случайных точек xᵢ из равномерного распределения на [1;3].</x:v>
      </x:c>
    </x:row>
    <x:row r="21">
      <x:c r="A21" s="16" t="str">
        <x:v>2. Для каждой точки вычисляется значение функции ln(xᵢ).</x:v>
      </x:c>
    </x:row>
    <x:row r="22">
      <x:c r="A22" s="16" t="str">
        <x:v>3. Интеграл оценивается как (b-a)·среднее значение ln(xᵢ).</x:v>
      </x:c>
    </x:row>
    <x:row r="23">
      <x:c r="A23" s="16" t="str">
        <x:v>4. Погрешность сравнивается с точным значением 3·ln(3)-2.</x:v>
      </x:c>
    </x:row>
    <x:row r="24">
      <x:c r="A24" s="16" t="str">
        <x:v>5. Доверительный интервал строится через стандартную ошибку оценки.</x:v>
      </x:c>
    </x:row>
  </x:sheetData>
  <x:mergeCells>
    <x:mergeCell ref="A1:F1"/>
    <x:mergeCell ref="A19:C19"/>
  </x:mergeCells>
  <x:pageMargins left="0.7" right="0.7" top="0.75" bottom="0.75" header="0.3" footer="0.3"/>
  <x:drawing xmlns:r="http://schemas.openxmlformats.org/officeDocument/2006/relationships" r:id="R1ab2fcb55c724e69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24" hidden="0" customWidth="1"/>
  </x:cols>
  <x:sheetData>
    <x:row r="1">
      <x:c r="A1" s="98" t="str">
        <x:v>k</x:v>
      </x:c>
      <x:c r="B1" s="99" t="str">
        <x:v>xᵢ</x:v>
      </x:c>
      <x:c r="C1" s="99" t="str">
        <x:v>ln(xᵢ)</x:v>
      </x:c>
      <x:c r="D1" s="99" t="str">
        <x:v>Оценка интеграла по первым k точкам</x:v>
      </x:c>
      <x:c r="E1" s="99" t="str">
        <x:v>Точное значение</x:v>
      </x:c>
      <x:c r="F1" s="100" t="str">
        <x:v>Абсолютная ошибка по k</x:v>
      </x:c>
    </x:row>
    <x:row r="2">
      <x:c r="A2" s="107" t="n">
        <x:v>1</x:v>
      </x:c>
      <x:c r="B2" s="128" t="n">
        <x:v>2.5479120971119267</x:v>
      </x:c>
      <x:c r="C2" s="128" t="n">
        <x:f>LN(B2)</x:f>
        <x:v>0.9352742383361417</x:v>
      </x:c>
      <x:c r="D2" s="128" t="n">
        <x:f>'Итоги'!$B$8*AVERAGE($C$2:C2)</x:f>
        <x:v>1.8705484766722833</x:v>
      </x:c>
      <x:c r="E2" s="128" t="n">
        <x:f>'Итоги'!$B$9</x:f>
        <x:v>1.2958368660043291</x:v>
      </x:c>
      <x:c r="F2" s="129" t="n">
        <x:f>ABS(D2-E2)</x:f>
        <x:v>0.5747116106679542</x:v>
      </x:c>
    </x:row>
    <x:row r="3">
      <x:c r="A3" s="107" t="n">
        <x:v>2</x:v>
      </x:c>
      <x:c r="B3" s="128" t="n">
        <x:v>1.8777568795041046</x:v>
      </x:c>
      <x:c r="C3" s="128" t="n">
        <x:f>LN(B3)</x:f>
        <x:v>0.6300779152727086</x:v>
      </x:c>
      <x:c r="D3" s="128" t="n">
        <x:f>'Итоги'!$B$8*AVERAGE($C$2:C3)</x:f>
        <x:v>1.5653521536088504</x:v>
      </x:c>
      <x:c r="E3" s="128" t="n">
        <x:f>'Итоги'!$B$9</x:f>
        <x:v>1.2958368660043291</x:v>
      </x:c>
      <x:c r="F3" s="129" t="n">
        <x:f>ABS(D3-E3)</x:f>
        <x:v>0.26951528760452126</x:v>
      </x:c>
    </x:row>
    <x:row r="4">
      <x:c r="A4" s="107" t="n">
        <x:v>3</x:v>
      </x:c>
      <x:c r="B4" s="128" t="n">
        <x:v>2.717195839822765</x:v>
      </x:c>
      <x:c r="C4" s="128" t="n">
        <x:f>LN(B4)</x:f>
        <x:v>0.9996004072808291</x:v>
      </x:c>
      <x:c r="D4" s="128" t="n">
        <x:f>'Итоги'!$B$8*AVERAGE($C$2:C4)</x:f>
        <x:v>1.709968373926453</x:v>
      </x:c>
      <x:c r="E4" s="128" t="n">
        <x:f>'Итоги'!$B$9</x:f>
        <x:v>1.2958368660043291</x:v>
      </x:c>
      <x:c r="F4" s="129" t="n">
        <x:f>ABS(D4-E4)</x:f>
        <x:v>0.41413150792212394</x:v>
      </x:c>
    </x:row>
    <x:row r="5">
      <x:c r="A5" s="107" t="n">
        <x:v>4</x:v>
      </x:c>
      <x:c r="B5" s="128" t="n">
        <x:v>2.3947360581187276</x:v>
      </x:c>
      <x:c r="C5" s="128" t="n">
        <x:f>LN(B5)</x:f>
        <x:v>0.8732730194114178</x:v>
      </x:c>
      <x:c r="D5" s="128" t="n">
        <x:f>'Итоги'!$B$8*AVERAGE($C$2:C5)</x:f>
        <x:v>1.7191127901505485</x:v>
      </x:c>
      <x:c r="E5" s="128" t="n">
        <x:f>'Итоги'!$B$9</x:f>
        <x:v>1.2958368660043291</x:v>
      </x:c>
      <x:c r="F5" s="129" t="n">
        <x:f>ABS(D5-E5)</x:f>
        <x:v>0.4232759241462194</x:v>
      </x:c>
    </x:row>
    <x:row r="6">
      <x:c r="A6" s="107" t="n">
        <x:v>5</x:v>
      </x:c>
      <x:c r="B6" s="128" t="n">
        <x:v>1.188354695775299</x:v>
      </x:c>
      <x:c r="C6" s="128" t="n">
        <x:f>LN(B6)</x:f>
        <x:v>0.17256974184607698</x:v>
      </x:c>
      <x:c r="D6" s="128" t="n">
        <x:f>'Итоги'!$B$8*AVERAGE($C$2:C6)</x:f>
        <x:v>1.4443181288588698</x:v>
      </x:c>
      <x:c r="E6" s="128" t="n">
        <x:f>'Итоги'!$B$9</x:f>
        <x:v>1.2958368660043291</x:v>
      </x:c>
      <x:c r="F6" s="129" t="n">
        <x:f>ABS(D6-E6)</x:f>
        <x:v>0.14848126285454066</x:v>
      </x:c>
    </x:row>
    <x:row r="7">
      <x:c r="A7" s="107" t="n">
        <x:v>6</x:v>
      </x:c>
      <x:c r="B7" s="128" t="n">
        <x:v>2.951244703273512</x:v>
      </x:c>
      <x:c r="C7" s="128" t="n">
        <x:f>LN(B7)</x:f>
        <x:v>1.0822270146759536</x:v>
      </x:c>
      <x:c r="D7" s="128" t="n">
        <x:f>'Итоги'!$B$8*AVERAGE($C$2:C7)</x:f>
        <x:v>1.5643407789410426</x:v>
      </x:c>
      <x:c r="E7" s="128" t="n">
        <x:f>'Итоги'!$B$9</x:f>
        <x:v>1.2958368660043291</x:v>
      </x:c>
      <x:c r="F7" s="129" t="n">
        <x:f>ABS(D7-E7)</x:f>
        <x:v>0.2685039129367135</x:v>
      </x:c>
    </x:row>
    <x:row r="8">
      <x:c r="A8" s="107" t="n">
        <x:v>7</x:v>
      </x:c>
      <x:c r="B8" s="128" t="n">
        <x:v>2.522279403980706</x:v>
      </x:c>
      <x:c r="C8" s="128" t="n">
        <x:f>LN(B8)</x:f>
        <x:v>0.9251630180759279</x:v>
      </x:c>
      <x:c r="D8" s="128" t="n">
        <x:f>'Итоги'!$B$8*AVERAGE($C$2:C8)</x:f>
        <x:v>1.6051958156854444</x:v>
      </x:c>
      <x:c r="E8" s="128" t="n">
        <x:f>'Итоги'!$B$9</x:f>
        <x:v>1.2958368660043291</x:v>
      </x:c>
      <x:c r="F8" s="129" t="n">
        <x:f>ABS(D8-E8)</x:f>
        <x:v>0.3093589496811153</x:v>
      </x:c>
    </x:row>
    <x:row r="9">
      <x:c r="A9" s="107" t="n">
        <x:v>8</x:v>
      </x:c>
      <x:c r="B9" s="128" t="n">
        <x:v>2.5721286105539076</x:v>
      </x:c>
      <x:c r="C9" s="128" t="n">
        <x:f>LN(B9)</x:f>
        <x:v>0.944733809228595</x:v>
      </x:c>
      <x:c r="D9" s="128" t="n">
        <x:f>'Итоги'!$B$8*AVERAGE($C$2:C9)</x:f>
        <x:v>1.6407297910319125</x:v>
      </x:c>
      <x:c r="E9" s="128" t="n">
        <x:f>'Итоги'!$B$9</x:f>
        <x:v>1.2958368660043291</x:v>
      </x:c>
      <x:c r="F9" s="129" t="n">
        <x:f>ABS(D9-E9)</x:f>
        <x:v>0.3448929250275834</x:v>
      </x:c>
    </x:row>
    <x:row r="10">
      <x:c r="A10" s="107" t="n">
        <x:v>9</x:v>
      </x:c>
      <x:c r="B10" s="128" t="n">
        <x:v>1.2562272653510917</x:v>
      </x:c>
      <x:c r="C10" s="128" t="n">
        <x:f>LN(B10)</x:f>
        <x:v>0.22811299542853014</x:v>
      </x:c>
      <x:c r="D10" s="128" t="n">
        <x:f>'Итоги'!$B$8*AVERAGE($C$2:C10)</x:f>
        <x:v>1.509118257679151</x:v>
      </x:c>
      <x:c r="E10" s="128" t="n">
        <x:f>'Итоги'!$B$9</x:f>
        <x:v>1.2958368660043291</x:v>
      </x:c>
      <x:c r="F10" s="129" t="n">
        <x:f>ABS(D10-E10)</x:f>
        <x:v>0.21328139167482196</x:v>
      </x:c>
    </x:row>
    <x:row r="11">
      <x:c r="A11" s="107" t="n">
        <x:v>10</x:v>
      </x:c>
      <x:c r="B11" s="128" t="n">
        <x:v>1.9007718757911343</x:v>
      </x:c>
      <x:c r="C11" s="128" t="n">
        <x:f>LN(B11)</x:f>
        <x:v>0.6422600540914232</x:v>
      </x:c>
      <x:c r="D11" s="128" t="n">
        <x:f>'Итоги'!$B$8*AVERAGE($C$2:C11)</x:f>
        <x:v>1.4866584427295206</x:v>
      </x:c>
      <x:c r="E11" s="128" t="n">
        <x:f>'Итоги'!$B$9</x:f>
        <x:v>1.2958368660043291</x:v>
      </x:c>
      <x:c r="F11" s="129" t="n">
        <x:f>ABS(D11-E11)</x:f>
        <x:v>0.1908215767251915</x:v>
      </x:c>
    </x:row>
    <x:row r="12">
      <x:c r="A12" s="107" t="n">
        <x:v>11</x:v>
      </x:c>
      <x:c r="B12" s="128" t="n">
        <x:v>1.7415960484651625</x:v>
      </x:c>
      <x:c r="C12" s="128" t="n">
        <x:f>LN(B12)</x:f>
        <x:v>0.5548019620249482</x:v>
      </x:c>
      <x:c r="D12" s="128" t="n">
        <x:f>'Итоги'!$B$8*AVERAGE($C$2:C12)</x:f>
        <x:v>1.4523807592131912</x:v>
      </x:c>
      <x:c r="E12" s="128" t="n">
        <x:f>'Итоги'!$B$9</x:f>
        <x:v>1.2958368660043291</x:v>
      </x:c>
      <x:c r="F12" s="129" t="n">
        <x:f>ABS(D12-E12)</x:f>
        <x:v>0.15654389320886208</x:v>
      </x:c>
    </x:row>
    <x:row r="13">
      <x:c r="A13" s="107" t="n">
        <x:v>12</x:v>
      </x:c>
      <x:c r="B13" s="128" t="n">
        <x:v>2.8535299776972036</x:v>
      </x:c>
      <x:c r="C13" s="128" t="n">
        <x:f>LN(B13)</x:f>
        <x:v>1.0485568165280892</x:v>
      </x:c>
      <x:c r="D13" s="128" t="n">
        <x:f>'Итоги'!$B$8*AVERAGE($C$2:C13)</x:f>
        <x:v>1.506108498700107</x:v>
      </x:c>
      <x:c r="E13" s="128" t="n">
        <x:f>'Итоги'!$B$9</x:f>
        <x:v>1.2958368660043291</x:v>
      </x:c>
      <x:c r="F13" s="129" t="n">
        <x:f>ABS(D13-E13)</x:f>
        <x:v>0.21027163269577787</x:v>
      </x:c>
    </x:row>
    <x:row r="14">
      <x:c r="A14" s="107" t="n">
        <x:v>13</x:v>
      </x:c>
      <x:c r="B14" s="128" t="n">
        <x:v>2.287730240161329</x:v>
      </x:c>
      <x:c r="C14" s="128" t="n">
        <x:f>LN(B14)</x:f>
        <x:v>0.8275601645391698</x:v>
      </x:c>
      <x:c r="D14" s="128" t="n">
        <x:f>'Итоги'!$B$8*AVERAGE($C$2:C14)</x:f>
        <x:v>1.5175709471907401</x:v>
      </x:c>
      <x:c r="E14" s="128" t="n">
        <x:f>'Итоги'!$B$9</x:f>
        <x:v>1.2958368660043291</x:v>
      </x:c>
      <x:c r="F14" s="129" t="n">
        <x:f>ABS(D14-E14)</x:f>
        <x:v>0.22173408118641103</x:v>
      </x:c>
    </x:row>
    <x:row r="15">
      <x:c r="A15" s="107" t="n">
        <x:v>14</x:v>
      </x:c>
      <x:c r="B15" s="128" t="n">
        <x:v>2.64552322654166</x:v>
      </x:c>
      <x:c r="C15" s="128" t="n">
        <x:f>LN(B15)</x:f>
        <x:v>0.9728688629650356</x:v>
      </x:c>
      <x:c r="D15" s="128" t="n">
        <x:f>'Итоги'!$B$8*AVERAGE($C$2:C15)</x:f>
        <x:v>1.548154288529264</x:v>
      </x:c>
      <x:c r="E15" s="128" t="n">
        <x:f>'Итоги'!$B$9</x:f>
        <x:v>1.2958368660043291</x:v>
      </x:c>
      <x:c r="F15" s="129" t="n">
        <x:f>ABS(D15-E15)</x:f>
        <x:v>0.25231742252493494</x:v>
      </x:c>
    </x:row>
    <x:row r="16">
      <x:c r="A16" s="107" t="n">
        <x:v>15</x:v>
      </x:c>
      <x:c r="B16" s="128" t="n">
        <x:v>1.8868283976546623</x:v>
      </x:c>
      <x:c r="C16" s="128" t="n">
        <x:f>LN(B16)</x:f>
        <x:v>0.6348973230114772</x:v>
      </x:c>
      <x:c r="D16" s="128" t="n">
        <x:f>'Итоги'!$B$8*AVERAGE($C$2:C16)</x:f>
        <x:v>1.5295969790288433</x:v>
      </x:c>
      <x:c r="E16" s="128" t="n">
        <x:f>'Итоги'!$B$9</x:f>
        <x:v>1.2958368660043291</x:v>
      </x:c>
      <x:c r="F16" s="129" t="n">
        <x:f>ABS(D16-E16)</x:f>
        <x:v>0.23376011302451416</x:v>
      </x:c>
    </x:row>
    <x:row r="17">
      <x:c r="A17" s="107" t="n">
        <x:v>16</x:v>
      </x:c>
      <x:c r="B17" s="128" t="n">
        <x:v>1.4544774435695538</x:v>
      </x:c>
      <x:c r="C17" s="128" t="n">
        <x:f>LN(B17)</x:f>
        <x:v>0.3746466908023108</x:v>
      </x:c>
      <x:c r="D17" s="128" t="n">
        <x:f>'Итоги'!$B$8*AVERAGE($C$2:C17)</x:f>
        <x:v>1.4808280041898296</x:v>
      </x:c>
      <x:c r="E17" s="128" t="n">
        <x:f>'Итоги'!$B$9</x:f>
        <x:v>1.2958368660043291</x:v>
      </x:c>
      <x:c r="F17" s="129" t="n">
        <x:f>ABS(D17-E17)</x:f>
        <x:v>0.1849911381855005</x:v>
      </x:c>
    </x:row>
    <x:row r="18">
      <x:c r="A18" s="107" t="n">
        <x:v>17</x:v>
      </x:c>
      <x:c r="B18" s="128" t="n">
        <x:v>2.10916957403167</x:v>
      </x:c>
      <x:c r="C18" s="128" t="n">
        <x:f>LN(B18)</x:f>
        <x:v>0.7462943032105966</x:v>
      </x:c>
      <x:c r="D18" s="128" t="n">
        <x:f>'Итоги'!$B$8*AVERAGE($C$2:C18)</x:f>
        <x:v>1.4815198043210864</x:v>
      </x:c>
      <x:c r="E18" s="128" t="n">
        <x:f>'Итоги'!$B$9</x:f>
        <x:v>1.2958368660043291</x:v>
      </x:c>
      <x:c r="F18" s="129" t="n">
        <x:f>ABS(D18-E18)</x:f>
        <x:v>0.1856829383167573</x:v>
      </x:c>
    </x:row>
    <x:row r="19">
      <x:c r="A19" s="107" t="n">
        <x:v>18</x:v>
      </x:c>
      <x:c r="B19" s="128" t="n">
        <x:v>1.1276345122083506</x:v>
      </x:c>
      <x:c r="C19" s="128" t="n">
        <x:f>LN(B19)</x:f>
        <x:v>0.12012208657230038</x:v>
      </x:c>
      <x:c r="D19" s="128" t="n">
        <x:f>'Итоги'!$B$8*AVERAGE($C$2:C19)</x:f>
        <x:v>1.4125600470335038</x:v>
      </x:c>
      <x:c r="E19" s="128" t="n">
        <x:f>'Итоги'!$B$9</x:f>
        <x:v>1.2958368660043291</x:v>
      </x:c>
      <x:c r="F19" s="129" t="n">
        <x:f>ABS(D19-E19)</x:f>
        <x:v>0.11672318102917467</x:v>
      </x:c>
    </x:row>
    <x:row r="20">
      <x:c r="A20" s="107" t="n">
        <x:v>19</x:v>
      </x:c>
      <x:c r="B20" s="128" t="n">
        <x:v>2.6552623439851644</x:v>
      </x:c>
      <x:c r="C20" s="128" t="n">
        <x:f>LN(B20)</x:f>
        <x:v>0.976543461106235</x:v>
      </x:c>
      <x:c r="D20" s="128" t="n">
        <x:f>'Итоги'!$B$8*AVERAGE($C$2:C20)</x:f>
        <x:v>1.44100882993766</x:v>
      </x:c>
      <x:c r="E20" s="128" t="n">
        <x:f>'Итоги'!$B$9</x:f>
        <x:v>1.2958368660043291</x:v>
      </x:c>
      <x:c r="F20" s="129" t="n">
        <x:f>ABS(D20-E20)</x:f>
        <x:v>0.14517196393333087</x:v>
      </x:c>
    </x:row>
    <x:row r="21">
      <x:c r="A21" s="107" t="n">
        <x:v>20</x:v>
      </x:c>
      <x:c r="B21" s="128" t="n">
        <x:v>2.26332879824413</x:v>
      </x:c>
      <x:c r="C21" s="128" t="n">
        <x:f>LN(B21)</x:f>
        <x:v>0.8168366491791901</x:v>
      </x:c>
      <x:c r="D21" s="128" t="n">
        <x:f>'Итоги'!$B$8*AVERAGE($C$2:C21)</x:f>
        <x:v>1.450642053358696</x:v>
      </x:c>
      <x:c r="E21" s="128" t="n">
        <x:f>'Итоги'!$B$9</x:f>
        <x:v>1.2958368660043291</x:v>
      </x:c>
      <x:c r="F21" s="129" t="n">
        <x:f>ABS(D21-E21)</x:f>
        <x:v>0.15480518735436677</x:v>
      </x:c>
    </x:row>
    <x:row r="22">
      <x:c r="A22" s="107" t="n">
        <x:v>21</x:v>
      </x:c>
      <x:c r="B22" s="128" t="n">
        <x:v>2.5161754801707477</x:v>
      </x:c>
      <x:c r="C22" s="128" t="n">
        <x:f>LN(B22)</x:f>
        <x:v>0.9227400821019218</x:v>
      </x:c>
      <x:c r="D22" s="128" t="n">
        <x:f>'Итоги'!$B$8*AVERAGE($C$2:C22)</x:f>
        <x:v>1.469443868160846</x:v>
      </x:c>
      <x:c r="E22" s="128" t="n">
        <x:f>'Итоги'!$B$9</x:f>
        <x:v>1.2958368660043291</x:v>
      </x:c>
      <x:c r="F22" s="129" t="n">
        <x:f>ABS(D22-E22)</x:f>
        <x:v>0.1736070021565168</x:v>
      </x:c>
    </x:row>
    <x:row r="23">
      <x:c r="A23" s="107" t="n">
        <x:v>22</x:v>
      </x:c>
      <x:c r="B23" s="128" t="n">
        <x:v>1.7090519362597367</x:v>
      </x:c>
      <x:c r="C23" s="128" t="n">
        <x:f>LN(B23)</x:f>
        <x:v>0.5359387935252532</x:v>
      </x:c>
      <x:c r="D23" s="128" t="n">
        <x:f>'Итоги'!$B$8*AVERAGE($C$2:C23)</x:f>
        <x:v>1.4513726735649213</x:v>
      </x:c>
      <x:c r="E23" s="128" t="n">
        <x:f>'Итоги'!$B$9</x:f>
        <x:v>1.2958368660043291</x:v>
      </x:c>
      <x:c r="F23" s="129" t="n">
        <x:f>ABS(D23-E23)</x:f>
        <x:v>0.15553580756059215</x:v>
      </x:c>
    </x:row>
    <x:row r="24">
      <x:c r="A24" s="107" t="n">
        <x:v>23</x:v>
      </x:c>
      <x:c r="B24" s="128" t="n">
        <x:v>2.9413960487898065</x:v>
      </x:c>
      <x:c r="C24" s="128" t="n">
        <x:f>LN(B24)</x:f>
        <x:v>1.0788843151737997</x:v>
      </x:c>
      <x:c r="D24" s="128" t="n">
        <x:f>'Итоги'!$B$8*AVERAGE($C$2:C24)</x:f>
        <x:v>1.482085541251125</x:v>
      </x:c>
      <x:c r="E24" s="128" t="n">
        <x:f>'Итоги'!$B$9</x:f>
        <x:v>1.2958368660043291</x:v>
      </x:c>
      <x:c r="F24" s="129" t="n">
        <x:f>ABS(D24-E24)</x:f>
        <x:v>0.18624867524679578</x:v>
      </x:c>
    </x:row>
    <x:row r="25">
      <x:c r="A25" s="107" t="n">
        <x:v>24</x:v>
      </x:c>
      <x:c r="B25" s="128" t="n">
        <x:v>2.7862422426443954</x:v>
      </x:c>
      <x:c r="C25" s="128" t="n">
        <x:f>LN(B25)</x:f>
        <x:v>1.024693821557725</x:v>
      </x:c>
      <x:c r="D25" s="128" t="n">
        <x:f>'Итоги'!$B$8*AVERAGE($C$2:C25)</x:f>
        <x:v>1.505723128828805</x:v>
      </x:c>
      <x:c r="E25" s="128" t="n">
        <x:f>'Итоги'!$B$9</x:f>
        <x:v>1.2958368660043291</x:v>
      </x:c>
      <x:c r="F25" s="129" t="n">
        <x:f>ABS(D25-E25)</x:f>
        <x:v>0.20988626282447598</x:v>
      </x:c>
    </x:row>
    <x:row r="26">
      <x:c r="A26" s="107" t="n">
        <x:v>25</x:v>
      </x:c>
      <x:c r="B26" s="128" t="n">
        <x:v>2.556766994147524</x:v>
      </x:c>
      <x:c r="C26" s="128" t="n">
        <x:f>LN(B26)</x:f>
        <x:v>0.9387435674590633</x:v>
      </x:c>
      <x:c r="D26" s="128" t="n">
        <x:f>'Итоги'!$B$8*AVERAGE($C$2:C26)</x:f>
        <x:v>1.520593689072378</x:v>
      </x:c>
      <x:c r="E26" s="128" t="n">
        <x:f>'Итоги'!$B$9</x:f>
        <x:v>1.2958368660043291</x:v>
      </x:c>
      <x:c r="F26" s="129" t="n">
        <x:f>ABS(D26-E26)</x:f>
        <x:v>0.22475682306804878</x:v>
      </x:c>
    </x:row>
    <x:row r="27">
      <x:c r="A27" s="107" t="n">
        <x:v>26</x:v>
      </x:c>
      <x:c r="B27" s="128" t="n">
        <x:v>1.3892774157039351</x:v>
      </x:c>
      <x:c r="C27" s="128" t="n">
        <x:f>LN(B27)</x:f>
        <x:v>0.32878376715912483</x:v>
      </x:c>
      <x:c r="D27" s="128" t="n">
        <x:f>'Итоги'!$B$8*AVERAGE($C$2:C27)</x:f>
        <x:v>1.4874003754279883</x:v>
      </x:c>
      <x:c r="E27" s="128" t="n">
        <x:f>'Итоги'!$B$9</x:f>
        <x:v>1.2958368660043291</x:v>
      </x:c>
      <x:c r="F27" s="129" t="n">
        <x:f>ABS(D27-E27)</x:f>
        <x:v>0.19156350942365918</x:v>
      </x:c>
    </x:row>
    <x:row r="28">
      <x:c r="A28" s="107" t="n">
        <x:v>27</x:v>
      </x:c>
      <x:c r="B28" s="128" t="n">
        <x:v>1.9334420074540684</x:v>
      </x:c>
      <x:c r="C28" s="128" t="n">
        <x:f>LN(B28)</x:f>
        <x:v>0.6593018380566031</x:v>
      </x:c>
      <x:c r="D28" s="128" t="n">
        <x:f>'Итоги'!$B$8*AVERAGE($C$2:C28)</x:f>
        <x:v>1.481148645823737</x:v>
      </x:c>
      <x:c r="E28" s="128" t="n">
        <x:f>'Итоги'!$B$9</x:f>
        <x:v>1.2958368660043291</x:v>
      </x:c>
      <x:c r="F28" s="129" t="n">
        <x:f>ABS(D28-E28)</x:f>
        <x:v>0.18531177981940794</x:v>
      </x:c>
    </x:row>
    <x:row r="29">
      <x:c r="A29" s="107" t="n">
        <x:v>28</x:v>
      </x:c>
      <x:c r="B29" s="128" t="n">
        <x:v>1.0876075315744576</x:v>
      </x:c>
      <x:c r="C29" s="128" t="n">
        <x:f>LN(B29)</x:f>
        <x:v>0.08398035870113243</x:v>
      </x:c>
      <x:c r="D29" s="128" t="n">
        <x:f>'Итоги'!$B$8*AVERAGE($C$2:C29)</x:f>
        <x:v>1.4342490769515417</x:v>
      </x:c>
      <x:c r="E29" s="128" t="n">
        <x:f>'Итоги'!$B$9</x:f>
        <x:v>1.2958368660043291</x:v>
      </x:c>
      <x:c r="F29" s="129" t="n">
        <x:f>ABS(D29-E29)</x:f>
        <x:v>0.13841221094721257</x:v>
      </x:c>
    </x:row>
    <x:row r="30">
      <x:c r="A30" s="107" t="n">
        <x:v>29</x:v>
      </x:c>
      <x:c r="B30" s="128" t="n">
        <x:v>1.3085789841350957</x:v>
      </x:c>
      <x:c r="C30" s="128" t="n">
        <x:f>LN(B30)</x:f>
        <x:v>0.2689418035164224</x:v>
      </x:c>
      <x:c r="D30" s="128" t="n">
        <x:f>'Итоги'!$B$8*AVERAGE($C$2:C30)</x:f>
        <x:v>1.4033399228164143</x:v>
      </x:c>
      <x:c r="E30" s="128" t="n">
        <x:f>'Итоги'!$B$9</x:f>
        <x:v>1.2958368660043291</x:v>
      </x:c>
      <x:c r="F30" s="129" t="n">
        <x:f>ABS(D30-E30)</x:f>
        <x:v>0.10750305681208516</x:v>
      </x:c>
    </x:row>
    <x:row r="31">
      <x:c r="A31" s="107" t="n">
        <x:v>30</x:v>
      </x:c>
      <x:c r="B31" s="128" t="n">
        <x:v>2.3660979064849093</x:v>
      </x:c>
      <x:c r="C31" s="128" t="n">
        <x:f>LN(B31)</x:f>
        <x:v>0.8612421452938328</x:v>
      </x:c>
      <x:c r="D31" s="128" t="n">
        <x:f>'Итоги'!$B$8*AVERAGE($C$2:C31)</x:f>
        <x:v>1.4139780684087893</x:v>
      </x:c>
      <x:c r="E31" s="128" t="n">
        <x:f>'Итоги'!$B$9</x:f>
        <x:v>1.2958368660043291</x:v>
      </x:c>
      <x:c r="F31" s="129" t="n">
        <x:f>ABS(D31-E31)</x:f>
        <x:v>0.11814120240446013</x:v>
      </x:c>
    </x:row>
    <x:row r="32">
      <x:c r="A32" s="107" t="n">
        <x:v>31</x:v>
      </x:c>
      <x:c r="B32" s="128" t="n">
        <x:v>2.489524311815634</x:v>
      </x:c>
      <x:c r="C32" s="128" t="n">
        <x:f>LN(B32)</x:f>
        <x:v>0.9120916527947874</x:v>
      </x:c>
      <x:c r="D32" s="128" t="n">
        <x:f>'Итоги'!$B$8*AVERAGE($C$2:C32)</x:f>
        <x:v>1.4272104954146212</x:v>
      </x:c>
      <x:c r="E32" s="128" t="n">
        <x:f>'Итоги'!$B$9</x:f>
        <x:v>1.2958368660043291</x:v>
      </x:c>
      <x:c r="F32" s="129" t="n">
        <x:f>ABS(D32-E32)</x:f>
        <x:v>0.13137362941029207</x:v>
      </x:c>
    </x:row>
    <x:row r="33">
      <x:c r="A33" s="107" t="n">
        <x:v>32</x:v>
      </x:c>
      <x:c r="B33" s="128" t="n">
        <x:v>2.93501946486842</x:v>
      </x:c>
      <x:c r="C33" s="128" t="n">
        <x:f>LN(B33)</x:f>
        <x:v>1.0767140852404942</x:v>
      </x:c>
      <x:c r="D33" s="128" t="n">
        <x:f>'Итоги'!$B$8*AVERAGE($C$2:C33)</x:f>
        <x:v>1.4499047977604451</x:v>
      </x:c>
      <x:c r="E33" s="128" t="n">
        <x:f>'Итоги'!$B$9</x:f>
        <x:v>1.2958368660043291</x:v>
      </x:c>
      <x:c r="F33" s="129" t="n">
        <x:f>ABS(D33-E33)</x:f>
        <x:v>0.154067931756116</x:v>
      </x:c>
    </x:row>
    <x:row r="34">
      <x:c r="A34" s="107" t="n">
        <x:v>33</x:v>
      </x:c>
      <x:c r="B34" s="128" t="n">
        <x:v>1.6516507162763039</x:v>
      </x:c>
      <x:c r="C34" s="128" t="n">
        <x:f>LN(B34)</x:f>
        <x:v>0.5017752219186564</x:v>
      </x:c>
      <x:c r="D34" s="128" t="n">
        <x:f>'Итоги'!$B$8*AVERAGE($C$2:C34)</x:f>
        <x:v>1.4363789082476228</x:v>
      </x:c>
      <x:c r="E34" s="128" t="n">
        <x:f>'Итоги'!$B$9</x:f>
        <x:v>1.2958368660043291</x:v>
      </x:c>
      <x:c r="F34" s="129" t="n">
        <x:f>ABS(D34-E34)</x:f>
        <x:v>0.1405420422432937</x:v>
      </x:c>
    </x:row>
    <x:row r="35">
      <x:c r="A35" s="107" t="n">
        <x:v>34</x:v>
      </x:c>
      <x:c r="B35" s="128" t="n">
        <x:v>1.7409194120697378</x:v>
      </x:c>
      <x:c r="C35" s="128" t="n">
        <x:f>LN(B35)</x:f>
        <x:v>0.5544133714147372</x:v>
      </x:c>
      <x:c r="D35" s="128" t="n">
        <x:f>'Итоги'!$B$8*AVERAGE($C$2:C35)</x:f>
        <x:v>1.426745021029442</x:v>
      </x:c>
      <x:c r="E35" s="128" t="n">
        <x:f>'Итоги'!$B$9</x:f>
        <x:v>1.2958368660043291</x:v>
      </x:c>
      <x:c r="F35" s="129" t="n">
        <x:f>ABS(D35-E35)</x:f>
        <x:v>0.13090815502511277</x:v>
      </x:c>
    </x:row>
    <x:row r="36">
      <x:c r="A36" s="107" t="n">
        <x:v>35</x:v>
      </x:c>
      <x:c r="B36" s="128" t="n">
        <x:v>1.9391116225516158</x:v>
      </x:c>
      <x:c r="C36" s="128" t="n">
        <x:f>LN(B36)</x:f>
        <x:v>0.6622299416750828</x:v>
      </x:c>
      <x:c r="D36" s="128" t="n">
        <x:f>'Итоги'!$B$8*AVERAGE($C$2:C36)</x:f>
        <x:v>1.4238225885243199</x:v>
      </x:c>
      <x:c r="E36" s="128" t="n">
        <x:f>'Итоги'!$B$9</x:f>
        <x:v>1.2958368660043291</x:v>
      </x:c>
      <x:c r="F36" s="129" t="n">
        <x:f>ABS(D36-E36)</x:f>
        <x:v>0.12798572251999074</x:v>
      </x:c>
    </x:row>
    <x:row r="37">
      <x:c r="A37" s="107" t="n">
        <x:v>36</x:v>
      </x:c>
      <x:c r="B37" s="128" t="n">
        <x:v>1.3789427181685714</x:v>
      </x:c>
      <x:c r="C37" s="128" t="n">
        <x:f>LN(B37)</x:f>
        <x:v>0.3213170592744228</x:v>
      </x:c>
      <x:c r="D37" s="128" t="n">
        <x:f>'Итоги'!$B$8*AVERAGE($C$2:C37)</x:f>
        <x:v>1.402122908802779</x:v>
      </x:c>
      <x:c r="E37" s="128" t="n">
        <x:f>'Итоги'!$B$9</x:f>
        <x:v>1.2958368660043291</x:v>
      </x:c>
      <x:c r="F37" s="129" t="n">
        <x:f>ABS(D37-E37)</x:f>
        <x:v>0.10628604279844978</x:v>
      </x:c>
    </x:row>
    <x:row r="38">
      <x:c r="A38" s="107" t="n">
        <x:v>37</x:v>
      </x:c>
      <x:c r="B38" s="128" t="n">
        <x:v>1.2598430106709433</x:v>
      </x:c>
      <x:c r="C38" s="128" t="n">
        <x:f>LN(B38)</x:f>
        <x:v>0.23098711849522094</x:v>
      </x:c>
      <x:c r="D38" s="128" t="n">
        <x:f>'Итоги'!$B$8*AVERAGE($C$2:C38)</x:f>
        <x:v>1.3767134852402834</x:v>
      </x:c>
      <x:c r="E38" s="128" t="n">
        <x:f>'Итоги'!$B$9</x:f>
        <x:v>1.2958368660043291</x:v>
      </x:c>
      <x:c r="F38" s="129" t="n">
        <x:f>ABS(D38-E38)</x:f>
        <x:v>0.08087661923595424</x:v>
      </x:c>
    </x:row>
    <x:row r="39">
      <x:c r="A39" s="107" t="n">
        <x:v>38</x:v>
      </x:c>
      <x:c r="B39" s="128" t="n">
        <x:v>1.9514098524518675</x:v>
      </x:c>
      <x:c r="C39" s="128" t="n">
        <x:f>LN(B39)</x:f>
        <x:v>0.6685521125935244</x:v>
      </x:c>
      <x:c r="D39" s="128" t="n">
        <x:f>'Итоги'!$B$8*AVERAGE($C$2:C39)</x:f>
        <x:v>1.375671136291514</x:v>
      </x:c>
      <x:c r="E39" s="128" t="n">
        <x:f>'Итоги'!$B$9</x:f>
        <x:v>1.2958368660043291</x:v>
      </x:c>
      <x:c r="F39" s="129" t="n">
        <x:f>ABS(D39-E39)</x:f>
        <x:v>0.07983427028718482</x:v>
      </x:c>
    </x:row>
    <x:row r="40">
      <x:c r="A40" s="107" t="n">
        <x:v>39</x:v>
      </x:c>
      <x:c r="B40" s="128" t="n">
        <x:v>1.4538186981017682</x:v>
      </x:c>
      <x:c r="C40" s="128" t="n">
        <x:f>LN(B40)</x:f>
        <x:v>0.37419367952219224</x:v>
      </x:c>
      <x:c r="D40" s="128" t="n">
        <x:f>'Итоги'!$B$8*AVERAGE($C$2:C40)</x:f>
        <x:v>1.359586936874921</x:v>
      </x:c>
      <x:c r="E40" s="128" t="n">
        <x:f>'Итоги'!$B$9</x:f>
        <x:v>1.2958368660043291</x:v>
      </x:c>
      <x:c r="F40" s="129" t="n">
        <x:f>ABS(D40-E40)</x:f>
        <x:v>0.06375007087059181</x:v>
      </x:c>
    </x:row>
    <x:row r="41">
      <x:c r="A41" s="107" t="n">
        <x:v>40</x:v>
      </x:c>
      <x:c r="B41" s="128" t="n">
        <x:v>2.3396279893650207</x:v>
      </x:c>
      <x:c r="C41" s="128" t="n">
        <x:f>LN(B41)</x:f>
        <x:v>0.8499919378272873</x:v>
      </x:c>
      <x:c r="D41" s="128" t="n">
        <x:f>'Итоги'!$B$8*AVERAGE($C$2:C41)</x:f>
        <x:v>1.3680968603444124</x:v>
      </x:c>
      <x:c r="E41" s="128" t="n">
        <x:f>'Итоги'!$B$9</x:f>
        <x:v>1.2958368660043291</x:v>
      </x:c>
      <x:c r="F41" s="129" t="n">
        <x:f>ABS(D41-E41)</x:f>
        <x:v>0.07225999434008323</x:v>
      </x:c>
    </x:row>
    <x:row r="42">
      <x:c r="A42" s="107" t="n">
        <x:v>41</x:v>
      </x:c>
      <x:c r="B42" s="128" t="n">
        <x:v>1.8743038377446615</x:v>
      </x:c>
      <x:c r="C42" s="128" t="n">
        <x:f>LN(B42)</x:f>
        <x:v>0.6282373039422818</x:v>
      </x:c>
      <x:c r="D42" s="128" t="n">
        <x:f>'Итоги'!$B$8*AVERAGE($C$2:C42)</x:f>
        <x:v>1.365374366381977</x:v>
      </x:c>
      <x:c r="E42" s="128" t="n">
        <x:f>'Итоги'!$B$9</x:f>
        <x:v>1.2958368660043291</x:v>
      </x:c>
      <x:c r="F42" s="129" t="n">
        <x:f>ABS(D42-E42)</x:f>
        <x:v>0.06953750037764794</x:v>
      </x:c>
    </x:row>
    <x:row r="43">
      <x:c r="A43" s="107" t="n">
        <x:v>42</x:v>
      </x:c>
      <x:c r="B43" s="128" t="n">
        <x:v>2.665356392115675</x:v>
      </x:c>
      <x:c r="C43" s="128" t="n">
        <x:f>LN(B43)</x:f>
        <x:v>0.9803377793016838</x:v>
      </x:c>
      <x:c r="D43" s="128" t="n">
        <x:f>'Итоги'!$B$8*AVERAGE($C$2:C43)</x:f>
        <x:v>1.3795482042920102</x:v>
      </x:c>
      <x:c r="E43" s="128" t="n">
        <x:f>'Итоги'!$B$9</x:f>
        <x:v>1.2958368660043291</x:v>
      </x:c>
      <x:c r="F43" s="129" t="n">
        <x:f>ABS(D43-E43)</x:f>
        <x:v>0.08371133828768107</x:v>
      </x:c>
    </x:row>
    <x:row r="44">
      <x:c r="A44" s="107" t="n">
        <x:v>43</x:v>
      </x:c>
      <x:c r="B44" s="128" t="n">
        <x:v>2.4005302040044985</x:v>
      </x:c>
      <x:c r="C44" s="128" t="n">
        <x:f>LN(B44)</x:f>
        <x:v>0.8756896312902456</x:v>
      </x:c>
      <x:c r="D44" s="128" t="n">
        <x:f>'Итоги'!$B$8*AVERAGE($C$2:C44)</x:f>
        <x:v>1.3881954382056958</x:v>
      </x:c>
      <x:c r="E44" s="128" t="n">
        <x:f>'Итоги'!$B$9</x:f>
        <x:v>1.2958368660043291</x:v>
      </x:c>
      <x:c r="F44" s="129" t="n">
        <x:f>ABS(D44-E44)</x:f>
        <x:v>0.09235857220136667</x:v>
      </x:c>
    </x:row>
    <x:row r="45">
      <x:c r="A45" s="107" t="n">
        <x:v>44</x:v>
      </x:c>
      <x:c r="B45" s="128" t="n">
        <x:v>1.6247332827640821</x:v>
      </x:c>
      <x:c r="C45" s="128" t="n">
        <x:f>LN(B45)</x:f>
        <x:v>0.4853436686266519</x:v>
      </x:c>
      <x:c r="D45" s="128" t="n">
        <x:f>'Итоги'!$B$8*AVERAGE($C$2:C45)</x:f>
        <x:v>1.378706617729505</x:v>
      </x:c>
      <x:c r="E45" s="128" t="n">
        <x:f>'Итоги'!$B$9</x:f>
        <x:v>1.2958368660043291</x:v>
      </x:c>
      <x:c r="F45" s="129" t="n">
        <x:f>ABS(D45-E45)</x:f>
        <x:v>0.08286975172517597</x:v>
      </x:c>
    </x:row>
    <x:row r="46">
      <x:c r="A46" s="107" t="n">
        <x:v>45</x:v>
      </x:c>
      <x:c r="B46" s="128" t="n">
        <x:v>2.664519602790402</x:v>
      </x:c>
      <x:c r="C46" s="128" t="n">
        <x:f>LN(B46)</x:f>
        <x:v>0.9800237797516198</x:v>
      </x:c>
      <x:c r="D46" s="128" t="n">
        <x:f>'Итоги'!$B$8*AVERAGE($C$2:C46)</x:f>
        <x:v>1.391625305324477</x:v>
      </x:c>
      <x:c r="E46" s="128" t="n">
        <x:f>'Итоги'!$B$9</x:f>
        <x:v>1.2958368660043291</x:v>
      </x:c>
      <x:c r="F46" s="129" t="n">
        <x:f>ABS(D46-E46)</x:f>
        <x:v>0.0957884393201478</x:v>
      </x:c>
    </x:row>
    <x:row r="47">
      <x:c r="A47" s="107" t="n">
        <x:v>46</x:v>
      </x:c>
      <x:c r="B47" s="128" t="n">
        <x:v>2.609528714993604</x:v>
      </x:c>
      <x:c r="C47" s="128" t="n">
        <x:f>LN(B47)</x:f>
        <x:v>0.9591696360620954</x:v>
      </x:c>
      <x:c r="D47" s="128" t="n">
        <x:f>'Итоги'!$B$8*AVERAGE($C$2:C47)</x:f>
        <x:v>1.4030756089505574</x:v>
      </x:c>
      <x:c r="E47" s="128" t="n">
        <x:f>'Итоги'!$B$9</x:f>
        <x:v>1.2958368660043291</x:v>
      </x:c>
      <x:c r="F47" s="129" t="n">
        <x:f>ABS(D47-E47)</x:f>
        <x:v>0.10723874294622826</x:v>
      </x:c>
    </x:row>
    <x:row r="48">
      <x:c r="A48" s="107" t="n">
        <x:v>47</x:v>
      </x:c>
      <x:c r="B48" s="128" t="n">
        <x:v>1.774956758060349</x:v>
      </x:c>
      <x:c r="C48" s="128" t="n">
        <x:f>LN(B48)</x:f>
        <x:v>0.5737760609744877</x:v>
      </x:c>
      <x:c r="D48" s="128" t="n">
        <x:f>'Итоги'!$B$8*AVERAGE($C$2:C48)</x:f>
        <x:v>1.3976389390143535</x:v>
      </x:c>
      <x:c r="E48" s="128" t="n">
        <x:f>'Итоги'!$B$9</x:f>
        <x:v>1.2958368660043291</x:v>
      </x:c>
      <x:c r="F48" s="129" t="n">
        <x:f>ABS(D48-E48)</x:f>
        <x:v>0.10180207301002442</x:v>
      </x:c>
    </x:row>
    <x:row r="49">
      <x:c r="A49" s="107" t="n">
        <x:v>48</x:v>
      </x:c>
      <x:c r="B49" s="128" t="n">
        <x:v>1.5766562078604882</x:v>
      </x:c>
      <x:c r="C49" s="128" t="n">
        <x:f>LN(B49)</x:f>
        <x:v>0.45530628032143944</x:v>
      </x:c>
      <x:c r="D49" s="128" t="n">
        <x:f>'Итоги'!$B$8*AVERAGE($C$2:C49)</x:f>
        <x:v>1.3874925561316145</x:v>
      </x:c>
      <x:c r="E49" s="128" t="n">
        <x:f>'Итоги'!$B$9</x:f>
        <x:v>1.2958368660043291</x:v>
      </x:c>
      <x:c r="F49" s="129" t="n">
        <x:f>ABS(D49-E49)</x:f>
        <x:v>0.09165569012728536</x:v>
      </x:c>
    </x:row>
    <x:row r="50">
      <x:c r="A50" s="107" t="n">
        <x:v>49</x:v>
      </x:c>
      <x:c r="B50" s="128" t="n">
        <x:v>2.3649910079499508</x:v>
      </x:c>
      <x:c r="C50" s="128" t="n">
        <x:f>LN(B50)</x:f>
        <x:v>0.8607742198013408</x:v>
      </x:c>
      <x:c r="D50" s="128" t="n">
        <x:f>'Итоги'!$B$8*AVERAGE($C$2:C50)</x:f>
        <x:v>1.3943100231412282</x:v>
      </x:c>
      <x:c r="E50" s="128" t="n">
        <x:f>'Итоги'!$B$9</x:f>
        <x:v>1.2958368660043291</x:v>
      </x:c>
      <x:c r="F50" s="129" t="n">
        <x:f>ABS(D50-E50)</x:f>
        <x:v>0.09847315713689908</x:v>
      </x:c>
    </x:row>
    <x:row r="51">
      <x:c r="A51" s="107" t="n">
        <x:v>50</x:v>
      </x:c>
      <x:c r="B51" s="128" t="n">
        <x:v>1.2795049672186196</x:v>
      </x:c>
      <x:c r="C51" s="128" t="n">
        <x:f>LN(B51)</x:f>
        <x:v>0.24647325876618467</x:v>
      </x:c>
      <x:c r="D51" s="128" t="n">
        <x:f>'Итоги'!$B$8*AVERAGE($C$2:C51)</x:f>
        <x:v>1.3762827530290511</x:v>
      </x:c>
      <x:c r="E51" s="128" t="n">
        <x:f>'Итоги'!$B$9</x:f>
        <x:v>1.2958368660043291</x:v>
      </x:c>
      <x:c r="F51" s="129" t="n">
        <x:f>ABS(D51-E51)</x:f>
        <x:v>0.080445887024722</x:v>
      </x:c>
    </x:row>
    <x:row r="52">
      <x:c r="A52" s="107" t="n">
        <x:v>51</x:v>
      </x:c>
      <x:c r="B52" s="128" t="n">
        <x:v>1.3998164049502166</x:v>
      </x:c>
      <x:c r="C52" s="128" t="n">
        <x:f>LN(B52)</x:f>
        <x:v>0.3363410887004265</x:v>
      </x:c>
      <x:c r="D52" s="128" t="n">
        <x:f>'Итоги'!$B$8*AVERAGE($C$2:C52)</x:f>
        <x:v>1.3624866633108512</x:v>
      </x:c>
      <x:c r="E52" s="128" t="n">
        <x:f>'Итоги'!$B$9</x:f>
        <x:v>1.2958368660043291</x:v>
      </x:c>
      <x:c r="F52" s="129" t="n">
        <x:f>ABS(D52-E52)</x:f>
        <x:v>0.0666497973065221</x:v>
      </x:c>
    </x:row>
    <x:row r="53">
      <x:c r="A53" s="107" t="n">
        <x:v>52</x:v>
      </x:c>
      <x:c r="B53" s="128" t="n">
        <x:v>1.014724539502011</x:v>
      </x:c>
      <x:c r="C53" s="128" t="n">
        <x:f>LN(B53)</x:f>
        <x:v>0.014617186007723432</x:v>
      </x:c>
      <x:c r="D53" s="128" t="n">
        <x:f>'Итоги'!$B$8*AVERAGE($C$2:C53)</x:f>
        <x:v>1.336847196170555</x:v>
      </x:c>
      <x:c r="E53" s="128" t="n">
        <x:f>'Итоги'!$B$9</x:f>
        <x:v>1.2958368660043291</x:v>
      </x:c>
      <x:c r="F53" s="129" t="n">
        <x:f>ABS(D53-E53)</x:f>
        <x:v>0.041010330166225906</x:v>
      </x:c>
    </x:row>
    <x:row r="54">
      <x:c r="A54" s="107" t="n">
        <x:v>53</x:v>
      </x:c>
      <x:c r="B54" s="128" t="n">
        <x:v>2.573848755004277</x:v>
      </x:c>
      <x:c r="C54" s="128" t="n">
        <x:f>LN(B54)</x:f>
        <x:v>0.9454023487079753</x:v>
      </x:c>
      <x:c r="D54" s="128" t="n">
        <x:f>'Итоги'!$B$8*AVERAGE($C$2:C54)</x:f>
        <x:v>1.3472992244959399</x:v>
      </x:c>
      <x:c r="E54" s="128" t="n">
        <x:f>'Итоги'!$B$9</x:f>
        <x:v>1.2958368660043291</x:v>
      </x:c>
      <x:c r="F54" s="129" t="n">
        <x:f>ABS(D54-E54)</x:f>
        <x:v>0.05146235849161074</x:v>
      </x:c>
    </x:row>
    <x:row r="55">
      <x:c r="A55" s="107" t="n">
        <x:v>54</x:v>
      </x:c>
      <x:c r="B55" s="128" t="n">
        <x:v>2.3297017131840643</x:v>
      </x:c>
      <x:c r="C55" s="128" t="n">
        <x:f>LN(B55)</x:f>
        <x:v>0.8457402392896614</x:v>
      </x:c>
      <x:c r="D55" s="128" t="n">
        <x:f>'Итоги'!$B$8*AVERAGE($C$2:C55)</x:f>
        <x:v>1.3536729514234098</x:v>
      </x:c>
      <x:c r="E55" s="128" t="n">
        <x:f>'Итоги'!$B$9</x:f>
        <x:v>1.2958368660043291</x:v>
      </x:c>
      <x:c r="F55" s="129" t="n">
        <x:f>ABS(D55-E55)</x:f>
        <x:v>0.057836085419080696</x:v>
      </x:c>
    </x:row>
    <x:row r="56">
      <x:c r="A56" s="107" t="n">
        <x:v>55</x:v>
      </x:c>
      <x:c r="B56" s="128" t="n">
        <x:v>2.4103307572526704</x:v>
      </x:c>
      <x:c r="C56" s="128" t="n">
        <x:f>LN(B56)</x:f>
        <x:v>0.8797639817588195</x:v>
      </x:c>
      <x:c r="D56" s="128" t="n">
        <x:f>'Итоги'!$B$8*AVERAGE($C$2:C56)</x:f>
        <x:v>1.3610521334614867</x:v>
      </x:c>
      <x:c r="E56" s="128" t="n">
        <x:f>'Итоги'!$B$9</x:f>
        <x:v>1.2958368660043291</x:v>
      </x:c>
      <x:c r="F56" s="129" t="n">
        <x:f>ABS(D56-E56)</x:f>
        <x:v>0.06521526745715756</x:v>
      </x:c>
    </x:row>
    <x:row r="57">
      <x:c r="A57" s="107" t="n">
        <x:v>56</x:v>
      </x:c>
      <x:c r="B57" s="128" t="n">
        <x:v>2.561458062043936</x:v>
      </x:c>
      <x:c r="C57" s="128" t="n">
        <x:f>LN(B57)</x:f>
        <x:v>0.9405766518422182</x:v>
      </x:c>
      <x:c r="D57" s="128" t="n">
        <x:f>'Итоги'!$B$8*AVERAGE($C$2:C57)</x:f>
        <x:v>1.3703396543583253</x:v>
      </x:c>
      <x:c r="E57" s="128" t="n">
        <x:f>'Итоги'!$B$9</x:f>
        <x:v>1.2958368660043291</x:v>
      </x:c>
      <x:c r="F57" s="129" t="n">
        <x:f>ABS(D57-E57)</x:f>
        <x:v>0.07450278835399615</x:v>
      </x:c>
    </x:row>
    <x:row r="58">
      <x:c r="A58" s="107" t="n">
        <x:v>57</x:v>
      </x:c>
      <x:c r="B58" s="128" t="n">
        <x:v>1.91783155107668</x:v>
      </x:c>
      <x:c r="C58" s="128" t="n">
        <x:f>LN(B58)</x:f>
        <x:v>0.6511951473054635</x:v>
      </x:c>
      <x:c r="D58" s="128" t="n">
        <x:f>'Итоги'!$B$8*AVERAGE($C$2:C58)</x:f>
        <x:v>1.3691475603276693</x:v>
      </x:c>
      <x:c r="E58" s="128" t="n">
        <x:f>'Итоги'!$B$9</x:f>
        <x:v>1.2958368660043291</x:v>
      </x:c>
      <x:c r="F58" s="129" t="n">
        <x:f>ABS(D58-E58)</x:f>
        <x:v>0.07331069432334014</x:v>
      </x:c>
    </x:row>
    <x:row r="59">
      <x:c r="A59" s="107" t="n">
        <x:v>58</x:v>
      </x:c>
      <x:c r="B59" s="128" t="n">
        <x:v>2.1374823919057873</x:v>
      </x:c>
      <x:c r="C59" s="128" t="n">
        <x:f>LN(B59)</x:f>
        <x:v>0.7596286840899533</x:v>
      </x:c>
      <x:c r="D59" s="128" t="n">
        <x:f>'Итоги'!$B$8*AVERAGE($C$2:C59)</x:f>
        <x:v>1.3717356604630526</x:v>
      </x:c>
      <x:c r="E59" s="128" t="n">
        <x:f>'Итоги'!$B$9</x:f>
        <x:v>1.2958368660043291</x:v>
      </x:c>
      <x:c r="F59" s="129" t="n">
        <x:f>ABS(D59-E59)</x:f>
        <x:v>0.0758987944587235</x:v>
      </x:c>
    </x:row>
    <x:row r="60">
      <x:c r="A60" s="107" t="n">
        <x:v>59</x:v>
      </x:c>
      <x:c r="B60" s="128" t="n">
        <x:v>1.279593996255315</x:v>
      </x:c>
      <x:c r="C60" s="128" t="n">
        <x:f>LN(B60)</x:f>
        <x:v>0.24654283719046752</x:v>
      </x:c>
      <x:c r="D60" s="128" t="n">
        <x:f>'Итоги'!$B$8*AVERAGE($C$2:C60)</x:f>
        <x:v>1.3568432878175931</x:v>
      </x:c>
      <x:c r="E60" s="128" t="n">
        <x:f>'Итоги'!$B$9</x:f>
        <x:v>1.2958368660043291</x:v>
      </x:c>
      <x:c r="F60" s="129" t="n">
        <x:f>ABS(D60-E60)</x:f>
        <x:v>0.06100642181326399</x:v>
      </x:c>
    </x:row>
    <x:row r="61">
      <x:c r="A61" s="107" t="n">
        <x:v>60</x:v>
      </x:c>
      <x:c r="B61" s="128" t="n">
        <x:v>1.2290601470719469</x:v>
      </x:c>
      <x:c r="C61" s="128" t="n">
        <x:f>LN(B61)</x:f>
        <x:v>0.2062497692333694</x:v>
      </x:c>
      <x:c r="D61" s="128" t="n">
        <x:f>'Итоги'!$B$8*AVERAGE($C$2:C61)</x:f>
        <x:v>1.341104225328412</x:v>
      </x:c>
      <x:c r="E61" s="128" t="n">
        <x:f>'Итоги'!$B$9</x:f>
        <x:v>1.2958368660043291</x:v>
      </x:c>
      <x:c r="F61" s="129" t="n">
        <x:f>ABS(D61-E61)</x:f>
        <x:v>0.04526735932408288</x:v>
      </x:c>
    </x:row>
    <x:row r="62">
      <x:c r="A62" s="107" t="n">
        <x:v>61</x:v>
      </x:c>
      <x:c r="B62" s="128" t="n">
        <x:v>2.3368059235809433</x:v>
      </x:c>
      <x:c r="C62" s="128" t="n">
        <x:f>LN(B62)</x:f>
        <x:v>0.8487850069995744</x:v>
      </x:c>
      <x:c r="D62" s="128" t="n">
        <x:f>'Итоги'!$B$8*AVERAGE($C$2:C62)</x:f>
        <x:v>1.3469479267820308</x:v>
      </x:c>
      <x:c r="E62" s="128" t="n">
        <x:f>'Итоги'!$B$9</x:f>
        <x:v>1.2958368660043291</x:v>
      </x:c>
      <x:c r="F62" s="129" t="n">
        <x:f>ABS(D62-E62)</x:f>
        <x:v>0.05111106077770167</x:v>
      </x:c>
    </x:row>
    <x:row r="63">
      <x:c r="A63" s="107" t="n">
        <x:v>62</x:v>
      </x:c>
      <x:c r="B63" s="128" t="n">
        <x:v>1.942192412286265</x:v>
      </x:c>
      <x:c r="C63" s="128" t="n">
        <x:f>LN(B63)</x:f>
        <x:v>0.6638174444081874</x:v>
      </x:c>
      <x:c r="D63" s="128" t="n">
        <x:f>'Итоги'!$B$8*AVERAGE($C$2:C63)</x:f>
        <x:v>1.3466364261696815</x:v>
      </x:c>
      <x:c r="E63" s="128" t="n">
        <x:f>'Итоги'!$B$9</x:f>
        <x:v>1.2958368660043291</x:v>
      </x:c>
      <x:c r="F63" s="129" t="n">
        <x:f>ABS(D63-E63)</x:f>
        <x:v>0.050799560165352364</x:v>
      </x:c>
    </x:row>
    <x:row r="64">
      <x:c r="A64" s="107" t="n">
        <x:v>63</x:v>
      </x:c>
      <x:c r="B64" s="128" t="n">
        <x:v>2.1304722129623777</x:v>
      </x:c>
      <x:c r="C64" s="128" t="n">
        <x:f>LN(B64)</x:f>
        <x:v>0.7563436513768251</x:v>
      </x:c>
      <x:c r="D64" s="128" t="n">
        <x:f>'Итоги'!$B$8*AVERAGE($C$2:C64)</x:f>
        <x:v>1.349272154369427</x:v>
      </x:c>
      <x:c r="E64" s="128" t="n">
        <x:f>'Итоги'!$B$9</x:f>
        <x:v>1.2958368660043291</x:v>
      </x:c>
      <x:c r="F64" s="129" t="n">
        <x:f>ABS(D64-E64)</x:f>
        <x:v>0.05343528836509792</x:v>
      </x:c>
    </x:row>
    <x:row r="65">
      <x:c r="A65" s="107" t="n">
        <x:v>64</x:v>
      </x:c>
      <x:c r="B65" s="128" t="n">
        <x:v>2.529997714832051</x:v>
      </x:c>
      <x:c r="C65" s="128" t="n">
        <x:f>LN(B65)</x:f>
        <x:v>0.9282183995105827</x:v>
      </x:c>
      <x:c r="D65" s="128" t="n">
        <x:f>'Итоги'!$B$8*AVERAGE($C$2:C65)</x:f>
        <x:v>1.3571966019421104</x:v>
      </x:c>
      <x:c r="E65" s="128" t="n">
        <x:f>'Итоги'!$B$9</x:f>
        <x:v>1.2958368660043291</x:v>
      </x:c>
      <x:c r="F65" s="129" t="n">
        <x:f>ABS(D65-E65)</x:f>
        <x:v>0.06135973593778132</x:v>
      </x:c>
    </x:row>
    <x:row r="66">
      <x:c r="A66" s="107" t="n">
        <x:v>65</x:v>
      </x:c>
      <x:c r="B66" s="128" t="n">
        <x:v>2.2694366400011816</x:v>
      </x:c>
      <x:c r="C66" s="128" t="n">
        <x:f>LN(B66)</x:f>
        <x:v>0.8195316244815661</x:v>
      </x:c>
      <x:c r="D66" s="128" t="n">
        <x:f>'Итоги'!$B$8*AVERAGE($C$2:C66)</x:f>
        <x:v>1.3615330118962798</x:v>
      </x:c>
      <x:c r="E66" s="128" t="n">
        <x:f>'Итоги'!$B$9</x:f>
        <x:v>1.2958368660043291</x:v>
      </x:c>
      <x:c r="F66" s="129" t="n">
        <x:f>ABS(D66-E66)</x:f>
        <x:v>0.06569614589195072</x:v>
      </x:c>
    </x:row>
    <x:row r="67">
      <x:c r="A67" s="107" t="n">
        <x:v>66</x:v>
      </x:c>
      <x:c r="B67" s="128" t="n">
        <x:v>2.1071588013159914</x:v>
      </x:c>
      <x:c r="C67" s="128" t="n">
        <x:f>LN(B67)</x:f>
        <x:v>0.7453405004281212</x:v>
      </x:c>
      <x:c r="D67" s="128" t="n">
        <x:f>'Итоги'!$B$8*AVERAGE($C$2:C67)</x:f>
        <x:v>1.3634897996077946</x:v>
      </x:c>
      <x:c r="E67" s="128" t="n">
        <x:f>'Итоги'!$B$9</x:f>
        <x:v>1.2958368660043291</x:v>
      </x:c>
      <x:c r="F67" s="129" t="n">
        <x:f>ABS(D67-E67)</x:f>
        <x:v>0.06765293360346547</x:v>
      </x:c>
    </x:row>
    <x:row r="68">
      <x:c r="A68" s="107" t="n">
        <x:v>67</x:v>
      </x:c>
      <x:c r="B68" s="128" t="n">
        <x:v>2.1184143214908273</x:v>
      </x:c>
      <x:c r="C68" s="128" t="n">
        <x:f>LN(B68)</x:f>
        <x:v>0.7506678472601824</x:v>
      </x:c>
      <x:c r="D68" s="128" t="n">
        <x:f>'Итоги'!$B$8*AVERAGE($C$2:C68)</x:f>
        <x:v>1.3655472010244</x:v>
      </x:c>
      <x:c r="E68" s="128" t="n">
        <x:f>'Итоги'!$B$9</x:f>
        <x:v>1.2958368660043291</x:v>
      </x:c>
      <x:c r="F68" s="129" t="n">
        <x:f>ABS(D68-E68)</x:f>
        <x:v>0.06971033502007096</x:v>
      </x:c>
    </x:row>
    <x:row r="69">
      <x:c r="A69" s="107" t="n">
        <x:v>68</x:v>
      </x:c>
      <x:c r="B69" s="128" t="n">
        <x:v>1.6079001961252244</x:v>
      </x:c>
      <x:c r="C69" s="128" t="n">
        <x:f>LN(B69)</x:f>
        <x:v>0.4749291017442301</x:v>
      </x:c>
      <x:c r="D69" s="128" t="n">
        <x:f>'Итоги'!$B$8*AVERAGE($C$2:C69)</x:f>
        <x:v>1.3594341275312245</x:v>
      </x:c>
      <x:c r="E69" s="128" t="n">
        <x:f>'Итоги'!$B$9</x:f>
        <x:v>1.2958368660043291</x:v>
      </x:c>
      <x:c r="F69" s="129" t="n">
        <x:f>ABS(D69-E69)</x:f>
        <x:v>0.06359726152689538</x:v>
      </x:c>
    </x:row>
    <x:row r="70">
      <x:c r="A70" s="107" t="n">
        <x:v>69</x:v>
      </x:c>
      <x:c r="B70" s="128" t="n">
        <x:v>1.0616356691358788</x:v>
      </x:c>
      <x:c r="C70" s="128" t="n">
        <x:f>LN(B70)</x:f>
        <x:v>0.05981080288350693</x:v>
      </x:c>
      <x:c r="D70" s="128" t="n">
        <x:f>'Итоги'!$B$8*AVERAGE($C$2:C70)</x:f>
        <x:v>1.3414658301143518</x:v>
      </x:c>
      <x:c r="E70" s="128" t="n">
        <x:f>'Итоги'!$B$9</x:f>
        <x:v>1.2958368660043291</x:v>
      </x:c>
      <x:c r="F70" s="129" t="n">
        <x:f>ABS(D70-E70)</x:f>
        <x:v>0.04562896411002271</x:v>
      </x:c>
    </x:row>
    <x:row r="71">
      <x:c r="A71" s="107" t="n">
        <x:v>70</x:v>
      </x:c>
      <x:c r="B71" s="128" t="n">
        <x:v>1.8734347784647247</x:v>
      </x:c>
      <x:c r="C71" s="128" t="n">
        <x:f>LN(B71)</x:f>
        <x:v>0.6277735259766813</x:v>
      </x:c>
      <x:c r="D71" s="128" t="n">
        <x:f>'Итоги'!$B$8*AVERAGE($C$2:C71)</x:f>
        <x:v>1.340238418997766</x:v>
      </x:c>
      <x:c r="E71" s="128" t="n">
        <x:f>'Итоги'!$B$9</x:f>
        <x:v>1.2958368660043291</x:v>
      </x:c>
      <x:c r="F71" s="129" t="n">
        <x:f>ABS(D71-E71)</x:f>
        <x:v>0.044401552993436955</x:v>
      </x:c>
    </x:row>
    <x:row r="72">
      <x:c r="A72" s="107" t="n">
        <x:v>71</x:v>
      </x:c>
      <x:c r="B72" s="128" t="n">
        <x:v>1.4291693456390584</x:v>
      </x:c>
      <x:c r="C72" s="128" t="n">
        <x:f>LN(B72)</x:f>
        <x:v>0.35709339832182446</x:v>
      </x:c>
      <x:c r="D72" s="128" t="n">
        <x:f>'Итоги'!$B$8*AVERAGE($C$2:C72)</x:f>
        <x:v>1.3314207905139053</x:v>
      </x:c>
      <x:c r="E72" s="128" t="n">
        <x:f>'Итоги'!$B$9</x:f>
        <x:v>1.2958368660043291</x:v>
      </x:c>
      <x:c r="F72" s="129" t="n">
        <x:f>ABS(D72-E72)</x:f>
        <x:v>0.03558392450957615</x:v>
      </x:c>
    </x:row>
    <x:row r="73">
      <x:c r="A73" s="107" t="n">
        <x:v>72</x:v>
      </x:c>
      <x:c r="B73" s="128" t="n">
        <x:v>1.8170572874492723</x:v>
      </x:c>
      <x:c r="C73" s="128" t="n">
        <x:f>LN(B73)</x:f>
        <x:v>0.5972183175077023</x:v>
      </x:c>
      <x:c r="D73" s="128" t="n">
        <x:f>'Итоги'!$B$8*AVERAGE($C$2:C73)</x:f>
        <x:v>1.3295182327986483</x:v>
      </x:c>
      <x:c r="E73" s="128" t="n">
        <x:f>'Итоги'!$B$9</x:f>
        <x:v>1.2958368660043291</x:v>
      </x:c>
      <x:c r="F73" s="129" t="n">
        <x:f>ABS(D73-E73)</x:f>
        <x:v>0.03368136679431921</x:v>
      </x:c>
    </x:row>
    <x:row r="74">
      <x:c r="A74" s="107" t="n">
        <x:v>73</x:v>
      </x:c>
      <x:c r="B74" s="128" t="n">
        <x:v>2.7068061465363322</x:v>
      </x:c>
      <x:c r="C74" s="128" t="n">
        <x:f>LN(B74)</x:f>
        <x:v>0.9957693961493018</x:v>
      </x:c>
      <x:c r="D74" s="128" t="n">
        <x:f>'Итоги'!$B$8*AVERAGE($C$2:C74)</x:f>
        <x:v>1.3385870075863189</x:v>
      </x:c>
      <x:c r="E74" s="128" t="n">
        <x:f>'Итоги'!$B$9</x:f>
        <x:v>1.2958368660043291</x:v>
      </x:c>
      <x:c r="F74" s="129" t="n">
        <x:f>ABS(D74-E74)</x:f>
        <x:v>0.04275014158198975</x:v>
      </x:c>
    </x:row>
    <x:row r="75">
      <x:c r="A75" s="107" t="n">
        <x:v>74</x:v>
      </x:c>
      <x:c r="B75" s="128" t="n">
        <x:v>1.4678789717306815</x:v>
      </x:c>
      <x:c r="C75" s="128" t="n">
        <x:f>LN(B75)</x:f>
        <x:v>0.3838184824684548</x:v>
      </x:c>
      <x:c r="D75" s="128" t="n">
        <x:f>'Итоги'!$B$8*AVERAGE($C$2:C75)</x:f>
        <x:v>1.330871466469435</x:v>
      </x:c>
      <x:c r="E75" s="128" t="n">
        <x:f>'Итоги'!$B$9</x:f>
        <x:v>1.2958368660043291</x:v>
      </x:c>
      <x:c r="F75" s="129" t="n">
        <x:f>ABS(D75-E75)</x:f>
        <x:v>0.03503460046510587</x:v>
      </x:c>
    </x:row>
    <x:row r="76">
      <x:c r="A76" s="107" t="n">
        <x:v>75</x:v>
      </x:c>
      <x:c r="B76" s="128" t="n">
        <x:v>1.116605483378132</x:v>
      </x:c>
      <x:c r="C76" s="128" t="n">
        <x:f>LN(B76)</x:f>
        <x:v>0.11029326466312557</x:v>
      </x:c>
      <x:c r="D76" s="128" t="n">
        <x:f>'Итоги'!$B$8*AVERAGE($C$2:C76)</x:f>
        <x:v>1.316067667307526</x:v>
      </x:c>
      <x:c r="E76" s="128" t="n">
        <x:f>'Итоги'!$B$9</x:f>
        <x:v>1.2958368660043291</x:v>
      </x:c>
      <x:c r="F76" s="129" t="n">
        <x:f>ABS(D76-E76)</x:f>
        <x:v>0.020230801303196877</x:v>
      </x:c>
    </x:row>
    <x:row r="77">
      <x:c r="A77" s="107" t="n">
        <x:v>76</x:v>
      </x:c>
      <x:c r="B77" s="128" t="n">
        <x:v>1.562767784043993</x:v>
      </x:c>
      <x:c r="C77" s="128" t="n">
        <x:f>LN(B77)</x:f>
        <x:v>0.4464584697323941</x:v>
      </x:c>
      <x:c r="D77" s="128" t="n">
        <x:f>'Итоги'!$B$8*AVERAGE($C$2:C77)</x:f>
        <x:v>1.310499894572753</x:v>
      </x:c>
      <x:c r="E77" s="128" t="n">
        <x:f>'Итоги'!$B$9</x:f>
        <x:v>1.2958368660043291</x:v>
      </x:c>
      <x:c r="F77" s="129" t="n">
        <x:f>ABS(D77-E77)</x:f>
        <x:v>0.014663028568423941</x:v>
      </x:c>
    </x:row>
    <x:row r="78">
      <x:c r="A78" s="107" t="n">
        <x:v>77</x:v>
      </x:c>
      <x:c r="B78" s="128" t="n">
        <x:v>1.5871875155333672</x:v>
      </x:c>
      <x:c r="C78" s="128" t="n">
        <x:f>LN(B78)</x:f>
        <x:v>0.46196359180015184</x:v>
      </x:c>
      <x:c r="D78" s="128" t="n">
        <x:f>'Итоги'!$B$8*AVERAGE($C$2:C78)</x:f>
        <x:v>1.3054794697549288</x:v>
      </x:c>
      <x:c r="E78" s="128" t="n">
        <x:f>'Итоги'!$B$9</x:f>
        <x:v>1.2958368660043291</x:v>
      </x:c>
      <x:c r="F78" s="129" t="n">
        <x:f>ABS(D78-E78)</x:f>
        <x:v>0.009642603750599665</x:v>
      </x:c>
    </x:row>
    <x:row r="79">
      <x:c r="A79" s="107" t="n">
        <x:v>78</x:v>
      </x:c>
      <x:c r="B79" s="128" t="n">
        <x:v>2.32383302945379</x:v>
      </x:c>
      <x:c r="C79" s="128" t="n">
        <x:f>LN(B79)</x:f>
        <x:v>0.843217990218324</x:v>
      </x:c>
      <x:c r="D79" s="128" t="n">
        <x:f>'Итоги'!$B$8*AVERAGE($C$2:C79)</x:f>
        <x:v>1.3103635275841816</x:v>
      </x:c>
      <x:c r="E79" s="128" t="n">
        <x:f>'Итоги'!$B$9</x:f>
        <x:v>1.2958368660043291</x:v>
      </x:c>
      <x:c r="F79" s="129" t="n">
        <x:f>ABS(D79-E79)</x:f>
        <x:v>0.014526661579852496</x:v>
      </x:c>
    </x:row>
    <x:row r="80">
      <x:c r="A80" s="107" t="n">
        <x:v>79</x:v>
      </x:c>
      <x:c r="B80" s="128" t="n">
        <x:v>2.1140643046825565</x:v>
      </x:c>
      <x:c r="C80" s="128" t="n">
        <x:f>LN(B80)</x:f>
        <x:v>0.7486123054729044</x:v>
      </x:c>
      <x:c r="D80" s="128" t="n">
        <x:f>'Итоги'!$B$8*AVERAGE($C$2:C80)</x:f>
        <x:v>1.312728857753316</x:v>
      </x:c>
      <x:c r="E80" s="128" t="n">
        <x:f>'Итоги'!$B$9</x:f>
        <x:v>1.2958368660043291</x:v>
      </x:c>
      <x:c r="F80" s="129" t="n">
        <x:f>ABS(D80-E80)</x:f>
        <x:v>0.016891991748986923</x:v>
      </x:c>
    </x:row>
    <x:row r="81">
      <x:c r="A81" s="107" t="n">
        <x:v>80</x:v>
      </x:c>
      <x:c r="B81" s="128" t="n">
        <x:v>2.567796418212827</x:v>
      </x:c>
      <x:c r="C81" s="128" t="n">
        <x:f>LN(B81)</x:f>
        <x:v>0.9430481062883009</x:v>
      </x:c>
      <x:c r="D81" s="128" t="n">
        <x:f>'Итоги'!$B$8*AVERAGE($C$2:C81)</x:f>
        <x:v>1.3198959496886071</x:v>
      </x:c>
      <x:c r="E81" s="128" t="n">
        <x:f>'Итоги'!$B$9</x:f>
        <x:v>1.2958368660043291</x:v>
      </x:c>
      <x:c r="F81" s="129" t="n">
        <x:f>ABS(D81-E81)</x:f>
        <x:v>0.024059083684278004</x:v>
      </x:c>
    </x:row>
    <x:row r="82">
      <x:c r="A82" s="107" t="n">
        <x:v>81</x:v>
      </x:c>
      <x:c r="B82" s="128" t="n">
        <x:v>2.3286270806547753</x:v>
      </x:c>
      <x:c r="C82" s="128" t="n">
        <x:f>LN(B82)</x:f>
        <x:v>0.8452788581395058</x:v>
      </x:c>
      <x:c r="D82" s="128" t="n">
        <x:f>'Итоги'!$B$8*AVERAGE($C$2:C82)</x:f>
        <x:v>1.3244720208810814</x:v>
      </x:c>
      <x:c r="E82" s="128" t="n">
        <x:f>'Итоги'!$B$9</x:f>
        <x:v>1.2958368660043291</x:v>
      </x:c>
      <x:c r="F82" s="129" t="n">
        <x:f>ABS(D82-E82)</x:f>
        <x:v>0.028635154876752278</x:v>
      </x:c>
    </x:row>
    <x:row r="83">
      <x:c r="A83" s="107" t="n">
        <x:v>82</x:v>
      </x:c>
      <x:c r="B83" s="128" t="n">
        <x:v>1.812773722880141</x:v>
      </x:c>
      <x:c r="C83" s="128" t="n">
        <x:f>LN(B83)</x:f>
        <x:v>0.5948581158644709</x:v>
      </x:c>
      <x:c r="D83" s="128" t="n">
        <x:f>'Итоги'!$B$8*AVERAGE($C$2:C83)</x:f>
        <x:v>1.3228286575987382</x:v>
      </x:c>
      <x:c r="E83" s="128" t="n">
        <x:f>'Итоги'!$B$9</x:f>
        <x:v>1.2958368660043291</x:v>
      </x:c>
      <x:c r="F83" s="129" t="n">
        <x:f>ABS(D83-E83)</x:f>
        <x:v>0.02699179159440912</x:v>
      </x:c>
    </x:row>
    <x:row r="84">
      <x:c r="A84" s="107" t="n">
        <x:v>83</x:v>
      </x:c>
      <x:c r="B84" s="128" t="n">
        <x:v>2.6280407693320695</x:v>
      </x:c>
      <x:c r="C84" s="128" t="n">
        <x:f>LN(B84)</x:f>
        <x:v>0.9662386139465028</x:v>
      </x:c>
      <x:c r="D84" s="128" t="n">
        <x:f>'Итоги'!$B$8*AVERAGE($C$2:C84)</x:f>
        <x:v>1.3301738210962595</x:v>
      </x:c>
      <x:c r="E84" s="128" t="n">
        <x:f>'Итоги'!$B$9</x:f>
        <x:v>1.2958368660043291</x:v>
      </x:c>
      <x:c r="F84" s="129" t="n">
        <x:f>ABS(D84-E84)</x:f>
        <x:v>0.034336955091930355</x:v>
      </x:c>
    </x:row>
    <x:row r="85">
      <x:c r="A85" s="107" t="n">
        <x:v>84</x:v>
      </x:c>
      <x:c r="B85" s="128" t="n">
        <x:v>1.3339458398154078</x:v>
      </x:c>
      <x:c r="C85" s="128" t="n">
        <x:f>LN(B85)</x:f>
        <x:v>0.28814134683071135</x:v>
      </x:c>
      <x:c r="D85" s="128" t="n">
        <x:f>'Итоги'!$B$8*AVERAGE($C$2:C85)</x:f>
        <x:v>1.3211989267220352</x:v>
      </x:c>
      <x:c r="E85" s="128" t="n">
        <x:f>'Итоги'!$B$9</x:f>
        <x:v>1.2958368660043291</x:v>
      </x:c>
      <x:c r="F85" s="129" t="n">
        <x:f>ABS(D85-E85)</x:f>
        <x:v>0.02536206071770608</x:v>
      </x:c>
    </x:row>
    <x:row r="86">
      <x:c r="A86" s="107" t="n">
        <x:v>85</x:v>
      </x:c>
      <x:c r="B86" s="128" t="n">
        <x:v>1.045424146267721</x:v>
      </x:c>
      <x:c r="C86" s="128" t="n">
        <x:f>LN(B86)</x:f>
        <x:v>0.04442268466502611</x:v>
      </x:c>
      <x:c r="D86" s="128" t="n">
        <x:f>'Итоги'!$B$8*AVERAGE($C$2:C86)</x:f>
        <x:v>1.3067006495762472</x:v>
      </x:c>
      <x:c r="E86" s="128" t="n">
        <x:f>'Итоги'!$B$9</x:f>
        <x:v>1.2958368660043291</x:v>
      </x:c>
      <x:c r="F86" s="129" t="n">
        <x:f>ABS(D86-E86)</x:f>
        <x:v>0.010863783571918084</x:v>
      </x:c>
    </x:row>
    <x:row r="87">
      <x:c r="A87" s="107" t="n">
        <x:v>86</x:v>
      </x:c>
      <x:c r="B87" s="128" t="n">
        <x:v>1.1800957215512835</x:v>
      </x:c>
      <x:c r="C87" s="128" t="n">
        <x:f>LN(B87)</x:f>
        <x:v>0.1655955551462423</x:v>
      </x:c>
      <x:c r="D87" s="128" t="n">
        <x:f>'Итоги'!$B$8*AVERAGE($C$2:C87)</x:f>
        <x:v>1.295357515398529</x:v>
      </x:c>
      <x:c r="E87" s="128" t="n">
        <x:f>'Итоги'!$B$9</x:f>
        <x:v>1.2958368660043291</x:v>
      </x:c>
      <x:c r="F87" s="129" t="n">
        <x:f>ABS(D87-E87)</x:f>
        <x:v>0.0004793506058000663</x:v>
      </x:c>
    </x:row>
    <x:row r="88">
      <x:c r="A88" s="107" t="n">
        <x:v>87</x:v>
      </x:c>
      <x:c r="B88" s="128" t="n">
        <x:v>2.4447187011929006</x:v>
      </x:c>
      <x:c r="C88" s="128" t="n">
        <x:f>LN(B88)</x:f>
        <x:v>0.8939300656711526</x:v>
      </x:c>
      <x:c r="D88" s="128" t="n">
        <x:f>'Итоги'!$B$8*AVERAGE($C$2:C88)</x:f>
        <x:v>1.3010184650070782</x:v>
      </x:c>
      <x:c r="E88" s="128" t="n">
        <x:f>'Итоги'!$B$9</x:f>
        <x:v>1.2958368660043291</x:v>
      </x:c>
      <x:c r="F88" s="129" t="n">
        <x:f>ABS(D88-E88)</x:f>
        <x:v>0.00518159900274906</x:v>
      </x:c>
    </x:row>
    <x:row r="89">
      <x:c r="A89" s="107" t="n">
        <x:v>88</x:v>
      </x:c>
      <x:c r="B89" s="128" t="n">
        <x:v>1.9237544605027748</x:v>
      </x:c>
      <x:c r="C89" s="128" t="n">
        <x:f>LN(B89)</x:f>
        <x:v>0.6542787248181793</x:v>
      </x:c>
      <x:c r="D89" s="128" t="n">
        <x:f>'Итоги'!$B$8*AVERAGE($C$2:C89)</x:f>
        <x:v>1.3011041352869563</x:v>
      </x:c>
      <x:c r="E89" s="128" t="n">
        <x:f>'Итоги'!$B$9</x:f>
        <x:v>1.2958368660043291</x:v>
      </x:c>
      <x:c r="F89" s="129" t="n">
        <x:f>ABS(D89-E89)</x:f>
        <x:v>0.005267269282627218</x:v>
      </x:c>
    </x:row>
    <x:row r="90">
      <x:c r="A90" s="107" t="n">
        <x:v>89</x:v>
      </x:c>
      <x:c r="B90" s="128" t="n">
        <x:v>1.3225435580672036</x:v>
      </x:c>
      <x:c r="C90" s="128" t="n">
        <x:f>LN(B90)</x:f>
        <x:v>0.27955682036460977</x:v>
      </x:c>
      <x:c r="D90" s="128" t="n">
        <x:f>'Итоги'!$B$8*AVERAGE($C$2:C90)</x:f>
        <x:v>1.292767163437993</x:v>
      </x:c>
      <x:c r="E90" s="128" t="n">
        <x:f>'Итоги'!$B$9</x:f>
        <x:v>1.2958368660043291</x:v>
      </x:c>
      <x:c r="F90" s="129" t="n">
        <x:f>ABS(D90-E90)</x:f>
        <x:v>0.0030697025663362076</x:v>
      </x:c>
    </x:row>
    <x:row r="91">
      <x:c r="A91" s="107" t="n">
        <x:v>90</x:v>
      </x:c>
      <x:c r="B91" s="128" t="n">
        <x:v>2.002089550206727</x:v>
      </x:c>
      <x:c r="C91" s="128" t="n">
        <x:f>LN(B91)</x:f>
        <x:v>0.6941914102656461</x:v>
      </x:c>
      <x:c r="D91" s="128" t="n">
        <x:f>'Итоги'!$B$8*AVERAGE($C$2:C91)</x:f>
        <x:v>1.2938295596279186</x:v>
      </x:c>
      <x:c r="E91" s="128" t="n">
        <x:f>'Итоги'!$B$9</x:f>
        <x:v>1.2958368660043291</x:v>
      </x:c>
      <x:c r="F91" s="129" t="n">
        <x:f>ABS(D91-E91)</x:f>
        <x:v>0.002007306376410556</x:v>
      </x:c>
    </x:row>
    <x:row r="92">
      <x:c r="A92" s="107" t="n">
        <x:v>91</x:v>
      </x:c>
      <x:c r="B92" s="128" t="n">
        <x:v>1.3046242054263368</x:v>
      </x:c>
      <x:c r="C92" s="128" t="n">
        <x:f>LN(B92)</x:f>
        <x:v>0.26591503411417333</x:v>
      </x:c>
      <x:c r="D92" s="128" t="n">
        <x:f>'Итоги'!$B$8*AVERAGE($C$2:C92)</x:f>
        <x:v>1.2854559388433078</x:v>
      </x:c>
      <x:c r="E92" s="128" t="n">
        <x:f>'Итоги'!$B$9</x:f>
        <x:v>1.2958368660043291</x:v>
      </x:c>
      <x:c r="F92" s="129" t="n">
        <x:f>ABS(D92-E92)</x:f>
        <x:v>0.010380927161021347</x:v>
      </x:c>
    </x:row>
    <x:row r="93">
      <x:c r="A93" s="107" t="n">
        <x:v>92</x:v>
      </x:c>
      <x:c r="B93" s="128" t="n">
        <x:v>2.392640750155472</x:v>
      </x:c>
      <x:c r="C93" s="128" t="n">
        <x:f>LN(B93)</x:f>
        <x:v>0.872397672355625</x:v>
      </x:c>
      <x:c r="D93" s="128" t="n">
        <x:f>'Итоги'!$B$8*AVERAGE($C$2:C93)</x:f>
        <x:v>1.2904487584723072</x:v>
      </x:c>
      <x:c r="E93" s="128" t="n">
        <x:f>'Итоги'!$B$9</x:f>
        <x:v>1.2958368660043291</x:v>
      </x:c>
      <x:c r="F93" s="129" t="n">
        <x:f>ABS(D93-E93)</x:f>
        <x:v>0.005388107532021902</x:v>
      </x:c>
    </x:row>
    <x:row r="94">
      <x:c r="A94" s="107" t="n">
        <x:v>93</x:v>
      </x:c>
      <x:c r="B94" s="128" t="n">
        <x:v>1.8923125511480614</x:v>
      </x:c>
      <x:c r="C94" s="128" t="n">
        <x:f>LN(B94)</x:f>
        <x:v>0.6377996531533537</x:v>
      </x:c>
      <x:c r="D94" s="128" t="n">
        <x:f>'Итоги'!$B$8*AVERAGE($C$2:C94)</x:f>
        <x:v>1.2902890869436447</x:v>
      </x:c>
      <x:c r="E94" s="128" t="n">
        <x:f>'Итоги'!$B$9</x:f>
        <x:v>1.2958368660043291</x:v>
      </x:c>
      <x:c r="F94" s="129" t="n">
        <x:f>ABS(D94-E94)</x:f>
        <x:v>0.005547779060684377</x:v>
      </x:c>
    </x:row>
    <x:row r="95">
      <x:c r="A95" s="107" t="n">
        <x:v>94</x:v>
      </x:c>
      <x:c r="B95" s="128" t="n">
        <x:v>1.762042452192965</x:v>
      </x:c>
      <x:c r="C95" s="128" t="n">
        <x:f>LN(B95)</x:f>
        <x:v>0.5664736204093163</x:v>
      </x:c>
      <x:c r="D95" s="128" t="n">
        <x:f>'Итоги'!$B$8*AVERAGE($C$2:C95)</x:f>
        <x:v>1.288615237516783</x:v>
      </x:c>
      <x:c r="E95" s="128" t="n">
        <x:f>'Итоги'!$B$9</x:f>
        <x:v>1.2958368660043291</x:v>
      </x:c>
      <x:c r="F95" s="129" t="n">
        <x:f>ABS(D95-E95)</x:f>
        <x:v>0.00722162848754615</x:v>
      </x:c>
    </x:row>
    <x:row r="96">
      <x:c r="A96" s="107" t="n">
        <x:v>95</x:v>
      </x:c>
      <x:c r="B96" s="128" t="n">
        <x:v>1.603024178295753</x:v>
      </x:c>
      <x:c r="C96" s="128" t="n">
        <x:f>LN(B96)</x:f>
        <x:v>0.4718919566675983</x:v>
      </x:c>
      <x:c r="D96" s="128" t="n">
        <x:f>'Итоги'!$B$8*AVERAGE($C$2:C96)</x:f>
        <x:v>1.2849854341043452</x:v>
      </x:c>
      <x:c r="E96" s="128" t="n">
        <x:f>'Итоги'!$B$9</x:f>
        <x:v>1.2958368660043291</x:v>
      </x:c>
      <x:c r="F96" s="129" t="n">
        <x:f>ABS(D96-E96)</x:f>
        <x:v>0.010851431899983943</x:v>
      </x:c>
    </x:row>
    <x:row r="97">
      <x:c r="A97" s="107" t="n">
        <x:v>96</x:v>
      </x:c>
      <x:c r="B97" s="128" t="n">
        <x:v>2.260565186237777</x:v>
      </x:c>
      <x:c r="C97" s="128" t="n">
        <x:f>LN(B97)</x:f>
        <x:v>0.8156148644248981</x:v>
      </x:c>
      <x:c r="D97" s="128" t="n">
        <x:f>'Итоги'!$B$8*AVERAGE($C$2:C97)</x:f>
        <x:v>1.2885921455079437</x:v>
      </x:c>
      <x:c r="E97" s="128" t="n">
        <x:f>'Итоги'!$B$9</x:f>
        <x:v>1.2958368660043291</x:v>
      </x:c>
      <x:c r="F97" s="129" t="n">
        <x:f>ABS(D97-E97)</x:f>
        <x:v>0.0072447204963854706</x:v>
      </x:c>
    </x:row>
    <x:row r="98">
      <x:c r="A98" s="107" t="n">
        <x:v>97</x:v>
      </x:c>
      <x:c r="B98" s="128" t="n">
        <x:v>1.7236252211067808</x:v>
      </x:c>
      <x:c r="C98" s="128" t="n">
        <x:f>LN(B98)</x:f>
        <x:v>0.5444297594598562</x:v>
      </x:c>
      <x:c r="D98" s="128" t="n">
        <x:f>'Итоги'!$B$8*AVERAGE($C$2:C98)</x:f>
        <x:v>1.2865330462647662</x:v>
      </x:c>
      <x:c r="E98" s="128" t="n">
        <x:f>'Итоги'!$B$9</x:f>
        <x:v>1.2958368660043291</x:v>
      </x:c>
      <x:c r="F98" s="129" t="n">
        <x:f>ABS(D98-E98)</x:f>
        <x:v>0.009303819739562957</x:v>
      </x:c>
    </x:row>
    <x:row r="99">
      <x:c r="A99" s="107" t="n">
        <x:v>98</x:v>
      </x:c>
      <x:c r="B99" s="128" t="n">
        <x:v>1.175299838632202</x:v>
      </x:c>
      <x:c r="C99" s="128" t="n">
        <x:f>LN(B99)</x:f>
        <x:v>0.16152329685742092</x:v>
      </x:c>
      <x:c r="D99" s="128" t="n">
        <x:f>'Итоги'!$B$8*AVERAGE($C$2:C99)</x:f>
        <x:v>1.2767015518509914</x:v>
      </x:c>
      <x:c r="E99" s="128" t="n">
        <x:f>'Итоги'!$B$9</x:f>
        <x:v>1.2958368660043291</x:v>
      </x:c>
      <x:c r="F99" s="129" t="n">
        <x:f>ABS(D99-E99)</x:f>
        <x:v>0.01913531415333769</x:v>
      </x:c>
    </x:row>
    <x:row r="100">
      <x:c r="A100" s="107" t="n">
        <x:v>99</x:v>
      </x:c>
      <x:c r="B100" s="128" t="n">
        <x:v>1.2360118042410306</x:v>
      </x:c>
      <x:c r="C100" s="128" t="n">
        <x:f>LN(B100)</x:f>
        <x:v>0.21188990934671556</x:v>
      </x:c>
      <x:c r="D100" s="128" t="n">
        <x:f>'Итоги'!$B$8*AVERAGE($C$2:C100)</x:f>
        <x:v>1.2680861808089958</x:v>
      </x:c>
      <x:c r="E100" s="128" t="n">
        <x:f>'Итоги'!$B$9</x:f>
        <x:v>1.2958368660043291</x:v>
      </x:c>
      <x:c r="F100" s="129" t="n">
        <x:f>ABS(D100-E100)</x:f>
        <x:v>0.027750685195333302</x:v>
      </x:c>
    </x:row>
    <x:row r="101">
      <x:c r="A101" s="107" t="n">
        <x:v>100</x:v>
      </x:c>
      <x:c r="B101" s="128" t="n">
        <x:v>2.923795329099029</x:v>
      </x:c>
      <x:c r="C101" s="128" t="n">
        <x:f>LN(B101)</x:f>
        <x:v>1.0728825425494786</x:v>
      </x:c>
      <x:c r="D101" s="128" t="n">
        <x:f>'Итоги'!$B$8*AVERAGE($C$2:C101)</x:f>
        <x:v>1.2768629698518954</x:v>
      </x:c>
      <x:c r="E101" s="128" t="n">
        <x:f>'Итоги'!$B$9</x:f>
        <x:v>1.2958368660043291</x:v>
      </x:c>
      <x:c r="F101" s="129" t="n">
        <x:f>ABS(D101-E101)</x:f>
        <x:v>0.018973896152433722</x:v>
      </x:c>
    </x:row>
    <x:row r="102">
      <x:c r="A102" s="107" t="n">
        <x:v>101</x:v>
      </x:c>
      <x:c r="B102" s="128" t="n">
        <x:v>2.817161381415214</x:v>
      </x:c>
      <x:c r="C102" s="128" t="n">
        <x:f>LN(B102)</x:f>
        <x:v>1.0357297756506252</x:v>
      </x:c>
      <x:c r="D102" s="128" t="n">
        <x:f>'Итоги'!$B$8*AVERAGE($C$2:C102)</x:f>
        <x:v>1.2847302627375328</x:v>
      </x:c>
      <x:c r="E102" s="128" t="n">
        <x:f>'Итоги'!$B$9</x:f>
        <x:v>1.2958368660043291</x:v>
      </x:c>
      <x:c r="F102" s="129" t="n">
        <x:f>ABS(D102-E102)</x:f>
        <x:v>0.011106603266796355</x:v>
      </x:c>
    </x:row>
    <x:row r="103">
      <x:c r="A103" s="107" t="n">
        <x:v>102</x:v>
      </x:c>
      <x:c r="B103" s="128" t="n">
        <x:v>2.3994142676214993</x:v>
      </x:c>
      <x:c r="C103" s="128" t="n">
        <x:f>LN(B103)</x:f>
        <x:v>0.8752246524098849</x:v>
      </x:c>
      <x:c r="D103" s="128" t="n">
        <x:f>'Итоги'!$B$8*AVERAGE($C$2:C103)</x:f>
        <x:v>1.2892961356991233</x:v>
      </x:c>
      <x:c r="E103" s="128" t="n">
        <x:f>'Итоги'!$B$9</x:f>
        <x:v>1.2958368660043291</x:v>
      </x:c>
      <x:c r="F103" s="129" t="n">
        <x:f>ABS(D103-E103)</x:f>
        <x:v>0.006540730305205855</x:v>
      </x:c>
    </x:row>
    <x:row r="104">
      <x:c r="A104" s="107" t="n">
        <x:v>103</x:v>
      </x:c>
      <x:c r="B104" s="128" t="n">
        <x:v>1.5317399229190392</x:v>
      </x:c>
      <x:c r="C104" s="128" t="n">
        <x:f>LN(B104)</x:f>
        <x:v>0.42640429379933537</x:v>
      </x:c>
      <x:c r="D104" s="128" t="n">
        <x:f>'Итоги'!$B$8*AVERAGE($C$2:C104)</x:f>
        <x:v>1.285058392513682</x:v>
      </x:c>
      <x:c r="E104" s="128" t="n">
        <x:f>'Итоги'!$B$9</x:f>
        <x:v>1.2958368660043291</x:v>
      </x:c>
      <x:c r="F104" s="129" t="n">
        <x:f>ABS(D104-E104)</x:f>
        <x:v>0.01077847349064709</x:v>
      </x:c>
    </x:row>
    <x:row r="105">
      <x:c r="A105" s="107" t="n">
        <x:v>104</x:v>
      </x:c>
      <x:c r="B105" s="128" t="n">
        <x:v>2.9383527546954475</x:v>
      </x:c>
      <x:c r="C105" s="128" t="n">
        <x:f>LN(B105)</x:f>
        <x:v>1.0778491368123297</x:v>
      </x:c>
      <x:c r="D105" s="128" t="n">
        <x:f>'Итоги'!$B$8*AVERAGE($C$2:C105)</x:f>
        <x:v>1.2934299298320568</x:v>
      </x:c>
      <x:c r="E105" s="128" t="n">
        <x:f>'Итоги'!$B$9</x:f>
        <x:v>1.2958368660043291</x:v>
      </x:c>
      <x:c r="F105" s="129" t="n">
        <x:f>ABS(D105-E105)</x:f>
        <x:v>0.002406936172272278</x:v>
      </x:c>
    </x:row>
    <x:row r="106">
      <x:c r="A106" s="107" t="n">
        <x:v>105</x:v>
      </x:c>
      <x:c r="B106" s="128" t="n">
        <x:v>2.5575018079315894</x:v>
      </x:c>
      <x:c r="C106" s="128" t="n">
        <x:f>LN(B106)</x:f>
        <x:v>0.9390309257570171</x:v>
      </x:c>
      <x:c r="D106" s="128" t="n">
        <x:f>'Итоги'!$B$8*AVERAGE($C$2:C106)</x:f>
        <x:v>1.298997852895695</x:v>
      </x:c>
      <x:c r="E106" s="128" t="n">
        <x:f>'Итоги'!$B$9</x:f>
        <x:v>1.2958368660043291</x:v>
      </x:c>
      <x:c r="F106" s="129" t="n">
        <x:f>ABS(D106-E106)</x:f>
        <x:v>0.0031609868913657913</x:v>
      </x:c>
    </x:row>
    <x:row r="107">
      <x:c r="A107" s="107" t="n">
        <x:v>106</x:v>
      </x:c>
      <x:c r="B107" s="128" t="n">
        <x:v>2.433780378317991</x:v>
      </x:c>
      <x:c r="C107" s="128" t="n">
        <x:f>LN(B107)</x:f>
        <x:v>0.8894457597292955</x:v>
      </x:c>
      <x:c r="D107" s="128" t="n">
        <x:f>'Итоги'!$B$8*AVERAGE($C$2:C107)</x:f>
        <x:v>1.3035251516368542</x:v>
      </x:c>
      <x:c r="E107" s="128" t="n">
        <x:f>'Итоги'!$B$9</x:f>
        <x:v>1.2958368660043291</x:v>
      </x:c>
      <x:c r="F107" s="129" t="n">
        <x:f>ABS(D107-E107)</x:f>
        <x:v>0.007688285632525105</x:v>
      </x:c>
    </x:row>
    <x:row r="108">
      <x:c r="A108" s="107" t="n">
        <x:v>107</x:v>
      </x:c>
      <x:c r="B108" s="128" t="n">
        <x:v>1.8987230042875773</x:v>
      </x:c>
      <x:c r="C108" s="128" t="n">
        <x:f>LN(B108)</x:f>
        <x:v>0.6411815572033784</x:v>
      </x:c>
      <x:c r="D108" s="128" t="n">
        <x:f>'Итоги'!$B$8*AVERAGE($C$2:C108)</x:f>
        <x:v>1.3033273755879748</x:v>
      </x:c>
      <x:c r="E108" s="128" t="n">
        <x:f>'Итоги'!$B$9</x:f>
        <x:v>1.2958368660043291</x:v>
      </x:c>
      <x:c r="F108" s="129" t="n">
        <x:f>ABS(D108-E108)</x:f>
        <x:v>0.007490509583645721</x:v>
      </x:c>
    </x:row>
    <x:row r="109">
      <x:c r="A109" s="107" t="n">
        <x:v>108</x:v>
      </x:c>
      <x:c r="B109" s="128" t="n">
        <x:v>1.544483123690318</x:v>
      </x:c>
      <x:c r="C109" s="128" t="n">
        <x:f>LN(B109)</x:f>
        <x:v>0.4346893066028613</x:v>
      </x:c>
      <x:c r="D109" s="128" t="n">
        <x:f>'Итоги'!$B$8*AVERAGE($C$2:C109)</x:f>
        <x:v>1.299309331491843</x:v>
      </x:c>
      <x:c r="E109" s="128" t="n">
        <x:f>'Итоги'!$B$9</x:f>
        <x:v>1.2958368660043291</x:v>
      </x:c>
      <x:c r="F109" s="129" t="n">
        <x:f>ABS(D109-E109)</x:f>
        <x:v>0.0034724654875137873</x:v>
      </x:c>
    </x:row>
    <x:row r="110">
      <x:c r="A110" s="107" t="n">
        <x:v>109</x:v>
      </x:c>
      <x:c r="B110" s="128" t="n">
        <x:v>1.1927819243069986</x:v>
      </x:c>
      <x:c r="C110" s="128" t="n">
        <x:f>LN(B110)</x:f>
        <x:v>0.17628833035205832</x:v>
      </x:c>
      <x:c r="D110" s="128" t="n">
        <x:f>'Итоги'!$B$8*AVERAGE($C$2:C110)</x:f>
        <x:v>1.2906237106589282</x:v>
      </x:c>
      <x:c r="E110" s="128" t="n">
        <x:f>'Итоги'!$B$9</x:f>
        <x:v>1.2958368660043291</x:v>
      </x:c>
      <x:c r="F110" s="129" t="n">
        <x:f>ABS(D110-E110)</x:f>
        <x:v>0.005213155345400899</x:v>
      </x:c>
    </x:row>
    <x:row r="111">
      <x:c r="A111" s="107" t="n">
        <x:v>110</x:v>
      </x:c>
      <x:c r="B111" s="128" t="n">
        <x:v>2.8052047930876833</x:v>
      </x:c>
      <x:c r="C111" s="128" t="n">
        <x:f>LN(B111)</x:f>
        <x:v>1.0314765463229927</x:v>
      </x:c>
      <x:c r="D111" s="128" t="n">
        <x:f>'Итоги'!$B$8*AVERAGE($C$2:C111)</x:f>
        <x:v>1.2976448868588104</x:v>
      </x:c>
      <x:c r="E111" s="128" t="n">
        <x:f>'Итоги'!$B$9</x:f>
        <x:v>1.2958368660043291</x:v>
      </x:c>
      <x:c r="F111" s="129" t="n">
        <x:f>ABS(D111-E111)</x:f>
        <x:v>0.0018080208544812848</x:v>
      </x:c>
    </x:row>
    <x:row r="112">
      <x:c r="A112" s="107" t="n">
        <x:v>111</x:v>
      </x:c>
      <x:c r="B112" s="128" t="n">
        <x:v>1.9115525796672221</x:v>
      </x:c>
      <x:c r="C112" s="128" t="n">
        <x:f>LN(B112)</x:f>
        <x:v>0.6479157807952305</x:v>
      </x:c>
      <x:c r="D112" s="128" t="n">
        <x:f>'Итоги'!$B$8*AVERAGE($C$2:C112)</x:f>
        <x:v>1.2976285505951317</x:v>
      </x:c>
      <x:c r="E112" s="128" t="n">
        <x:f>'Итоги'!$B$9</x:f>
        <x:v>1.2958368660043291</x:v>
      </x:c>
      <x:c r="F112" s="129" t="n">
        <x:f>ABS(D112-E112)</x:f>
        <x:v>0.0017916845908025891</x:v>
      </x:c>
    </x:row>
    <x:row r="113">
      <x:c r="A113" s="107" t="n">
        <x:v>112</x:v>
      </x:c>
      <x:c r="B113" s="128" t="n">
        <x:v>1.4047267295904606</x:v>
      </x:c>
      <x:c r="C113" s="128" t="n">
        <x:f>LN(B113)</x:f>
        <x:v>0.33984278535629286</x:v>
      </x:c>
      <x:c r="D113" s="128" t="n">
        <x:f>'Итоги'!$B$8*AVERAGE($C$2:C113)</x:f>
        <x:v>1.2921112025604662</x:v>
      </x:c>
      <x:c r="E113" s="128" t="n">
        <x:f>'Итоги'!$B$9</x:f>
        <x:v>1.2958368660043291</x:v>
      </x:c>
      <x:c r="F113" s="129" t="n">
        <x:f>ABS(D113-E113)</x:f>
        <x:v>0.0037256634438629366</x:v>
      </x:c>
    </x:row>
    <x:row r="114">
      <x:c r="A114" s="107" t="n">
        <x:v>113</x:v>
      </x:c>
      <x:c r="B114" s="128" t="n">
        <x:v>1.611913248301305</x:v>
      </x:c>
      <x:c r="C114" s="128" t="n">
        <x:f>LN(B114)</x:f>
        <x:v>0.477421826446036</x:v>
      </x:c>
      <x:c r="D114" s="128" t="n">
        <x:f>'Итоги'!$B$8*AVERAGE($C$2:C114)</x:f>
        <x:v>1.2891265339793299</x:v>
      </x:c>
      <x:c r="E114" s="128" t="n">
        <x:f>'Итоги'!$B$9</x:f>
        <x:v>1.2958368660043291</x:v>
      </x:c>
      <x:c r="F114" s="129" t="n">
        <x:f>ABS(D114-E114)</x:f>
        <x:v>0.006710332024999266</x:v>
      </x:c>
    </x:row>
    <x:row r="115">
      <x:c r="A115" s="107" t="n">
        <x:v>114</x:v>
      </x:c>
      <x:c r="B115" s="128" t="n">
        <x:v>2.158439137883792</x:v>
      </x:c>
      <x:c r="C115" s="128" t="n">
        <x:f>LN(B115)</x:f>
        <x:v>0.7693853391293214</x:v>
      </x:c>
      <x:c r="D115" s="128" t="n">
        <x:f>'Итоги'!$B$8*AVERAGE($C$2:C115)</x:f>
        <x:v>1.2913163948940605</x:v>
      </x:c>
      <x:c r="E115" s="128" t="n">
        <x:f>'Итоги'!$B$9</x:f>
        <x:v>1.2958368660043291</x:v>
      </x:c>
      <x:c r="F115" s="129" t="n">
        <x:f>ABS(D115-E115)</x:f>
        <x:v>0.0045204711102686534</x:v>
      </x:c>
    </x:row>
    <x:row r="116">
      <x:c r="A116" s="107" t="n">
        <x:v>115</x:v>
      </x:c>
      <x:c r="B116" s="128" t="n">
        <x:v>1.3535455658784634</x:v>
      </x:c>
      <x:c r="C116" s="128" t="n">
        <x:f>LN(B116)</x:f>
        <x:v>0.3027274947279173</x:v>
      </x:c>
      <x:c r="D116" s="128" t="n">
        <x:f>'Итоги'!$B$8*AVERAGE($C$2:C116)</x:f>
        <x:v>1.2853523826728586</x:v>
      </x:c>
      <x:c r="E116" s="128" t="n">
        <x:f>'Итоги'!$B$9</x:f>
        <x:v>1.2958368660043291</x:v>
      </x:c>
      <x:c r="F116" s="129" t="n">
        <x:f>ABS(D116-E116)</x:f>
        <x:v>0.010484483331470562</x:v>
      </x:c>
    </x:row>
    <x:row r="117">
      <x:c r="A117" s="107" t="n">
        <x:v>116</x:v>
      </x:c>
      <x:c r="B117" s="128" t="n">
        <x:v>2.7132285681847508</x:v>
      </x:c>
      <x:c r="C117" s="128" t="n">
        <x:f>LN(B117)</x:f>
        <x:v>0.998139279366785</x:v>
      </x:c>
      <x:c r="D117" s="128" t="n">
        <x:f>'Итоги'!$B$8*AVERAGE($C$2:C117)</x:f>
        <x:v>1.2914810566044164</x:v>
      </x:c>
      <x:c r="E117" s="128" t="n">
        <x:f>'Итоги'!$B$9</x:f>
        <x:v>1.2958368660043291</x:v>
      </x:c>
      <x:c r="F117" s="129" t="n">
        <x:f>ABS(D117-E117)</x:f>
        <x:v>0.004355809399912758</x:v>
      </x:c>
    </x:row>
    <x:row r="118">
      <x:c r="A118" s="107" t="n">
        <x:v>117</x:v>
      </x:c>
      <x:c r="B118" s="128" t="n">
        <x:v>2.51703905967042</x:v>
      </x:c>
      <x:c r="C118" s="128" t="n">
        <x:f>LN(B118)</x:f>
        <x:v>0.9230832343762033</x:v>
      </x:c>
      <x:c r="D118" s="128" t="n">
        <x:f>'Итоги'!$B$8*AVERAGE($C$2:C118)</x:f>
        <x:v>1.2962219575629463</x:v>
      </x:c>
      <x:c r="E118" s="128" t="n">
        <x:f>'Итоги'!$B$9</x:f>
        <x:v>1.2958368660043291</x:v>
      </x:c>
      <x:c r="F118" s="129" t="n">
        <x:f>ABS(D118-E118)</x:f>
        <x:v>0.0003850915586172121</x:v>
      </x:c>
    </x:row>
    <x:row r="119">
      <x:c r="A119" s="107" t="n">
        <x:v>118</x:v>
      </x:c>
      <x:c r="B119" s="128" t="n">
        <x:v>2.4389259119018734</x:v>
      </x:c>
      <x:c r="C119" s="128" t="n">
        <x:f>LN(B119)</x:f>
        <x:v>0.8915577423484141</x:v>
      </x:c>
      <x:c r="D119" s="128" t="n">
        <x:f>'Итоги'!$B$8*AVERAGE($C$2:C119)</x:f>
        <x:v>1.3003481738945892</x:v>
      </x:c>
      <x:c r="E119" s="128" t="n">
        <x:f>'Итоги'!$B$9</x:f>
        <x:v>1.2958368660043291</x:v>
      </x:c>
      <x:c r="F119" s="129" t="n">
        <x:f>ABS(D119-E119)</x:f>
        <x:v>0.004511307890260108</x:v>
      </x:c>
    </x:row>
    <x:row r="120">
      <x:c r="A120" s="107" t="n">
        <x:v>119</x:v>
      </x:c>
      <x:c r="B120" s="128" t="n">
        <x:v>1.8641860795502074</x:v>
      </x:c>
      <x:c r="C120" s="128" t="n">
        <x:f>LN(B120)</x:f>
        <x:v>0.622824539365783</x:v>
      </x:c>
      <x:c r="D120" s="128" t="n">
        <x:f>'Итоги'!$B$8*AVERAGE($C$2:C120)</x:f>
        <x:v>1.299888517632715</x:v>
      </x:c>
      <x:c r="E120" s="128" t="n">
        <x:f>'Итоги'!$B$9</x:f>
        <x:v>1.2958368660043291</x:v>
      </x:c>
      <x:c r="F120" s="129" t="n">
        <x:f>ABS(D120-E120)</x:f>
        <x:v>0.004051651628385944</x:v>
      </x:c>
    </x:row>
    <x:row r="121">
      <x:c r="A121" s="107" t="n">
        <x:v>120</x:v>
      </x:c>
      <x:c r="B121" s="128" t="n">
        <x:v>2.2546176814048864</x:v>
      </x:c>
      <x:c r="C121" s="128" t="n">
        <x:f>LN(B121)</x:f>
        <x:v>0.8129804159664269</x:v>
      </x:c>
      <x:c r="D121" s="128" t="n">
        <x:f>'Итоги'!$B$8*AVERAGE($C$2:C121)</x:f>
        <x:v>1.3026057869185494</x:v>
      </x:c>
      <x:c r="E121" s="128" t="n">
        <x:f>'Итоги'!$B$9</x:f>
        <x:v>1.2958368660043291</x:v>
      </x:c>
      <x:c r="F121" s="129" t="n">
        <x:f>ABS(D121-E121)</x:f>
        <x:v>0.006768920914220322</x:v>
      </x:c>
    </x:row>
    <x:row r="122">
      <x:c r="A122" s="107" t="n">
        <x:v>121</x:v>
      </x:c>
      <x:c r="B122" s="128" t="n">
        <x:v>2.1681959378254714</x:v>
      </x:c>
      <x:c r="C122" s="128" t="n">
        <x:f>LN(B122)</x:f>
        <x:v>0.7738954567193953</x:v>
      </x:c>
      <x:c r="D122" s="128" t="n">
        <x:f>'Итоги'!$B$8*AVERAGE($C$2:C122)</x:f>
        <x:v>1.304632110278221</x:v>
      </x:c>
      <x:c r="E122" s="128" t="n">
        <x:f>'Итоги'!$B$9</x:f>
        <x:v>1.2958368660043291</x:v>
      </x:c>
      <x:c r="F122" s="129" t="n">
        <x:f>ABS(D122-E122)</x:f>
        <x:v>0.008795244273891889</x:v>
      </x:c>
    </x:row>
    <x:row r="123">
      <x:c r="A123" s="107" t="n">
        <x:v>122</x:v>
      </x:c>
      <x:c r="B123" s="128" t="n">
        <x:v>2.2996932031096398</x:v>
      </x:c>
      <x:c r="C123" s="128" t="n">
        <x:f>LN(B123)</x:f>
        <x:v>0.8327757240855426</x:v>
      </x:c>
      <x:c r="D123" s="128" t="n">
        <x:f>'Итоги'!$B$8*AVERAGE($C$2:C123)</x:f>
        <x:v>1.307590465506851</x:v>
      </x:c>
      <x:c r="E123" s="128" t="n">
        <x:f>'Итоги'!$B$9</x:f>
        <x:v>1.2958368660043291</x:v>
      </x:c>
      <x:c r="F123" s="129" t="n">
        <x:f>ABS(D123-E123)</x:f>
        <x:v>0.011753599502521972</x:v>
      </x:c>
    </x:row>
    <x:row r="124">
      <x:c r="A124" s="107" t="n">
        <x:v>123</x:v>
      </x:c>
      <x:c r="B124" s="128" t="n">
        <x:v>1.1688886422797782</x:v>
      </x:c>
      <x:c r="C124" s="128" t="n">
        <x:f>LN(B124)</x:f>
        <x:v>0.15605341899594607</x:v>
      </x:c>
      <x:c r="D124" s="128" t="n">
        <x:f>'Итоги'!$B$8*AVERAGE($C$2:C124)</x:f>
        <x:v>1.2994971026815263</x:v>
      </x:c>
      <x:c r="E124" s="128" t="n">
        <x:f>'Итоги'!$B$9</x:f>
        <x:v>1.2958368660043291</x:v>
      </x:c>
      <x:c r="F124" s="129" t="n">
        <x:f>ABS(D124-E124)</x:f>
        <x:v>0.0036602366771971706</x:v>
      </x:c>
    </x:row>
    <x:row r="125">
      <x:c r="A125" s="107" t="n">
        <x:v>124</x:v>
      </x:c>
      <x:c r="B125" s="128" t="n">
        <x:v>1.8316148043412193</x:v>
      </x:c>
      <x:c r="C125" s="128" t="n">
        <x:f>LN(B125)</x:f>
        <x:v>0.6051979845052092</x:v>
      </x:c>
      <x:c r="D125" s="128" t="n">
        <x:f>'Итоги'!$B$8*AVERAGE($C$2:C125)</x:f>
        <x:v>1.2987785451519205</x:v>
      </x:c>
      <x:c r="E125" s="128" t="n">
        <x:f>'Итоги'!$B$9</x:f>
        <x:v>1.2958368660043291</x:v>
      </x:c>
      <x:c r="F125" s="129" t="n">
        <x:f>ABS(D125-E125)</x:f>
        <x:v>0.0029416791475913584</x:v>
      </x:c>
    </x:row>
    <x:row r="126">
      <x:c r="A126" s="107" t="n">
        <x:v>125</x:v>
      </x:c>
      <x:c r="B126" s="128" t="n">
        <x:v>1.083228347723785</x:v>
      </x:c>
      <x:c r="C126" s="128" t="n">
        <x:f>LN(B126)</x:f>
        <x:v>0.07994579318404972</x:v>
      </x:c>
      <x:c r="D126" s="128" t="n">
        <x:f>'Итоги'!$B$8*AVERAGE($C$2:C126)</x:f>
        <x:v>1.28966744948165</x:v>
      </x:c>
      <x:c r="E126" s="128" t="n">
        <x:f>'Итоги'!$B$9</x:f>
        <x:v>1.2958368660043291</x:v>
      </x:c>
      <x:c r="F126" s="129" t="n">
        <x:f>ABS(D126-E126)</x:f>
        <x:v>0.006169416522679105</x:v>
      </x:c>
    </x:row>
    <x:row r="127">
      <x:c r="A127" s="107" t="n">
        <x:v>126</x:v>
      </x:c>
      <x:c r="B127" s="128" t="n">
        <x:v>1.9879816384890379</x:v>
      </x:c>
      <x:c r="C127" s="128" t="n">
        <x:f>LN(B127)</x:f>
        <x:v>0.6871198720192124</x:v>
      </x:c>
      <x:c r="D127" s="128" t="n">
        <x:f>'Итоги'!$B$8*AVERAGE($C$2:C127)</x:f>
        <x:v>1.2903386581686085</x:v>
      </x:c>
      <x:c r="E127" s="128" t="n">
        <x:f>'Итоги'!$B$9</x:f>
        <x:v>1.2958368660043291</x:v>
      </x:c>
      <x:c r="F127" s="129" t="n">
        <x:f>ABS(D127-E127)</x:f>
        <x:v>0.0054982078357206365</x:v>
      </x:c>
    </x:row>
    <x:row r="128">
      <x:c r="A128" s="107" t="n">
        <x:v>127</x:v>
      </x:c>
      <x:c r="B128" s="128" t="n">
        <x:v>1.6597224246655706</x:v>
      </x:c>
      <x:c r="C128" s="128" t="n">
        <x:f>LN(B128)</x:f>
        <x:v>0.5066503743297376</x:v>
      </x:c>
      <x:c r="D128" s="128" t="n">
        <x:f>'Итоги'!$B$8*AVERAGE($C$2:C128)</x:f>
        <x:v>1.2881572573063318</x:v>
      </x:c>
      <x:c r="E128" s="128" t="n">
        <x:f>'Итоги'!$B$9</x:f>
        <x:v>1.2958368660043291</x:v>
      </x:c>
      <x:c r="F128" s="129" t="n">
        <x:f>ABS(D128-E128)</x:f>
        <x:v>0.007679608697997331</x:v>
      </x:c>
    </x:row>
    <x:row r="129">
      <x:c r="A129" s="107" t="n">
        <x:v>128</x:v>
      </x:c>
      <x:c r="B129" s="128" t="n">
        <x:v>1.2890483777320938</x:v>
      </x:c>
      <x:c r="C129" s="128" t="n">
        <x:f>LN(B129)</x:f>
        <x:v>0.2539042544646369</x:v>
      </x:c>
      <x:c r="D129" s="128" t="n">
        <x:f>'Итоги'!$B$8*AVERAGE($C$2:C129)</x:f>
        <x:v>1.2820607827096362</x:v>
      </x:c>
      <x:c r="E129" s="128" t="n">
        <x:f>'Итоги'!$B$9</x:f>
        <x:v>1.2958368660043291</x:v>
      </x:c>
      <x:c r="F129" s="129" t="n">
        <x:f>ABS(D129-E129)</x:f>
        <x:v>0.013776083294692931</x:v>
      </x:c>
    </x:row>
    <x:row r="130">
      <x:c r="A130" s="107" t="n">
        <x:v>129</x:v>
      </x:c>
      <x:c r="B130" s="128" t="n">
        <x:v>1.2068059354451033</x:v>
      </x:c>
      <x:c r="C130" s="128" t="n">
        <x:f>LN(B130)</x:f>
        <x:v>0.18797714662436915</x:v>
      </x:c>
      <x:c r="D130" s="128" t="n">
        <x:f>'Итоги'!$B$8*AVERAGE($C$2:C130)</x:f>
        <x:v>1.2750367013959858</x:v>
      </x:c>
      <x:c r="E130" s="128" t="n">
        <x:f>'Итоги'!$B$9</x:f>
        <x:v>1.2958368660043291</x:v>
      </x:c>
      <x:c r="F130" s="129" t="n">
        <x:f>ABS(D130-E130)</x:f>
        <x:v>0.02080016460834333</x:v>
      </x:c>
    </x:row>
    <x:row r="131">
      <x:c r="A131" s="107" t="n">
        <x:v>130</x:v>
      </x:c>
      <x:c r="B131" s="128" t="n">
        <x:v>2.175289144355424</x:v>
      </x:c>
      <x:c r="C131" s="128" t="n">
        <x:f>LN(B131)</x:f>
        <x:v>0.7771615956384458</x:v>
      </x:c>
      <x:c r="D131" s="128" t="n">
        <x:f>'Итоги'!$B$8*AVERAGE($C$2:C131)</x:f>
        <x:v>1.2771850590104543</x:v>
      </x:c>
      <x:c r="E131" s="128" t="n">
        <x:f>'Итоги'!$B$9</x:f>
        <x:v>1.2958368660043291</x:v>
      </x:c>
      <x:c r="F131" s="129" t="n">
        <x:f>ABS(D131-E131)</x:f>
        <x:v>0.01865180699387481</x:v>
      </x:c>
    </x:row>
    <x:row r="132">
      <x:c r="A132" s="107" t="n">
        <x:v>131</x:v>
      </x:c>
      <x:c r="B132" s="128" t="n">
        <x:v>1.3411859370737722</x:v>
      </x:c>
      <x:c r="C132" s="128" t="n">
        <x:f>LN(B132)</x:f>
        <x:v>0.29355425022374826</x:v>
      </x:c>
      <x:c r="D132" s="128" t="n">
        <x:f>'Итоги'!$B$8*AVERAGE($C$2:C132)</x:f>
        <x:v>1.271917299021424</x:v>
      </x:c>
      <x:c r="E132" s="128" t="n">
        <x:f>'Итоги'!$B$9</x:f>
        <x:v>1.2958368660043291</x:v>
      </x:c>
      <x:c r="F132" s="129" t="n">
        <x:f>ABS(D132-E132)</x:f>
        <x:v>0.023919566982905094</x:v>
      </x:c>
    </x:row>
    <x:row r="133">
      <x:c r="A133" s="107" t="n">
        <x:v>132</x:v>
      </x:c>
      <x:c r="B133" s="128" t="n">
        <x:v>2.8502402367535944</x:v>
      </x:c>
      <x:c r="C133" s="128" t="n">
        <x:f>LN(B133)</x:f>
        <x:v>1.0474032843258059</x:v>
      </x:c>
      <x:c r="D133" s="128" t="n">
        <x:f>'Итоги'!$B$8*AVERAGE($C$2:C133)</x:f>
        <x:v>1.2781513086398346</x:v>
      </x:c>
      <x:c r="E133" s="128" t="n">
        <x:f>'Итоги'!$B$9</x:f>
        <x:v>1.2958368660043291</x:v>
      </x:c>
      <x:c r="F133" s="129" t="n">
        <x:f>ABS(D133-E133)</x:f>
        <x:v>0.01768555736449451</x:v>
      </x:c>
    </x:row>
    <x:row r="134">
      <x:c r="A134" s="107" t="n">
        <x:v>133</x:v>
      </x:c>
      <x:c r="B134" s="128" t="n">
        <x:v>2.1621222794007897</x:v>
      </x:c>
      <x:c r="C134" s="128" t="n">
        <x:f>LN(B134)</x:f>
        <x:v>0.771090276082397</x:v>
      </x:c>
      <x:c r="D134" s="128" t="n">
        <x:f>'Итоги'!$B$8*AVERAGE($C$2:C134)</x:f>
        <x:v>1.2801364909219772</x:v>
      </x:c>
      <x:c r="E134" s="128" t="n">
        <x:f>'Итоги'!$B$9</x:f>
        <x:v>1.2958368660043291</x:v>
      </x:c>
      <x:c r="F134" s="129" t="n">
        <x:f>ABS(D134-E134)</x:f>
        <x:v>0.01570037508235189</x:v>
      </x:c>
    </x:row>
    <x:row r="135">
      <x:c r="A135" s="107" t="n">
        <x:v>134</x:v>
      </x:c>
      <x:c r="B135" s="128" t="n">
        <x:v>1.6937396090696741</x:v>
      </x:c>
      <x:c r="C135" s="128" t="n">
        <x:f>LN(B135)</x:f>
        <x:v>0.5269388707604425</x:v>
      </x:c>
      <x:c r="D135" s="128" t="n">
        <x:f>'Итоги'!$B$8*AVERAGE($C$2:C135)</x:f>
        <x:v>1.2784479927921184</x:v>
      </x:c>
      <x:c r="E135" s="128" t="n">
        <x:f>'Итоги'!$B$9</x:f>
        <x:v>1.2958368660043291</x:v>
      </x:c>
      <x:c r="F135" s="129" t="n">
        <x:f>ABS(D135-E135)</x:f>
        <x:v>0.01738887321221072</x:v>
      </x:c>
    </x:row>
    <x:row r="136">
      <x:c r="A136" s="107" t="n">
        <x:v>135</x:v>
      </x:c>
      <x:c r="B136" s="128" t="n">
        <x:v>2.1818309829628335</x:v>
      </x:c>
      <x:c r="C136" s="128" t="n">
        <x:f>LN(B136)</x:f>
        <x:v>0.7801644247236619</x:v>
      </x:c>
      <x:c r="D136" s="128" t="n">
        <x:f>'Итоги'!$B$8*AVERAGE($C$2:C136)</x:f>
        <x:v>1.2805359991377125</x:v>
      </x:c>
      <x:c r="E136" s="128" t="n">
        <x:f>'Итоги'!$B$9</x:f>
        <x:v>1.2958368660043291</x:v>
      </x:c>
      <x:c r="F136" s="129" t="n">
        <x:f>ABS(D136-E136)</x:f>
        <x:v>0.01530086686661658</x:v>
      </x:c>
    </x:row>
    <x:row r="137">
      <x:c r="A137" s="107" t="n">
        <x:v>136</x:v>
      </x:c>
      <x:c r="B137" s="128" t="n">
        <x:v>1.045607742059395</x:v>
      </x:c>
      <x:c r="C137" s="128" t="n">
        <x:f>LN(B137)</x:f>
        <x:v>0.04459828771839964</x:v>
      </x:c>
      <x:c r="D137" s="128" t="n">
        <x:f>'Итоги'!$B$8*AVERAGE($C$2:C137)</x:f>
        <x:v>1.2717761504340295</x:v>
      </x:c>
      <x:c r="E137" s="128" t="n">
        <x:f>'Итоги'!$B$9</x:f>
        <x:v>1.2958368660043291</x:v>
      </x:c>
      <x:c r="F137" s="129" t="n">
        <x:f>ABS(D137-E137)</x:f>
        <x:v>0.02406071557029965</x:v>
      </x:c>
    </x:row>
    <x:row r="138">
      <x:c r="A138" s="107" t="n">
        <x:v>137</x:v>
      </x:c>
      <x:c r="B138" s="128" t="n">
        <x:v>2.9171184264828907</x:v>
      </x:c>
      <x:c r="C138" s="128" t="n">
        <x:f>LN(B138)</x:f>
        <x:v>1.0705962887871865</x:v>
      </x:c>
      <x:c r="D138" s="128" t="n">
        <x:f>'Итоги'!$B$8*AVERAGE($C$2:C138)</x:f>
        <x:v>1.2781222557416232</x:v>
      </x:c>
      <x:c r="E138" s="128" t="n">
        <x:f>'Итоги'!$B$9</x:f>
        <x:v>1.2958368660043291</x:v>
      </x:c>
      <x:c r="F138" s="129" t="n">
        <x:f>ABS(D138-E138)</x:f>
        <x:v>0.017714610262705932</x:v>
      </x:c>
    </x:row>
    <x:row r="139">
      <x:c r="A139" s="107" t="n">
        <x:v>138</x:v>
      </x:c>
      <x:c r="B139" s="128" t="n">
        <x:v>1.9646068738858005</x:v>
      </x:c>
      <x:c r="C139" s="128" t="n">
        <x:f>LN(B139)</x:f>
        <x:v>0.6752921611254626</x:v>
      </x:c>
      <x:c r="D139" s="128" t="n">
        <x:f>'Итоги'!$B$8*AVERAGE($C$2:C139)</x:f>
        <x:v>1.2786473431800964</x:v>
      </x:c>
      <x:c r="E139" s="128" t="n">
        <x:f>'Итоги'!$B$9</x:f>
        <x:v>1.2958368660043291</x:v>
      </x:c>
      <x:c r="F139" s="129" t="n">
        <x:f>ABS(D139-E139)</x:f>
        <x:v>0.017189522824232695</x:v>
      </x:c>
    </x:row>
    <x:row r="140">
      <x:c r="A140" s="107" t="n">
        <x:v>139</x:v>
      </x:c>
      <x:c r="B140" s="128" t="n">
        <x:v>2.5654704545005727</x:v>
      </x:c>
      <x:c r="C140" s="128" t="n">
        <x:f>LN(B140)</x:f>
        <x:v>0.942141874865266</x:v>
      </x:c>
      <x:c r="D140" s="128" t="n">
        <x:f>'Итоги'!$B$8*AVERAGE($C$2:C140)</x:f>
        <x:v>1.2830044396300997</x:v>
      </x:c>
      <x:c r="E140" s="128" t="n">
        <x:f>'Итоги'!$B$9</x:f>
        <x:v>1.2958368660043291</x:v>
      </x:c>
      <x:c r="F140" s="129" t="n">
        <x:f>ABS(D140-E140)</x:f>
        <x:v>0.012832426374229433</x:v>
      </x:c>
    </x:row>
    <x:row r="141">
      <x:c r="A141" s="107" t="n">
        <x:v>140</x:v>
      </x:c>
      <x:c r="B141" s="128" t="n">
        <x:v>1.1654599998448771</x:v>
      </x:c>
      <x:c r="C141" s="128" t="n">
        <x:f>LN(B141)</x:f>
        <x:v>0.15311585873730876</x:v>
      </x:c>
      <x:c r="D141" s="128" t="n">
        <x:f>'Итоги'!$B$8*AVERAGE($C$2:C141)</x:f>
        <x:v>1.2760274916147034</x:v>
      </x:c>
      <x:c r="E141" s="128" t="n">
        <x:f>'Итоги'!$B$9</x:f>
        <x:v>1.2958368660043291</x:v>
      </x:c>
      <x:c r="F141" s="129" t="n">
        <x:f>ABS(D141-E141)</x:f>
        <x:v>0.01980937438962571</x:v>
      </x:c>
    </x:row>
    <x:row r="142">
      <x:c r="A142" s="107" t="n">
        <x:v>141</x:v>
      </x:c>
      <x:c r="B142" s="128" t="n">
        <x:v>1.9733166616763207</x:v>
      </x:c>
      <x:c r="C142" s="128" t="n">
        <x:f>LN(B142)</x:f>
        <x:v>0.6797157117172786</x:v>
      </x:c>
      <x:c r="D142" s="128" t="n">
        <x:f>'Итоги'!$B$8*AVERAGE($C$2:C142)</x:f>
        <x:v>1.2766190088616527</x:v>
      </x:c>
      <x:c r="E142" s="128" t="n">
        <x:f>'Итоги'!$B$9</x:f>
        <x:v>1.2958368660043291</x:v>
      </x:c>
      <x:c r="F142" s="129" t="n">
        <x:f>ABS(D142-E142)</x:f>
        <x:v>0.01921785714267643</x:v>
      </x:c>
    </x:row>
    <x:row r="143">
      <x:c r="A143" s="107" t="n">
        <x:v>142</x:v>
      </x:c>
      <x:c r="B143" s="128" t="n">
        <x:v>1.9814139887090418</x:v>
      </x:c>
      <x:c r="C143" s="128" t="n">
        <x:f>LN(B143)</x:f>
        <x:v>0.6838107255445095</x:v>
      </x:c>
      <x:c r="D143" s="128" t="n">
        <x:f>'Итоги'!$B$8*AVERAGE($C$2:C143)</x:f>
        <x:v>1.2772598711308594</x:v>
      </x:c>
      <x:c r="E143" s="128" t="n">
        <x:f>'Итоги'!$B$9</x:f>
        <x:v>1.2958368660043291</x:v>
      </x:c>
      <x:c r="F143" s="129" t="n">
        <x:f>ABS(D143-E143)</x:f>
        <x:v>0.018576994873469754</x:v>
      </x:c>
    </x:row>
    <x:row r="144">
      <x:c r="A144" s="107" t="n">
        <x:v>143</x:v>
      </x:c>
      <x:c r="B144" s="128" t="n">
        <x:v>2.8756529099499657</x:v>
      </x:c>
      <x:c r="C144" s="128" t="n">
        <x:f>LN(B144)</x:f>
        <x:v>1.0562797475792451</x:v>
      </x:c>
      <x:c r="D144" s="128" t="n">
        <x:f>'Итоги'!$B$8*AVERAGE($C$2:C144)</x:f>
        <x:v>1.2831011272429407</x:v>
      </x:c>
      <x:c r="E144" s="128" t="n">
        <x:f>'Итоги'!$B$9</x:f>
        <x:v>1.2958368660043291</x:v>
      </x:c>
      <x:c r="F144" s="129" t="n">
        <x:f>ABS(D144-E144)</x:f>
        <x:v>0.012735738761388449</x:v>
      </x:c>
    </x:row>
    <x:row r="145">
      <x:c r="A145" s="107" t="n">
        <x:v>144</x:v>
      </x:c>
      <x:c r="B145" s="128" t="n">
        <x:v>2.1434561047521505</x:v>
      </x:c>
      <x:c r="C145" s="128" t="n">
        <x:f>LN(B145)</x:f>
        <x:v>0.7624195285407066</x:v>
      </x:c>
      <x:c r="D145" s="128" t="n">
        <x:f>'Итоги'!$B$8*AVERAGE($C$2:C145)</x:f>
        <x:v>1.284779862866819</x:v>
      </x:c>
      <x:c r="E145" s="128" t="n">
        <x:f>'Итоги'!$B$9</x:f>
        <x:v>1.2958368660043291</x:v>
      </x:c>
      <x:c r="F145" s="129" t="n">
        <x:f>ABS(D145-E145)</x:f>
        <x:v>0.011057003137510124</x:v>
      </x:c>
    </x:row>
    <x:row r="146">
      <x:c r="A146" s="107" t="n">
        <x:v>145</x:v>
      </x:c>
      <x:c r="B146" s="128" t="n">
        <x:v>1.9469788021139076</x:v>
      </x:c>
      <x:c r="C146" s="128" t="n">
        <x:f>LN(B146)</x:f>
        <x:v>0.6662788388700376</x:v>
      </x:c>
      <x:c r="D146" s="128" t="n">
        <x:f>'Итоги'!$B$8*AVERAGE($C$2:C146)</x:f>
        <x:v>1.2851093650383587</x:v>
      </x:c>
      <x:c r="E146" s="128" t="n">
        <x:f>'Итоги'!$B$9</x:f>
        <x:v>1.2958368660043291</x:v>
      </x:c>
      <x:c r="F146" s="129" t="n">
        <x:f>ABS(D146-E146)</x:f>
        <x:v>0.010727500965970416</x:v>
      </x:c>
    </x:row>
    <x:row r="147">
      <x:c r="A147" s="107" t="n">
        <x:v>146</x:v>
      </x:c>
      <x:c r="B147" s="128" t="n">
        <x:v>1.5339513261837872</x:v>
      </x:c>
      <x:c r="C147" s="128" t="n">
        <x:f>LN(B147)</x:f>
        <x:v>0.42784697244412623</x:v>
      </x:c>
      <x:c r="D147" s="128" t="n">
        <x:f>'Итоги'!$B$8*AVERAGE($C$2:C147)</x:f>
        <x:v>1.2821681635304814</x:v>
      </x:c>
      <x:c r="E147" s="128" t="n">
        <x:f>'Итоги'!$B$9</x:f>
        <x:v>1.2958368660043291</x:v>
      </x:c>
      <x:c r="F147" s="129" t="n">
        <x:f>ABS(D147-E147)</x:f>
        <x:v>0.013668702473847771</x:v>
      </x:c>
    </x:row>
    <x:row r="148">
      <x:c r="A148" s="107" t="n">
        <x:v>147</x:v>
      </x:c>
      <x:c r="B148" s="128" t="n">
        <x:v>1.6631379946851044</x:v>
      </x:c>
      <x:c r="C148" s="128" t="n">
        <x:f>LN(B148)</x:f>
        <x:v>0.5087061761338606</x:v>
      </x:c>
      <x:c r="D148" s="128" t="n">
        <x:f>'Итоги'!$B$8*AVERAGE($C$2:C148)</x:f>
        <x:v>1.2803671035899182</x:v>
      </x:c>
      <x:c r="E148" s="128" t="n">
        <x:f>'Итоги'!$B$9</x:f>
        <x:v>1.2958368660043291</x:v>
      </x:c>
      <x:c r="F148" s="129" t="n">
        <x:f>ABS(D148-E148)</x:f>
        <x:v>0.015469762414410893</x:v>
      </x:c>
    </x:row>
    <x:row r="149">
      <x:c r="A149" s="107" t="n">
        <x:v>148</x:v>
      </x:c>
      <x:c r="B149" s="128" t="n">
        <x:v>2.0413448049430754</x:v>
      </x:c>
      <x:c r="C149" s="128" t="n">
        <x:f>LN(B149)</x:f>
        <x:v>0.7136088087766624</x:v>
      </x:c>
      <x:c r="D149" s="128" t="n">
        <x:f>'Итоги'!$B$8*AVERAGE($C$2:C149)</x:f>
        <x:v>1.2813593367923737</x:v>
      </x:c>
      <x:c r="E149" s="128" t="n">
        <x:f>'Итоги'!$B$9</x:f>
        <x:v>1.2958368660043291</x:v>
      </x:c>
      <x:c r="F149" s="129" t="n">
        <x:f>ABS(D149-E149)</x:f>
        <x:v>0.014477529211955442</x:v>
      </x:c>
    </x:row>
    <x:row r="150">
      <x:c r="A150" s="107" t="n">
        <x:v>149</x:v>
      </x:c>
      <x:c r="B150" s="128" t="n">
        <x:v>1.8778229206100934</x:v>
      </x:c>
      <x:c r="C150" s="128" t="n">
        <x:f>LN(B150)</x:f>
        <x:v>0.6301130848654269</x:v>
      </x:c>
      <x:c r="D150" s="128" t="n">
        <x:f>'Итоги'!$B$8*AVERAGE($C$2:C150)</x:f>
        <x:v>1.2812175034563904</x:v>
      </x:c>
      <x:c r="E150" s="128" t="n">
        <x:f>'Итоги'!$B$9</x:f>
        <x:v>1.2958368660043291</x:v>
      </x:c>
      <x:c r="F150" s="129" t="n">
        <x:f>ABS(D150-E150)</x:f>
        <x:v>0.014619362547938719</x:v>
      </x:c>
    </x:row>
    <x:row r="151">
      <x:c r="A151" s="107" t="n">
        <x:v>150</x:v>
      </x:c>
      <x:c r="B151" s="128" t="n">
        <x:v>1.0432241597606609</x:v>
      </x:c>
      <x:c r="C151" s="128" t="n">
        <x:f>LN(B151)</x:f>
        <x:v>0.042316071201854065</x:v>
      </x:c>
      <x:c r="D151" s="128" t="n">
        <x:f>'Итоги'!$B$8*AVERAGE($C$2:C151)</x:f>
        <x:v>1.2732402677160393</x:v>
      </x:c>
      <x:c r="E151" s="128" t="n">
        <x:f>'Итоги'!$B$9</x:f>
        <x:v>1.2958368660043291</x:v>
      </x:c>
      <x:c r="F151" s="129" t="n">
        <x:f>ABS(D151-E151)</x:f>
        <x:v>0.02259659828828986</x:v>
      </x:c>
    </x:row>
    <x:row r="152">
      <x:c r="A152" s="107" t="n">
        <x:v>151</x:v>
      </x:c>
      <x:c r="B152" s="128" t="n">
        <x:v>2.6525838483887156</x:v>
      </x:c>
      <x:c r="C152" s="128" t="n">
        <x:f>LN(B152)</x:f>
        <x:v>0.9755342020860104</x:v>
      </x:c>
      <x:c r="D152" s="128" t="n">
        <x:f>'Итоги'!$B$8*AVERAGE($C$2:C152)</x:f>
        <x:v>1.2777291957720391</x:v>
      </x:c>
      <x:c r="E152" s="128" t="n">
        <x:f>'Итоги'!$B$9</x:f>
        <x:v>1.2958368660043291</x:v>
      </x:c>
      <x:c r="F152" s="129" t="n">
        <x:f>ABS(D152-E152)</x:f>
        <x:v>0.018107670232289985</x:v>
      </x:c>
    </x:row>
    <x:row r="153">
      <x:c r="A153" s="107" t="n">
        <x:v>152</x:v>
      </x:c>
      <x:c r="B153" s="128" t="n">
        <x:v>2.7923215436795337</x:v>
      </x:c>
      <x:c r="C153" s="128" t="n">
        <x:f>LN(B153)</x:f>
        <x:v>1.0268733443433544</x:v>
      </x:c>
      <x:c r="D153" s="128" t="n">
        <x:f>'Итоги'!$B$8*AVERAGE($C$2:C153)</x:f>
        <x:v>1.2828345740148988</x:v>
      </x:c>
      <x:c r="E153" s="128" t="n">
        <x:f>'Итоги'!$B$9</x:f>
        <x:v>1.2958368660043291</x:v>
      </x:c>
      <x:c r="F153" s="129" t="n">
        <x:f>ABS(D153-E153)</x:f>
        <x:v>0.01300229198943037</x:v>
      </x:c>
    </x:row>
    <x:row r="154">
      <x:c r="A154" s="107" t="n">
        <x:v>153</x:v>
      </x:c>
      <x:c r="B154" s="128" t="n">
        <x:v>1.2804981779972215</x:v>
      </x:c>
      <x:c r="C154" s="128" t="n">
        <x:f>LN(B154)</x:f>
        <x:v>0.24724920377257392</x:v>
      </x:c>
      <x:c r="D154" s="128" t="n">
        <x:f>'Итоги'!$B$8*AVERAGE($C$2:C154)</x:f>
        <x:v>1.2776820500510442</x:v>
      </x:c>
      <x:c r="E154" s="128" t="n">
        <x:f>'Итоги'!$B$9</x:f>
        <x:v>1.2958368660043291</x:v>
      </x:c>
      <x:c r="F154" s="129" t="n">
        <x:f>ABS(D154-E154)</x:f>
        <x:v>0.018154815953284942</x:v>
      </x:c>
    </x:row>
    <x:row r="155">
      <x:c r="A155" s="107" t="n">
        <x:v>154</x:v>
      </x:c>
      <x:c r="B155" s="128" t="n">
        <x:v>2.108072287078099</x:v>
      </x:c>
      <x:c r="C155" s="128" t="n">
        <x:f>LN(B155)</x:f>
        <x:v>0.7457739218739455</x:v>
      </x:c>
      <x:c r="D155" s="128" t="n">
        <x:f>'Итоги'!$B$8*AVERAGE($C$2:C155)</x:f>
        <x:v>1.2790707889711537</x:v>
      </x:c>
      <x:c r="E155" s="128" t="n">
        <x:f>'Итоги'!$B$9</x:f>
        <x:v>1.2958368660043291</x:v>
      </x:c>
      <x:c r="F155" s="129" t="n">
        <x:f>ABS(D155-E155)</x:f>
        <x:v>0.016766077033175453</x:v>
      </x:c>
    </x:row>
    <x:row r="156">
      <x:c r="A156" s="107" t="n">
        <x:v>155</x:v>
      </x:c>
      <x:c r="B156" s="128" t="n">
        <x:v>1.217151482270887</x:v>
      </x:c>
      <x:c r="C156" s="128" t="n">
        <x:f>LN(B156)</x:f>
        <x:v>0.1965132781335974</x:v>
      </x:c>
      <x:c r="D156" s="128" t="n">
        <x:f>'Итоги'!$B$8*AVERAGE($C$2:C156)</x:f>
        <x:v>1.2733543745666118</x:v>
      </x:c>
      <x:c r="E156" s="128" t="n">
        <x:f>'Итоги'!$B$9</x:f>
        <x:v>1.2958368660043291</x:v>
      </x:c>
      <x:c r="F156" s="129" t="n">
        <x:f>ABS(D156-E156)</x:f>
        <x:v>0.0224824914377173</x:v>
      </x:c>
    </x:row>
    <x:row r="157">
      <x:c r="A157" s="107" t="n">
        <x:v>156</x:v>
      </x:c>
      <x:c r="B157" s="128" t="n">
        <x:v>2.3444801860796236</x:v>
      </x:c>
      <x:c r="C157" s="128" t="n">
        <x:f>LN(B157)</x:f>
        <x:v>0.8520637082768266</x:v>
      </x:c>
      <x:c r="D157" s="128" t="n">
        <x:f>'Итоги'!$B$8*AVERAGE($C$2:C157)</x:f>
        <x:v>1.2761157402203749</x:v>
      </x:c>
      <x:c r="E157" s="128" t="n">
        <x:f>'Итоги'!$B$9</x:f>
        <x:v>1.2958368660043291</x:v>
      </x:c>
      <x:c r="F157" s="129" t="n">
        <x:f>ABS(D157-E157)</x:f>
        <x:v>0.01972112578395424</x:v>
      </x:c>
    </x:row>
    <x:row r="158">
      <x:c r="A158" s="107" t="n">
        <x:v>157</x:v>
      </x:c>
      <x:c r="B158" s="128" t="n">
        <x:v>1.5624675676780166</x:v>
      </x:c>
      <x:c r="C158" s="128" t="n">
        <x:f>LN(B158)</x:f>
        <x:v>0.4462663457269272</x:v>
      </x:c>
      <x:c r="D158" s="128" t="n">
        <x:f>'Итоги'!$B$8*AVERAGE($C$2:C158)</x:f>
        <x:v>1.273672536088104</x:v>
      </x:c>
      <x:c r="E158" s="128" t="n">
        <x:f>'Итоги'!$B$9</x:f>
        <x:v>1.2958368660043291</x:v>
      </x:c>
      <x:c r="F158" s="129" t="n">
        <x:f>ABS(D158-E158)</x:f>
        <x:v>0.02216432991622508</x:v>
      </x:c>
    </x:row>
    <x:row r="159">
      <x:c r="A159" s="107" t="n">
        <x:v>158</x:v>
      </x:c>
      <x:c r="B159" s="128" t="n">
        <x:v>2.3188452693838038</x:v>
      </x:c>
      <x:c r="C159" s="128" t="n">
        <x:f>LN(B159)</x:f>
        <x:v>0.8410693330562878</x:v>
      </x:c>
      <x:c r="D159" s="128" t="n">
        <x:f>'Итоги'!$B$8*AVERAGE($C$2:C159)</x:f>
        <x:v>1.276257764759145</x:v>
      </x:c>
      <x:c r="E159" s="128" t="n">
        <x:f>'Итоги'!$B$9</x:f>
        <x:v>1.2958368660043291</x:v>
      </x:c>
      <x:c r="F159" s="129" t="n">
        <x:f>ABS(D159-E159)</x:f>
        <x:v>0.019579101245184027</x:v>
      </x:c>
    </x:row>
    <x:row r="160">
      <x:c r="A160" s="107" t="n">
        <x:v>159</x:v>
      </x:c>
      <x:c r="B160" s="128" t="n">
        <x:v>2.4539892285737652</x:v>
      </x:c>
      <x:c r="C160" s="128" t="n">
        <x:f>LN(B160)</x:f>
        <x:v>0.8977149569448425</x:v>
      </x:c>
      <x:c r="D160" s="128" t="n">
        <x:f>'Итоги'!$B$8*AVERAGE($C$2:C160)</x:f>
        <x:v>1.2795229984014753</x:v>
      </x:c>
      <x:c r="E160" s="128" t="n">
        <x:f>'Итоги'!$B$9</x:f>
        <x:v>1.2958368660043291</x:v>
      </x:c>
      <x:c r="F160" s="129" t="n">
        <x:f>ABS(D160-E160)</x:f>
        <x:v>0.016313867602853804</x:v>
      </x:c>
    </x:row>
    <x:row r="161">
      <x:c r="A161" s="107" t="n">
        <x:v>160</x:v>
      </x:c>
      <x:c r="B161" s="128" t="n">
        <x:v>2.537294983835314</x:v>
      </x:c>
      <x:c r="C161" s="128" t="n">
        <x:f>LN(B161)</x:f>
        <x:v>0.9310985465561908</x:v>
      </x:c>
      <x:c r="D161" s="128" t="n">
        <x:f>'Итоги'!$B$8*AVERAGE($C$2:C161)</x:f>
        <x:v>1.2831647114934186</x:v>
      </x:c>
      <x:c r="E161" s="128" t="n">
        <x:f>'Итоги'!$B$9</x:f>
        <x:v>1.2958368660043291</x:v>
      </x:c>
      <x:c r="F161" s="129" t="n">
        <x:f>ABS(D161-E161)</x:f>
        <x:v>0.012672154510910527</x:v>
      </x:c>
    </x:row>
    <x:row r="162">
      <x:c r="A162" s="107" t="n">
        <x:v>161</x:v>
      </x:c>
      <x:c r="B162" s="128" t="n">
        <x:v>1.2154818919117931</x:v>
      </x:c>
      <x:c r="C162" s="128" t="n">
        <x:f>LN(B162)</x:f>
        <x:v>0.19514061701748636</x:v>
      </x:c>
      <x:c r="D162" s="128" t="n">
        <x:f>'Итоги'!$B$8*AVERAGE($C$2:C162)</x:f>
        <x:v>1.2776188513849809</x:v>
      </x:c>
      <x:c r="E162" s="128" t="n">
        <x:f>'Итоги'!$B$9</x:f>
        <x:v>1.2958368660043291</x:v>
      </x:c>
      <x:c r="F162" s="129" t="n">
        <x:f>ABS(D162-E162)</x:f>
        <x:v>0.018218014619348244</x:v>
      </x:c>
    </x:row>
    <x:row r="163">
      <x:c r="A163" s="107" t="n">
        <x:v>162</x:v>
      </x:c>
      <x:c r="B163" s="128" t="n">
        <x:v>2.832023690275216</x:v>
      </x:c>
      <x:c r="C163" s="128" t="n">
        <x:f>LN(B163)</x:f>
        <x:v>1.0409915410066604</x:v>
      </x:c>
      <x:c r="D163" s="128" t="n">
        <x:f>'Итоги'!$B$8*AVERAGE($C$2:C163)</x:f>
        <x:v>1.282584062685156</x:v>
      </x:c>
      <x:c r="E163" s="128" t="n">
        <x:f>'Итоги'!$B$9</x:f>
        <x:v>1.2958368660043291</x:v>
      </x:c>
      <x:c r="F163" s="129" t="n">
        <x:f>ABS(D163-E163)</x:f>
        <x:v>0.013252803319173223</x:v>
      </x:c>
    </x:row>
    <x:row r="164">
      <x:c r="A164" s="107" t="n">
        <x:v>163</x:v>
      </x:c>
      <x:c r="B164" s="128" t="n">
        <x:v>1.4604279817897616</x:v>
      </x:c>
      <x:c r="C164" s="128" t="n">
        <x:f>LN(B164)</x:f>
        <x:v>0.3787295309757995</x:v>
      </x:c>
      <x:c r="D164" s="128" t="n">
        <x:f>'Итоги'!$B$8*AVERAGE($C$2:C164)</x:f>
        <x:v>1.2793624369137844</x:v>
      </x:c>
      <x:c r="E164" s="128" t="n">
        <x:f>'Итоги'!$B$9</x:f>
        <x:v>1.2958368660043291</x:v>
      </x:c>
      <x:c r="F164" s="129" t="n">
        <x:f>ABS(D164-E164)</x:f>
        <x:v>0.01647442909054475</x:v>
      </x:c>
    </x:row>
    <x:row r="165">
      <x:c r="A165" s="107" t="n">
        <x:v>164</x:v>
      </x:c>
      <x:c r="B165" s="128" t="n">
        <x:v>1.0748251123523596</x:v>
      </x:c>
      <x:c r="C165" s="128" t="n">
        <x:f>LN(B165)</x:f>
        <x:v>0.0721579621609419</x:v>
      </x:c>
      <x:c r="D165" s="128" t="n">
        <x:f>'Итоги'!$B$8*AVERAGE($C$2:C165)</x:f>
        <x:v>1.2724414215931021</x:v>
      </x:c>
      <x:c r="E165" s="128" t="n">
        <x:f>'Итоги'!$B$9</x:f>
        <x:v>1.2958368660043291</x:v>
      </x:c>
      <x:c r="F165" s="129" t="n">
        <x:f>ABS(D165-E165)</x:f>
        <x:v>0.023395444411226984</x:v>
      </x:c>
    </x:row>
    <x:row r="166">
      <x:c r="A166" s="107" t="n">
        <x:v>165</x:v>
      </x:c>
      <x:c r="B166" s="128" t="n">
        <x:v>2.1097049387829667</x:v>
      </x:c>
      <x:c r="C166" s="128" t="n">
        <x:f>LN(B166)</x:f>
        <x:v>0.7465480982701769</x:v>
      </x:c>
      <x:c r="D166" s="128" t="n">
        <x:f>'Итоги'!$B$8*AVERAGE($C$2:C166)</x:f>
        <x:v>1.2737787232594493</x:v>
      </x:c>
      <x:c r="E166" s="128" t="n">
        <x:f>'Итоги'!$B$9</x:f>
        <x:v>1.2958368660043291</x:v>
      </x:c>
      <x:c r="F166" s="129" t="n">
        <x:f>ABS(D166-E166)</x:f>
        <x:v>0.022058142744879827</x:v>
      </x:c>
    </x:row>
    <x:row r="167">
      <x:c r="A167" s="107" t="n">
        <x:v>166</x:v>
      </x:c>
      <x:c r="B167" s="128" t="n">
        <x:v>1.7418445677248775</x:v>
      </x:c>
      <x:c r="C167" s="128" t="n">
        <x:f>LN(B167)</x:f>
        <x:v>0.5549446481146617</x:v>
      </x:c>
      <x:c r="D167" s="128" t="n">
        <x:f>'Итоги'!$B$8*AVERAGE($C$2:C167)</x:f>
        <x:v>1.2727914375544485</x:v>
      </x:c>
      <x:c r="E167" s="128" t="n">
        <x:f>'Итоги'!$B$9</x:f>
        <x:v>1.2958368660043291</x:v>
      </x:c>
      <x:c r="F167" s="129" t="n">
        <x:f>ABS(D167-E167)</x:f>
        <x:v>0.023045428449880667</x:v>
      </x:c>
    </x:row>
    <x:row r="168">
      <x:c r="A168" s="107" t="n">
        <x:v>167</x:v>
      </x:c>
      <x:c r="B168" s="128" t="n">
        <x:v>2.6595794862648265</x:v>
      </x:c>
      <x:c r="C168" s="128" t="n">
        <x:f>LN(B168)</x:f>
        <x:v>0.9781680224260373</x:v>
      </x:c>
      <x:c r="D168" s="128" t="n">
        <x:f>'Итоги'!$B$8*AVERAGE($C$2:C168)</x:f>
        <x:v>1.2768845190352724</x:v>
      </x:c>
      <x:c r="E168" s="128" t="n">
        <x:f>'Итоги'!$B$9</x:f>
        <x:v>1.2958368660043291</x:v>
      </x:c>
      <x:c r="F168" s="129" t="n">
        <x:f>ABS(D168-E168)</x:f>
        <x:v>0.018952346969056677</x:v>
      </x:c>
    </x:row>
    <x:row r="169">
      <x:c r="A169" s="107" t="n">
        <x:v>168</x:v>
      </x:c>
      <x:c r="B169" s="128" t="n">
        <x:v>2.6165029441286034</x:v>
      </x:c>
      <x:c r="C169" s="128" t="n">
        <x:f>LN(B169)</x:f>
        <x:v>0.9618386720458514</x:v>
      </x:c>
      <x:c r="D169" s="128" t="n">
        <x:f>'Итоги'!$B$8*AVERAGE($C$2:C169)</x:f>
        <x:v>1.280734476327275</x:v>
      </x:c>
      <x:c r="E169" s="128" t="n">
        <x:f>'Итоги'!$B$9</x:f>
        <x:v>1.2958368660043291</x:v>
      </x:c>
      <x:c r="F169" s="129" t="n">
        <x:f>ABS(D169-E169)</x:f>
        <x:v>0.015102389677054129</x:v>
      </x:c>
    </x:row>
    <x:row r="170">
      <x:c r="A170" s="107" t="n">
        <x:v>169</x:v>
      </x:c>
      <x:c r="B170" s="128" t="n">
        <x:v>1.6342777856454307</x:v>
      </x:c>
      <x:c r="C170" s="128" t="n">
        <x:f>LN(B170)</x:f>
        <x:v>0.4912009854438373</x:v>
      </x:c>
      <x:c r="D170" s="128" t="n">
        <x:f>'Итоги'!$B$8*AVERAGE($C$2:C170)</x:f>
        <x:v>1.2789691952299993</x:v>
      </x:c>
      <x:c r="E170" s="128" t="n">
        <x:f>'Итоги'!$B$9</x:f>
        <x:v>1.2958368660043291</x:v>
      </x:c>
      <x:c r="F170" s="129" t="n">
        <x:f>ABS(D170-E170)</x:f>
        <x:v>0.016867670774329824</x:v>
      </x:c>
    </x:row>
    <x:row r="171">
      <x:c r="A171" s="107" t="n">
        <x:v>170</x:v>
      </x:c>
      <x:c r="B171" s="128" t="n">
        <x:v>2.9057987901394897</x:v>
      </x:c>
      <x:c r="C171" s="128" t="n">
        <x:f>LN(B171)</x:f>
        <x:v>1.0667083232944565</x:v>
      </x:c>
      <x:c r="D171" s="128" t="n">
        <x:f>'Итоги'!$B$8*AVERAGE($C$2:C171)</x:f>
        <x:v>1.2839953567085813</x:v>
      </x:c>
      <x:c r="E171" s="128" t="n">
        <x:f>'Итоги'!$B$9</x:f>
        <x:v>1.2958368660043291</x:v>
      </x:c>
      <x:c r="F171" s="129" t="n">
        <x:f>ABS(D171-E171)</x:f>
        <x:v>0.011841509295747787</x:v>
      </x:c>
    </x:row>
    <x:row r="172">
      <x:c r="A172" s="107" t="n">
        <x:v>171</x:v>
      </x:c>
      <x:c r="B172" s="128" t="n">
        <x:v>1.5818356762802372</x:v>
      </x:c>
      <x:c r="C172" s="128" t="n">
        <x:f>LN(B172)</x:f>
        <x:v>0.45858599307834597</x:v>
      </x:c>
      <x:c r="D172" s="128" t="n">
        <x:f>'Итоги'!$B$8*AVERAGE($C$2:C172)</x:f>
        <x:v>1.281850190798921</x:v>
      </x:c>
      <x:c r="E172" s="128" t="n">
        <x:f>'Итоги'!$B$9</x:f>
        <x:v>1.2958368660043291</x:v>
      </x:c>
      <x:c r="F172" s="129" t="n">
        <x:f>ABS(D172-E172)</x:f>
        <x:v>0.013986675205408083</x:v>
      </x:c>
    </x:row>
    <x:row r="173">
      <x:c r="A173" s="107" t="n">
        <x:v>172</x:v>
      </x:c>
      <x:c r="B173" s="128" t="n">
        <x:v>2.030114258463429</x:v>
      </x:c>
      <x:c r="C173" s="128" t="n">
        <x:f>LN(B173)</x:f>
        <x:v>0.7080920764271114</x:v>
      </x:c>
      <x:c r="D173" s="128" t="n">
        <x:f>'Итоги'!$B$8*AVERAGE($C$2:C173)</x:f>
        <x:v>1.2826312022062192</x:v>
      </x:c>
      <x:c r="E173" s="128" t="n">
        <x:f>'Итоги'!$B$9</x:f>
        <x:v>1.2958368660043291</x:v>
      </x:c>
      <x:c r="F173" s="129" t="n">
        <x:f>ABS(D173-E173)</x:f>
        <x:v>0.013205663798109946</x:v>
      </x:c>
    </x:row>
    <x:row r="174">
      <x:c r="A174" s="107" t="n">
        <x:v>173</x:v>
      </x:c>
      <x:c r="B174" s="128" t="n">
        <x:v>1.5119301811352055</x:v>
      </x:c>
      <x:c r="C174" s="128" t="n">
        <x:f>LN(B174)</x:f>
        <x:v>0.413387100193294</x:v>
      </x:c>
      <x:c r="D174" s="128" t="n">
        <x:f>'Итоги'!$B$8*AVERAGE($C$2:C174)</x:f>
        <x:v>1.2799961906350075</x:v>
      </x:c>
      <x:c r="E174" s="128" t="n">
        <x:f>'Итоги'!$B$9</x:f>
        <x:v>1.2958368660043291</x:v>
      </x:c>
      <x:c r="F174" s="129" t="n">
        <x:f>ABS(D174-E174)</x:f>
        <x:v>0.015840675369321655</x:v>
      </x:c>
    </x:row>
    <x:row r="175">
      <x:c r="A175" s="107" t="n">
        <x:v>174</x:v>
      </x:c>
      <x:c r="B175" s="128" t="n">
        <x:v>2.8720871400979266</x:v>
      </x:c>
      <x:c r="C175" s="128" t="n">
        <x:f>LN(B175)</x:f>
        <x:v>1.0550389919854148</x:v>
      </x:c>
      <x:c r="D175" s="128" t="n">
        <x:f>'Итоги'!$B$8*AVERAGE($C$2:C175)</x:f>
        <x:v>1.284766775654179</x:v>
      </x:c>
      <x:c r="E175" s="128" t="n">
        <x:f>'Итоги'!$B$9</x:f>
        <x:v>1.2958368660043291</x:v>
      </x:c>
      <x:c r="F175" s="129" t="n">
        <x:f>ABS(D175-E175)</x:f>
        <x:v>0.011070090350150164</x:v>
      </x:c>
    </x:row>
    <x:row r="176">
      <x:c r="A176" s="107" t="n">
        <x:v>175</x:v>
      </x:c>
      <x:c r="B176" s="128" t="n">
        <x:v>1.3292156351640363</x:v>
      </x:c>
      <x:c r="C176" s="128" t="n">
        <x:f>LN(B176)</x:f>
        <x:v>0.284589020266945</x:v>
      </x:c>
      <x:c r="D176" s="128" t="n">
        <x:f>'Итоги'!$B$8*AVERAGE($C$2:C176)</x:f>
        <x:v>1.2806776971677774</x:v>
      </x:c>
      <x:c r="E176" s="128" t="n">
        <x:f>'Итоги'!$B$9</x:f>
        <x:v>1.2958368660043291</x:v>
      </x:c>
      <x:c r="F176" s="129" t="n">
        <x:f>ABS(D176-E176)</x:f>
        <x:v>0.015159168836551773</x:v>
      </x:c>
    </x:row>
    <x:row r="177">
      <x:c r="A177" s="107" t="n">
        <x:v>176</x:v>
      </x:c>
      <x:c r="B177" s="128" t="n">
        <x:v>1.089821238784658</x:v>
      </x:c>
      <x:c r="C177" s="128" t="n">
        <x:f>LN(B177)</x:f>
        <x:v>0.08601368167640626</x:v>
      </x:c>
      <x:c r="D177" s="128" t="n">
        <x:f>'Итоги'!$B$8*AVERAGE($C$2:C177)</x:f>
        <x:v>1.2743785475438285</x:v>
      </x:c>
      <x:c r="E177" s="128" t="n">
        <x:f>'Итоги'!$B$9</x:f>
        <x:v>1.2958368660043291</x:v>
      </x:c>
      <x:c r="F177" s="129" t="n">
        <x:f>ABS(D177-E177)</x:f>
        <x:v>0.021458318460500614</x:v>
      </x:c>
    </x:row>
    <x:row r="178">
      <x:c r="A178" s="107" t="n">
        <x:v>177</x:v>
      </x:c>
      <x:c r="B178" s="128" t="n">
        <x:v>1.8701941200060759</x:v>
      </x:c>
      <x:c r="C178" s="128" t="n">
        <x:f>LN(B178)</x:f>
        <x:v>0.6260422329687507</x:v>
      </x:c>
      <x:c r="D178" s="128" t="n">
        <x:f>'Итоги'!$B$8*AVERAGE($C$2:C178)</x:f>
        <x:v>1.2742525922805161</x:v>
      </x:c>
      <x:c r="E178" s="128" t="n">
        <x:f>'Итоги'!$B$9</x:f>
        <x:v>1.2958368660043291</x:v>
      </x:c>
      <x:c r="F178" s="129" t="n">
        <x:f>ABS(D178-E178)</x:f>
        <x:v>0.021584273723812997</x:v>
      </x:c>
    </x:row>
    <x:row r="179">
      <x:c r="A179" s="107" t="n">
        <x:v>178</x:v>
      </x:c>
      <x:c r="B179" s="128" t="n">
        <x:v>2.9847511281116743</x:v>
      </x:c>
      <x:c r="C179" s="128" t="n">
        <x:f>LN(B179)</x:f>
        <x:v>1.093516369201803</x:v>
      </x:c>
      <x:c r="D179" s="128" t="n">
        <x:f>'Итоги'!$B$8*AVERAGE($C$2:C179)</x:f>
        <x:v>1.2793805706295223</x:v>
      </x:c>
      <x:c r="E179" s="128" t="n">
        <x:f>'Итоги'!$B$9</x:f>
        <x:v>1.2958368660043291</x:v>
      </x:c>
      <x:c r="F179" s="129" t="n">
        <x:f>ABS(D179-E179)</x:f>
        <x:v>0.016456295374806862</x:v>
      </x:c>
    </x:row>
    <x:row r="180">
      <x:c r="A180" s="107" t="n">
        <x:v>179</x:v>
      </x:c>
      <x:c r="B180" s="128" t="n">
        <x:v>2.783354532509828</x:v>
      </x:c>
      <x:c r="C180" s="128" t="n">
        <x:f>LN(B180)</x:f>
        <x:v>1.023656866636246</x:v>
      </x:c>
      <x:c r="D180" s="128" t="n">
        <x:f>'Итоги'!$B$8*AVERAGE($C$2:C180)</x:f>
        <x:v>1.2836707000297622</x:v>
      </x:c>
      <x:c r="E180" s="128" t="n">
        <x:f>'Итоги'!$B$9</x:f>
        <x:v>1.2958368660043291</x:v>
      </x:c>
      <x:c r="F180" s="129" t="n">
        <x:f>ABS(D180-E180)</x:f>
        <x:v>0.012166165974566878</x:v>
      </x:c>
    </x:row>
    <x:row r="181">
      <x:c r="A181" s="107" t="n">
        <x:v>180</x:v>
      </x:c>
      <x:c r="B181" s="128" t="n">
        <x:v>2.4972160389138987</x:v>
      </x:c>
      <x:c r="C181" s="128" t="n">
        <x:f>LN(B181)</x:f>
        <x:v>0.9151765269438757</x:v>
      </x:c>
      <x:c r="D181" s="128" t="n">
        <x:f>'Итоги'!$B$8*AVERAGE($C$2:C181)</x:f>
        <x:v>1.2867078242178622</x:v>
      </x:c>
      <x:c r="E181" s="128" t="n">
        <x:f>'Итоги'!$B$9</x:f>
        <x:v>1.2958368660043291</x:v>
      </x:c>
      <x:c r="F181" s="129" t="n">
        <x:f>ABS(D181-E181)</x:f>
        <x:v>0.009129041786466896</x:v>
      </x:c>
    </x:row>
    <x:row r="182">
      <x:c r="A182" s="107" t="n">
        <x:v>181</x:v>
      </x:c>
      <x:c r="B182" s="128" t="n">
        <x:v>2.7815849817570495</x:v>
      </x:c>
      <x:c r="C182" s="128" t="n">
        <x:f>LN(B182)</x:f>
        <x:v>1.0230209025586912</x:v>
      </x:c>
      <x:c r="D182" s="128" t="n">
        <x:f>'Итоги'!$B$8*AVERAGE($C$2:C182)</x:f>
        <x:v>1.290903039581948</x:v>
      </x:c>
      <x:c r="E182" s="128" t="n">
        <x:f>'Итоги'!$B$9</x:f>
        <x:v>1.2958368660043291</x:v>
      </x:c>
      <x:c r="F182" s="129" t="n">
        <x:f>ABS(D182-E182)</x:f>
        <x:v>0.004933826422381049</x:v>
      </x:c>
    </x:row>
    <x:row r="183">
      <x:c r="A183" s="107" t="n">
        <x:v>182</x:v>
      </x:c>
      <x:c r="B183" s="128" t="n">
        <x:v>2.786893279395726</x:v>
      </x:c>
      <x:c r="C183" s="128" t="n">
        <x:f>LN(B183)</x:f>
        <x:v>1.0249274554794976</x:v>
      </x:c>
      <x:c r="D183" s="128" t="n">
        <x:f>'Итоги'!$B$8*AVERAGE($C$2:C183)</x:f>
        <x:v>1.2950731048092945</x:v>
      </x:c>
      <x:c r="E183" s="128" t="n">
        <x:f>'Итоги'!$B$9</x:f>
        <x:v>1.2958368660043291</x:v>
      </x:c>
      <x:c r="F183" s="129" t="n">
        <x:f>ABS(D183-E183)</x:f>
        <x:v>0.000763761195034629</x:v>
      </x:c>
    </x:row>
    <x:row r="184">
      <x:c r="A184" s="107" t="n">
        <x:v>183</x:v>
      </x:c>
      <x:c r="B184" s="128" t="n">
        <x:v>2.037716720772898</x:v>
      </x:c>
      <x:c r="C184" s="128" t="n">
        <x:f>LN(B184)</x:f>
        <x:v>0.7118299264999245</x:v>
      </x:c>
      <x:c r="D184" s="128" t="n">
        <x:f>'Итоги'!$B$8*AVERAGE($C$2:C184)</x:f>
        <x:v>1.2957757646354724</x:v>
      </x:c>
      <x:c r="E184" s="128" t="n">
        <x:f>'Итоги'!$B$9</x:f>
        <x:v>1.2958368660043291</x:v>
      </x:c>
      <x:c r="F184" s="129" t="n">
        <x:f>ABS(D184-E184)</x:f>
        <x:v>0.00006110136885673079</x:v>
      </x:c>
    </x:row>
    <x:row r="185">
      <x:c r="A185" s="107" t="n">
        <x:v>184</x:v>
      </x:c>
      <x:c r="B185" s="128" t="n">
        <x:v>1.631858103661586</x:v>
      </x:c>
      <x:c r="C185" s="128" t="n">
        <x:f>LN(B185)</x:f>
        <x:v>0.489719306476075</x:v>
      </x:c>
      <x:c r="D185" s="128" t="n">
        <x:f>'Итоги'!$B$8*AVERAGE($C$2:C185)</x:f>
        <x:v>1.2940565409850195</x:v>
      </x:c>
      <x:c r="E185" s="128" t="n">
        <x:f>'Итоги'!$B$9</x:f>
        <x:v>1.2958368660043291</x:v>
      </x:c>
      <x:c r="F185" s="129" t="n">
        <x:f>ABS(D185-E185)</x:f>
        <x:v>0.001780325019309581</x:v>
      </x:c>
    </x:row>
    <x:row r="186">
      <x:c r="A186" s="107" t="n">
        <x:v>185</x:v>
      </x:c>
      <x:c r="B186" s="128" t="n">
        <x:v>2.544024864221976</x:v>
      </x:c>
      <x:c r="C186" s="128" t="n">
        <x:f>LN(B186)</x:f>
        <x:v>0.9337474191022741</x:v>
      </x:c>
      <x:c r="D186" s="128" t="n">
        <x:f>'Итоги'!$B$8*AVERAGE($C$2:C186)</x:f>
        <x:v>1.2971562074564764</x:v>
      </x:c>
      <x:c r="E186" s="128" t="n">
        <x:f>'Итоги'!$B$9</x:f>
        <x:v>1.2958368660043291</x:v>
      </x:c>
      <x:c r="F186" s="129" t="n">
        <x:f>ABS(D186-E186)</x:f>
        <x:v>0.0013193414521472935</x:v>
      </x:c>
    </x:row>
    <x:row r="187">
      <x:c r="A187" s="107" t="n">
        <x:v>186</x:v>
      </x:c>
      <x:c r="B187" s="128" t="n">
        <x:v>2.323322526335522</x:v>
      </x:c>
      <x:c r="C187" s="128" t="n">
        <x:f>LN(B187)</x:f>
        <x:v>0.8429982845879903</x:v>
      </x:c>
      <x:c r="D187" s="128" t="n">
        <x:f>'Итоги'!$B$8*AVERAGE($C$2:C187)</x:f>
        <x:v>1.2992467470356135</x:v>
      </x:c>
      <x:c r="E187" s="128" t="n">
        <x:f>'Итоги'!$B$9</x:f>
        <x:v>1.2958368660043291</x:v>
      </x:c>
      <x:c r="F187" s="129" t="n">
        <x:f>ABS(D187-E187)</x:f>
        <x:v>0.0034098810312843675</x:v>
      </x:c>
    </x:row>
    <x:row r="188">
      <x:c r="A188" s="107" t="n">
        <x:v>187</x:v>
      </x:c>
      <x:c r="B188" s="128" t="n">
        <x:v>1.7473154577474201</x:v>
      </x:c>
      <x:c r="C188" s="128" t="n">
        <x:f>LN(B188)</x:f>
        <x:v>0.5580805859713636</x:v>
      </x:c>
      <x:c r="D188" s="128" t="n">
        <x:f>'Итоги'!$B$8*AVERAGE($C$2:C188)</x:f>
        <x:v>1.2982676797891277</x:v>
      </x:c>
      <x:c r="E188" s="128" t="n">
        <x:f>'Итоги'!$B$9</x:f>
        <x:v>1.2958368660043291</x:v>
      </x:c>
      <x:c r="F188" s="129" t="n">
        <x:f>ABS(D188-E188)</x:f>
        <x:v>0.002430813784798591</x:v>
      </x:c>
    </x:row>
    <x:row r="189">
      <x:c r="A189" s="107" t="n">
        <x:v>188</x:v>
      </x:c>
      <x:c r="B189" s="128" t="n">
        <x:v>1.1889333361230305</x:v>
      </x:c>
      <x:c r="C189" s="128" t="n">
        <x:f>LN(B189)</x:f>
        <x:v>0.1730565489568642</x:v>
      </x:c>
      <x:c r="D189" s="128" t="n">
        <x:f>'Итоги'!$B$8*AVERAGE($C$2:C189)</x:f>
        <x:v>1.2932030277578754</x:v>
      </x:c>
      <x:c r="E189" s="128" t="n">
        <x:f>'Итоги'!$B$9</x:f>
        <x:v>1.2958368660043291</x:v>
      </x:c>
      <x:c r="F189" s="129" t="n">
        <x:f>ABS(D189-E189)</x:f>
        <x:v>0.0026338382464536902</x:v>
      </x:c>
    </x:row>
    <x:row r="190">
      <x:c r="A190" s="107" t="n">
        <x:v>189</x:v>
      </x:c>
      <x:c r="B190" s="128" t="n">
        <x:v>2.493579222698052</x:v>
      </x:c>
      <x:c r="C190" s="128" t="n">
        <x:f>LN(B190)</x:f>
        <x:v>0.9137191171849343</x:v>
      </x:c>
      <x:c r="D190" s="128" t="n">
        <x:f>'Итоги'!$B$8*AVERAGE($C$2:C190)</x:f>
        <x:v>1.296029669062701</x:v>
      </x:c>
      <x:c r="E190" s="128" t="n">
        <x:f>'Итоги'!$B$9</x:f>
        <x:v>1.2958368660043291</x:v>
      </x:c>
      <x:c r="F190" s="129" t="n">
        <x:f>ABS(D190-E190)</x:f>
        <x:v>0.00019280305837177103</x:v>
      </x:c>
    </x:row>
    <x:row r="191">
      <x:c r="A191" s="107" t="n">
        <x:v>190</x:v>
      </x:c>
      <x:c r="B191" s="128" t="n">
        <x:v>1.5249210318457294</x:v>
      </x:c>
      <x:c r="C191" s="128" t="n">
        <x:f>LN(B191)</x:f>
        <x:v>0.42194262632237733</x:v>
      </x:c>
      <x:c r="D191" s="128" t="n">
        <x:f>'Итоги'!$B$8*AVERAGE($C$2:C191)</x:f>
        <x:v>1.2936499616078696</x:v>
      </x:c>
      <x:c r="E191" s="128" t="n">
        <x:f>'Итоги'!$B$9</x:f>
        <x:v>1.2958368660043291</x:v>
      </x:c>
      <x:c r="F191" s="129" t="n">
        <x:f>ABS(D191-E191)</x:f>
        <x:v>0.0021869043964595214</x:v>
      </x:c>
    </x:row>
    <x:row r="192">
      <x:c r="A192" s="107" t="n">
        <x:v>191</x:v>
      </x:c>
      <x:c r="B192" s="128" t="n">
        <x:v>2.8736263010675582</x:v>
      </x:c>
      <x:c r="C192" s="128" t="n">
        <x:f>LN(B192)</x:f>
        <x:v>1.0555747517382144</x:v>
      </x:c>
      <x:c r="D192" s="128" t="n">
        <x:f>'Итоги'!$B$8*AVERAGE($C$2:C192)</x:f>
        <x:v>1.2979300639213176</x:v>
      </x:c>
      <x:c r="E192" s="128" t="n">
        <x:f>'Итоги'!$B$9</x:f>
        <x:v>1.2958368660043291</x:v>
      </x:c>
      <x:c r="F192" s="129" t="n">
        <x:f>ABS(D192-E192)</x:f>
        <x:v>0.0020931979169884762</x:v>
      </x:c>
    </x:row>
    <x:row r="193">
      <x:c r="A193" s="107" t="n">
        <x:v>192</x:v>
      </x:c>
      <x:c r="B193" s="128" t="n">
        <x:v>1.4819411500113695</x:v>
      </x:c>
      <x:c r="C193" s="128" t="n">
        <x:f>LN(B193)</x:f>
        <x:v>0.3933528162415582</x:v>
      </x:c>
      <x:c r="D193" s="128" t="n">
        <x:f>'Итоги'!$B$8*AVERAGE($C$2:C193)</x:f>
        <x:v>1.2952674366742436</x:v>
      </x:c>
      <x:c r="E193" s="128" t="n">
        <x:f>'Итоги'!$B$9</x:f>
        <x:v>1.2958368660043291</x:v>
      </x:c>
      <x:c r="F193" s="129" t="n">
        <x:f>ABS(D193-E193)</x:f>
        <x:v>0.0005694293300855247</x:v>
      </x:c>
    </x:row>
    <x:row r="194">
      <x:c r="A194" s="107" t="n">
        <x:v>193</x:v>
      </x:c>
      <x:c r="B194" s="128" t="n">
        <x:v>1.245515864822972</x:v>
      </x:c>
      <x:c r="C194" s="128" t="n">
        <x:f>LN(B194)</x:f>
        <x:v>0.21954979335312264</x:v>
      </x:c>
      <x:c r="D194" s="128" t="n">
        <x:f>'Итоги'!$B$8*AVERAGE($C$2:C194)</x:f>
        <x:v>1.2908313338246686</x:v>
      </x:c>
      <x:c r="E194" s="128" t="n">
        <x:f>'Итоги'!$B$9</x:f>
        <x:v>1.2958368660043291</x:v>
      </x:c>
      <x:c r="F194" s="129" t="n">
        <x:f>ABS(D194-E194)</x:f>
        <x:v>0.005005532179660488</x:v>
      </x:c>
    </x:row>
    <x:row r="195">
      <x:c r="A195" s="107" t="n">
        <x:v>194</x:v>
      </x:c>
      <x:c r="B195" s="128" t="n">
        <x:v>2.662225344249812</x:v>
      </x:c>
      <x:c r="C195" s="128" t="n">
        <x:f>LN(B195)</x:f>
        <x:v>0.9791623686252126</x:v>
      </x:c>
      <x:c r="D195" s="128" t="n">
        <x:f>'Итоги'!$B$8*AVERAGE($C$2:C195)</x:f>
        <x:v>1.2942720214711931</x:v>
      </x:c>
      <x:c r="E195" s="128" t="n">
        <x:f>'Итоги'!$B$9</x:f>
        <x:v>1.2958368660043291</x:v>
      </x:c>
      <x:c r="F195" s="129" t="n">
        <x:f>ABS(D195-E195)</x:f>
        <x:v>0.0015648445331359895</x:v>
      </x:c>
    </x:row>
    <x:row r="196">
      <x:c r="A196" s="107" t="n">
        <x:v>195</x:v>
      </x:c>
      <x:c r="B196" s="128" t="n">
        <x:v>1.306568633248988</x:v>
      </x:c>
      <x:c r="C196" s="128" t="n">
        <x:f>LN(B196)</x:f>
        <x:v>0.26740433674494823</x:v>
      </x:c>
      <x:c r="D196" s="128" t="n">
        <x:f>'Итоги'!$B$8*AVERAGE($C$2:C196)</x:f>
        <x:v>1.2903773376353915</x:v>
      </x:c>
      <x:c r="E196" s="128" t="n">
        <x:f>'Итоги'!$B$9</x:f>
        <x:v>1.2958368660043291</x:v>
      </x:c>
      <x:c r="F196" s="129" t="n">
        <x:f>ABS(D196-E196)</x:f>
        <x:v>0.005459528368937594</x:v>
      </x:c>
    </x:row>
    <x:row r="197">
      <x:c r="A197" s="107" t="n">
        <x:v>196</x:v>
      </x:c>
      <x:c r="B197" s="128" t="n">
        <x:v>1.3585366163154782</x:v>
      </x:c>
      <x:c r="C197" s="128" t="n">
        <x:f>LN(B197)</x:f>
        <x:v>0.306408103010521</x:v>
      </x:c>
      <x:c r="D197" s="128" t="n">
        <x:f>'Итоги'!$B$8*AVERAGE($C$2:C197)</x:f>
        <x:v>1.2869203930863389</x:v>
      </x:c>
      <x:c r="E197" s="128" t="n">
        <x:f>'Итоги'!$B$9</x:f>
        <x:v>1.2958368660043291</x:v>
      </x:c>
      <x:c r="F197" s="129" t="n">
        <x:f>ABS(D197-E197)</x:f>
        <x:v>0.008916472917990248</x:v>
      </x:c>
    </x:row>
    <x:row r="198">
      <x:c r="A198" s="107" t="n">
        <x:v>197</x:v>
      </x:c>
      <x:c r="B198" s="128" t="n">
        <x:v>2.198765583041687</x:v>
      </x:c>
      <x:c r="C198" s="128" t="n">
        <x:f>LN(B198)</x:f>
        <x:v>0.7878961042721172</x:v>
      </x:c>
      <x:c r="D198" s="128" t="n">
        <x:f>'Итоги'!$B$8*AVERAGE($C$2:C198)</x:f>
        <x:v>1.288386747479526</x:v>
      </x:c>
      <x:c r="E198" s="128" t="n">
        <x:f>'Итоги'!$B$9</x:f>
        <x:v>1.2958368660043291</x:v>
      </x:c>
      <x:c r="F198" s="129" t="n">
        <x:f>ABS(D198-E198)</x:f>
        <x:v>0.00745011852480304</x:v>
      </x:c>
    </x:row>
    <x:row r="199">
      <x:c r="A199" s="107" t="n">
        <x:v>198</x:v>
      </x:c>
      <x:c r="B199" s="128" t="n">
        <x:v>2.749124081674929</x:v>
      </x:c>
      <x:c r="C199" s="128" t="n">
        <x:f>LN(B199)</x:f>
        <x:v>1.011282345186992</x:v>
      </x:c>
      <x:c r="D199" s="128" t="n">
        <x:f>'Итоги'!$B$8*AVERAGE($C$2:C199)</x:f>
        <x:v>1.292094716888084</x:v>
      </x:c>
      <x:c r="E199" s="128" t="n">
        <x:f>'Итоги'!$B$9</x:f>
        <x:v>1.2958368660043291</x:v>
      </x:c>
      <x:c r="F199" s="129" t="n">
        <x:f>ABS(D199-E199)</x:f>
        <x:v>0.0037421491162450415</x:v>
      </x:c>
    </x:row>
    <x:row r="200">
      <x:c r="A200" s="107" t="n">
        <x:v>199</x:v>
      </x:c>
      <x:c r="B200" s="128" t="n">
        <x:v>1.3928693314291465</x:v>
      </x:c>
      <x:c r="C200" s="128" t="n">
        <x:f>LN(B200)</x:f>
        <x:v>0.33136588668579836</x:v>
      </x:c>
      <x:c r="D200" s="128" t="n">
        <x:f>'Итоги'!$B$8*AVERAGE($C$2:C200)</x:f>
        <x:v>1.2889320890312173</x:v>
      </x:c>
      <x:c r="E200" s="128" t="n">
        <x:f>'Итоги'!$B$9</x:f>
        <x:v>1.2958368660043291</x:v>
      </x:c>
      <x:c r="F200" s="129" t="n">
        <x:f>ABS(D200-E200)</x:f>
        <x:v>0.00690477697311187</x:v>
      </x:c>
    </x:row>
    <x:row r="201">
      <x:c r="A201" s="107" t="n">
        <x:v>200</x:v>
      </x:c>
      <x:c r="B201" s="128" t="n">
        <x:v>1.6206473458001895</x:v>
      </x:c>
      <x:c r="C201" s="128" t="n">
        <x:f>LN(B201)</x:f>
        <x:v>0.48282566559996093</x:v>
      </x:c>
      <x:c r="D201" s="128" t="n">
        <x:f>'Итоги'!$B$8*AVERAGE($C$2:C201)</x:f>
        <x:v>1.2873156852420606</x:v>
      </x:c>
      <x:c r="E201" s="128" t="n">
        <x:f>'Итоги'!$B$9</x:f>
        <x:v>1.2958368660043291</x:v>
      </x:c>
      <x:c r="F201" s="129" t="n">
        <x:f>ABS(D201-E201)</x:f>
        <x:v>0.008521180762268488</x:v>
      </x:c>
    </x:row>
    <x:row r="202">
      <x:c r="A202" s="107" t="n">
        <x:v>201</x:v>
      </x:c>
      <x:c r="B202" s="128" t="n">
        <x:v>2.554809676482355</x:v>
      </x:c>
      <x:c r="C202" s="128" t="n">
        <x:f>LN(B202)</x:f>
        <x:v>0.9379777302675446</x:v>
      </x:c>
      <x:c r="D202" s="128" t="n">
        <x:f>'Итоги'!$B$8*AVERAGE($C$2:C202)</x:f>
        <x:v>1.2902442413380457</x:v>
      </x:c>
      <x:c r="E202" s="128" t="n">
        <x:f>'Итоги'!$B$9</x:f>
        <x:v>1.2958368660043291</x:v>
      </x:c>
      <x:c r="F202" s="129" t="n">
        <x:f>ABS(D202-E202)</x:f>
        <x:v>0.005592624666283408</x:v>
      </x:c>
    </x:row>
    <x:row r="203">
      <x:c r="A203" s="107" t="n">
        <x:v>202</x:v>
      </x:c>
      <x:c r="B203" s="128" t="n">
        <x:v>2.943652852121935</x:v>
      </x:c>
      <x:c r="C203" s="128" t="n">
        <x:f>LN(B203)</x:f>
        <x:v>1.0796512768357174</x:v>
      </x:c>
      <x:c r="D203" s="128" t="n">
        <x:f>'Итоги'!$B$8*AVERAGE($C$2:C203)</x:f>
        <x:v>1.2945465102109832</x:v>
      </x:c>
      <x:c r="E203" s="128" t="n">
        <x:f>'Итоги'!$B$9</x:f>
        <x:v>1.2958368660043291</x:v>
      </x:c>
      <x:c r="F203" s="129" t="n">
        <x:f>ABS(D203-E203)</x:f>
        <x:v>0.0012903557933459098</x:v>
      </x:c>
    </x:row>
    <x:row r="204">
      <x:c r="A204" s="107" t="n">
        <x:v>203</x:v>
      </x:c>
      <x:c r="B204" s="128" t="n">
        <x:v>2.0014823724046846</x:v>
      </x:c>
      <x:c r="C204" s="128" t="n">
        <x:f>LN(B204)</x:f>
        <x:v>0.6938880922194443</x:v>
      </x:c>
      <x:c r="D204" s="128" t="n">
        <x:f>'Итоги'!$B$8*AVERAGE($C$2:C204)</x:f>
        <x:v>1.2950057696899384</x:v>
      </x:c>
      <x:c r="E204" s="128" t="n">
        <x:f>'Итоги'!$B$9</x:f>
        <x:v>1.2958368660043291</x:v>
      </x:c>
      <x:c r="F204" s="129" t="n">
        <x:f>ABS(D204-E204)</x:f>
        <x:v>0.0008310963143907113</x:v>
      </x:c>
    </x:row>
    <x:row r="205">
      <x:c r="A205" s="107" t="n">
        <x:v>204</x:v>
      </x:c>
      <x:c r="B205" s="128" t="n">
        <x:v>1.2877950051025016</x:v>
      </x:c>
      <x:c r="C205" s="128" t="n">
        <x:f>LN(B205)</x:f>
        <x:v>0.2529314574861446</x:v>
      </x:c>
      <x:c r="D205" s="128" t="n">
        <x:f>'Итоги'!$B$8*AVERAGE($C$2:C205)</x:f>
        <x:v>1.291137422362891</x:v>
      </x:c>
      <x:c r="E205" s="128" t="n">
        <x:f>'Итоги'!$B$9</x:f>
        <x:v>1.2958368660043291</x:v>
      </x:c>
      <x:c r="F205" s="129" t="n">
        <x:f>ABS(D205-E205)</x:f>
        <x:v>0.004699443641438039</x:v>
      </x:c>
    </x:row>
    <x:row r="206">
      <x:c r="A206" s="107" t="n">
        <x:v>205</x:v>
      </x:c>
      <x:c r="B206" s="128" t="n">
        <x:v>1.027872575416403</x:v>
      </x:c>
      <x:c r="C206" s="128" t="n">
        <x:f>LN(B206)</x:f>
        <x:v>0.027491205474962626</x:v>
      </x:c>
      <x:c r="D206" s="128" t="n">
        <x:f>'Итоги'!$B$8*AVERAGE($C$2:C206)</x:f>
        <x:v>1.2851073979169745</x:v>
      </x:c>
      <x:c r="E206" s="128" t="n">
        <x:f>'Итоги'!$B$9</x:f>
        <x:v>1.2958368660043291</x:v>
      </x:c>
      <x:c r="F206" s="129" t="n">
        <x:f>ABS(D206-E206)</x:f>
        <x:v>0.010729468087354643</x:v>
      </x:c>
    </x:row>
    <x:row r="207">
      <x:c r="A207" s="107" t="n">
        <x:v>206</x:v>
      </x:c>
      <x:c r="B207" s="128" t="n">
        <x:v>1.4593120599977105</x:v>
      </x:c>
      <x:c r="C207" s="128" t="n">
        <x:f>LN(B207)</x:f>
        <x:v>0.3779651328921232</x:v>
      </x:c>
      <x:c r="D207" s="128" t="n">
        <x:f>'Итоги'!$B$8*AVERAGE($C$2:C207)</x:f>
        <x:v>1.2825385768872037</x:v>
      </x:c>
      <x:c r="E207" s="128" t="n">
        <x:f>'Итоги'!$B$9</x:f>
        <x:v>1.2958368660043291</x:v>
      </x:c>
      <x:c r="F207" s="129" t="n">
        <x:f>ABS(D207-E207)</x:f>
        <x:v>0.013298289117125384</x:v>
      </x:c>
    </x:row>
    <x:row r="208">
      <x:c r="A208" s="107" t="n">
        <x:v>207</x:v>
      </x:c>
      <x:c r="B208" s="128" t="n">
        <x:v>1.263644435573042</x:v>
      </x:c>
      <x:c r="C208" s="128" t="n">
        <x:f>LN(B208)</x:f>
        <x:v>0.23399995518143168</x:v>
      </x:c>
      <x:c r="D208" s="128" t="n">
        <x:f>'Итоги'!$B$8*AVERAGE($C$2:C208)</x:f>
        <x:v>1.2786036074837046</x:v>
      </x:c>
      <x:c r="E208" s="128" t="n">
        <x:f>'Итоги'!$B$9</x:f>
        <x:v>1.2958368660043291</x:v>
      </x:c>
      <x:c r="F208" s="129" t="n">
        <x:f>ABS(D208-E208)</x:f>
        <x:v>0.017233258520624517</x:v>
      </x:c>
    </x:row>
    <x:row r="209">
      <x:c r="A209" s="107" t="n">
        <x:v>208</x:v>
      </x:c>
      <x:c r="B209" s="128" t="n">
        <x:v>2.355317347225715</x:v>
      </x:c>
      <x:c r="C209" s="128" t="n">
        <x:f>LN(B209)</x:f>
        <x:v>0.8566754730503883</x:v>
      </x:c>
      <x:c r="D209" s="128" t="n">
        <x:f>'Итоги'!$B$8*AVERAGE($C$2:C209)</x:f>
        <x:v>1.2806937389193638</x:v>
      </x:c>
      <x:c r="E209" s="128" t="n">
        <x:f>'Итоги'!$B$9</x:f>
        <x:v>1.2958368660043291</x:v>
      </x:c>
      <x:c r="F209" s="129" t="n">
        <x:f>ABS(D209-E209)</x:f>
        <x:v>0.015143127084965347</x:v>
      </x:c>
    </x:row>
    <x:row r="210">
      <x:c r="A210" s="107" t="n">
        <x:v>209</x:v>
      </x:c>
      <x:c r="B210" s="128" t="n">
        <x:v>1.2436650092570622</x:v>
      </x:c>
      <x:c r="C210" s="128" t="n">
        <x:f>LN(B210)</x:f>
        <x:v>0.21806267289009457</x:v>
      </x:c>
      <x:c r="D210" s="128" t="n">
        <x:f>'Итоги'!$B$8*AVERAGE($C$2:C210)</x:f>
        <x:v>1.2766527418230038</x:v>
      </x:c>
      <x:c r="E210" s="128" t="n">
        <x:f>'Итоги'!$B$9</x:f>
        <x:v>1.2958368660043291</x:v>
      </x:c>
      <x:c r="F210" s="129" t="n">
        <x:f>ABS(D210-E210)</x:f>
        <x:v>0.019184124181325313</x:v>
      </x:c>
    </x:row>
    <x:row r="211">
      <x:c r="A211" s="107" t="n">
        <x:v>210</x:v>
      </x:c>
      <x:c r="B211" s="128" t="n">
        <x:v>2.0126598632412662</x:v>
      </x:c>
      <x:c r="C211" s="128" t="n">
        <x:f>LN(B211)</x:f>
        <x:v>0.6994571623067166</x:v>
      </x:c>
      <x:c r="D211" s="128" t="n">
        <x:f>'Итоги'!$B$8*AVERAGE($C$2:C211)</x:f>
        <x:v>1.2772349398362917</x:v>
      </x:c>
      <x:c r="E211" s="128" t="n">
        <x:f>'Итоги'!$B$9</x:f>
        <x:v>1.2958368660043291</x:v>
      </x:c>
      <x:c r="F211" s="129" t="n">
        <x:f>ABS(D211-E211)</x:f>
        <x:v>0.018601926168037464</x:v>
      </x:c>
    </x:row>
    <x:row r="212">
      <x:c r="A212" s="107" t="n">
        <x:v>211</x:v>
      </x:c>
      <x:c r="B212" s="128" t="n">
        <x:v>2.3885248712857727</x:v>
      </x:c>
      <x:c r="C212" s="128" t="n">
        <x:f>LN(B212)</x:f>
        <x:v>0.8706759667246985</x:v>
      </x:c>
      <x:c r="D212" s="128" t="n">
        <x:f>'Итоги'!$B$8*AVERAGE($C$2:C212)</x:f>
        <x:v>1.279434546441093</x:v>
      </x:c>
      <x:c r="E212" s="128" t="n">
        <x:f>'Итоги'!$B$9</x:f>
        <x:v>1.2958368660043291</x:v>
      </x:c>
      <x:c r="F212" s="129" t="n">
        <x:f>ABS(D212-E212)</x:f>
        <x:v>0.016402319563236123</x:v>
      </x:c>
    </x:row>
    <x:row r="213">
      <x:c r="A213" s="107" t="n">
        <x:v>212</x:v>
      </x:c>
      <x:c r="B213" s="128" t="n">
        <x:v>2.1622332184418047</x:v>
      </x:c>
      <x:c r="C213" s="128" t="n">
        <x:f>LN(B213)</x:f>
        <x:v>0.7711415850189979</x:v>
      </x:c>
      <x:c r="D213" s="128" t="n">
        <x:f>'Итоги'!$B$8*AVERAGE($C$2:C213)</x:f>
        <x:v>1.2806743984391915</x:v>
      </x:c>
      <x:c r="E213" s="128" t="n">
        <x:f>'Итоги'!$B$9</x:f>
        <x:v>1.2958368660043291</x:v>
      </x:c>
      <x:c r="F213" s="129" t="n">
        <x:f>ABS(D213-E213)</x:f>
        <x:v>0.015162467565137616</x:v>
      </x:c>
    </x:row>
    <x:row r="214">
      <x:c r="A214" s="107" t="n">
        <x:v>213</x:v>
      </x:c>
      <x:c r="B214" s="128" t="n">
        <x:v>1.3995513033201152</x:v>
      </x:c>
      <x:c r="C214" s="128" t="n">
        <x:f>LN(B214)</x:f>
        <x:v>0.3361516876223825</x:v>
      </x:c>
      <x:c r="D214" s="128" t="n">
        <x:f>'Итоги'!$B$8*AVERAGE($C$2:C214)</x:f>
        <x:v>1.2778181964523634</x:v>
      </x:c>
      <x:c r="E214" s="128" t="n">
        <x:f>'Итоги'!$B$9</x:f>
        <x:v>1.2958368660043291</x:v>
      </x:c>
      <x:c r="F214" s="129" t="n">
        <x:f>ABS(D214-E214)</x:f>
        <x:v>0.018018669551965738</x:v>
      </x:c>
    </x:row>
    <x:row r="215">
      <x:c r="A215" s="107" t="n">
        <x:v>214</x:v>
      </x:c>
      <x:c r="B215" s="128" t="n">
        <x:v>2.6082490523645254</x:v>
      </x:c>
      <x:c r="C215" s="128" t="n">
        <x:f>LN(B215)</x:f>
        <x:v>0.9586791350435429</x:v>
      </x:c>
      <x:c r="D215" s="128" t="n">
        <x:f>'Итоги'!$B$8*AVERAGE($C$2:C215)</x:f>
        <x:v>1.280806701469348</x:v>
      </x:c>
      <x:c r="E215" s="128" t="n">
        <x:f>'Итоги'!$B$9</x:f>
        <x:v>1.2958368660043291</x:v>
      </x:c>
      <x:c r="F215" s="129" t="n">
        <x:f>ABS(D215-E215)</x:f>
        <x:v>0.015030164534981072</x:v>
      </x:c>
    </x:row>
    <x:row r="216">
      <x:c r="A216" s="107" t="n">
        <x:v>215</x:v>
      </x:c>
      <x:c r="B216" s="128" t="n">
        <x:v>2.430814259231603</x:v>
      </x:c>
      <x:c r="C216" s="128" t="n">
        <x:f>LN(B216)</x:f>
        <x:v>0.8882262873271873</x:v>
      </x:c>
      <x:c r="D216" s="128" t="n">
        <x:f>'Итоги'!$B$8*AVERAGE($C$2:C216)</x:f>
        <x:v>1.2831120311120694</x:v>
      </x:c>
      <x:c r="E216" s="128" t="n">
        <x:f>'Итоги'!$B$9</x:f>
        <x:v>1.2958368660043291</x:v>
      </x:c>
      <x:c r="F216" s="129" t="n">
        <x:f>ABS(D216-E216)</x:f>
        <x:v>0.012724834892259729</x:v>
      </x:c>
    </x:row>
    <x:row r="217">
      <x:c r="A217" s="107" t="n">
        <x:v>216</x:v>
      </x:c>
      <x:c r="B217" s="128" t="n">
        <x:v>2.4779680078310835</x:v>
      </x:c>
      <x:c r="C217" s="128" t="n">
        <x:f>LN(B217)</x:f>
        <x:v>0.9074388726438211</x:v>
      </x:c>
      <x:c r="D217" s="128" t="n">
        <x:f>'Итоги'!$B$8*AVERAGE($C$2:C217)</x:f>
        <x:v>1.2855739094184375</x:v>
      </x:c>
      <x:c r="E217" s="128" t="n">
        <x:f>'Итоги'!$B$9</x:f>
        <x:v>1.2958368660043291</x:v>
      </x:c>
      <x:c r="F217" s="129" t="n">
        <x:f>ABS(D217-E217)</x:f>
        <x:v>0.010262956585891603</x:v>
      </x:c>
    </x:row>
    <x:row r="218">
      <x:c r="A218" s="107" t="n">
        <x:v>217</x:v>
      </x:c>
      <x:c r="B218" s="128" t="n">
        <x:v>1.2621155031146265</x:v>
      </x:c>
      <x:c r="C218" s="128" t="n">
        <x:f>LN(B218)</x:f>
        <x:v>0.2327892837935883</x:v>
      </x:c>
      <x:c r="D218" s="128" t="n">
        <x:f>'Итоги'!$B$8*AVERAGE($C$2:C218)</x:f>
        <x:v>1.281795129041335</x:v>
      </x:c>
      <x:c r="E218" s="128" t="n">
        <x:f>'Итоги'!$B$9</x:f>
        <x:v>1.2958368660043291</x:v>
      </x:c>
      <x:c r="F218" s="129" t="n">
        <x:f>ABS(D218-E218)</x:f>
        <x:v>0.014041736962994156</x:v>
      </x:c>
    </x:row>
    <x:row r="219">
      <x:c r="A219" s="107" t="n">
        <x:v>218</x:v>
      </x:c>
      <x:c r="B219" s="128" t="n">
        <x:v>1.2475076073006892</x:v>
      </x:c>
      <x:c r="C219" s="128" t="n">
        <x:f>LN(B219)</x:f>
        <x:v>0.22114764666156836</x:v>
      </x:c>
      <x:c r="D219" s="128" t="n">
        <x:f>'Итоги'!$B$8*AVERAGE($C$2:C219)</x:f>
        <x:v>1.2779442123637283</x:v>
      </x:c>
      <x:c r="E219" s="128" t="n">
        <x:f>'Итоги'!$B$9</x:f>
        <x:v>1.2958368660043291</x:v>
      </x:c>
      <x:c r="F219" s="129" t="n">
        <x:f>ABS(D219-E219)</x:f>
        <x:v>0.017892653640600775</x:v>
      </x:c>
    </x:row>
    <x:row r="220">
      <x:c r="A220" s="107" t="n">
        <x:v>219</x:v>
      </x:c>
      <x:c r="B220" s="128" t="n">
        <x:v>2.855125102013015</x:v>
      </x:c>
      <x:c r="C220" s="128" t="n">
        <x:f>LN(B220)</x:f>
        <x:v>1.0491156607164498</x:v>
      </x:c>
      <x:c r="D220" s="128" t="n">
        <x:f>'Итоги'!$B$8*AVERAGE($C$2:C220)</x:f>
        <x:v>1.281689815601487</x:v>
      </x:c>
      <x:c r="E220" s="128" t="n">
        <x:f>'Итоги'!$B$9</x:f>
        <x:v>1.2958368660043291</x:v>
      </x:c>
      <x:c r="F220" s="129" t="n">
        <x:f>ABS(D220-E220)</x:f>
        <x:v>0.014147050402842032</x:v>
      </x:c>
    </x:row>
    <x:row r="221">
      <x:c r="A221" s="107" t="n">
        <x:v>220</x:v>
      </x:c>
      <x:c r="B221" s="128" t="n">
        <x:v>1.7951563876498813</x:v>
      </x:c>
      <x:c r="C221" s="128" t="n">
        <x:f>LN(B221)</x:f>
        <x:v>0.5850921421840947</x:v>
      </x:c>
      <x:c r="D221" s="128" t="n">
        <x:f>'Итоги'!$B$8*AVERAGE($C$2:C221)</x:f>
        <x:v>1.2811829722776995</x:v>
      </x:c>
      <x:c r="E221" s="128" t="n">
        <x:f>'Итоги'!$B$9</x:f>
        <x:v>1.2958368660043291</x:v>
      </x:c>
      <x:c r="F221" s="129" t="n">
        <x:f>ABS(D221-E221)</x:f>
        <x:v>0.014653893726629619</x:v>
      </x:c>
    </x:row>
    <x:row r="222">
      <x:c r="A222" s="107" t="n">
        <x:v>221</x:v>
      </x:c>
      <x:c r="B222" s="128" t="n">
        <x:v>1.6018973835618795</x:v>
      </x:c>
      <x:c r="C222" s="128" t="n">
        <x:f>LN(B222)</x:f>
        <x:v>0.47118879138972597</x:v>
      </x:c>
      <x:c r="D222" s="128" t="n">
        <x:f>'Итоги'!$B$8*AVERAGE($C$2:C222)</x:f>
        <x:v>1.2796499162166213</x:v>
      </x:c>
      <x:c r="E222" s="128" t="n">
        <x:f>'Итоги'!$B$9</x:f>
        <x:v>1.2958368660043291</x:v>
      </x:c>
      <x:c r="F222" s="129" t="n">
        <x:f>ABS(D222-E222)</x:f>
        <x:v>0.01618694978770785</x:v>
      </x:c>
    </x:row>
    <x:row r="223">
      <x:c r="A223" s="107" t="n">
        <x:v>222</x:v>
      </x:c>
      <x:c r="B223" s="128" t="n">
        <x:v>1.9771680907030666</x:v>
      </x:c>
      <x:c r="C223" s="128" t="n">
        <x:f>LN(B223)</x:f>
        <x:v>0.6816655636916027</x:v>
      </x:c>
      <x:c r="D223" s="128" t="n">
        <x:f>'Итоги'!$B$8*AVERAGE($C$2:C223)</x:f>
        <x:v>1.2800268586092636</x:v>
      </x:c>
      <x:c r="E223" s="128" t="n">
        <x:f>'Итоги'!$B$9</x:f>
        <x:v>1.2958368660043291</x:v>
      </x:c>
      <x:c r="F223" s="129" t="n">
        <x:f>ABS(D223-E223)</x:f>
        <x:v>0.01581000739506555</x:v>
      </x:c>
    </x:row>
    <x:row r="224">
      <x:c r="A224" s="107" t="n">
        <x:v>223</x:v>
      </x:c>
      <x:c r="B224" s="128" t="n">
        <x:v>2.325728425527165</x:v>
      </x:c>
      <x:c r="C224" s="128" t="n">
        <x:f>LN(B224)</x:f>
        <x:v>0.8440332912727216</x:v>
      </x:c>
      <x:c r="D224" s="128" t="n">
        <x:f>'Итоги'!$B$8*AVERAGE($C$2:C224)</x:f>
        <x:v>1.2818566331560626</x:v>
      </x:c>
      <x:c r="E224" s="128" t="n">
        <x:f>'Итоги'!$B$9</x:f>
        <x:v>1.2958368660043291</x:v>
      </x:c>
      <x:c r="F224" s="129" t="n">
        <x:f>ABS(D224-E224)</x:f>
        <x:v>0.01398023284826655</x:v>
      </x:c>
    </x:row>
    <x:row r="225">
      <x:c r="A225" s="107" t="n">
        <x:v>224</x:v>
      </x:c>
      <x:c r="B225" s="128" t="n">
        <x:v>2.91124651409394</x:v>
      </x:c>
      <x:c r="C225" s="128" t="n">
        <x:f>LN(B225)</x:f>
        <x:v>1.0685813448241777</x:v>
      </x:c>
      <x:c r="D225" s="128" t="n">
        <x:f>'Итоги'!$B$8*AVERAGE($C$2:C225)</x:f>
        <x:v>1.2856749637654032</x:v>
      </x:c>
      <x:c r="E225" s="128" t="n">
        <x:f>'Итоги'!$B$9</x:f>
        <x:v>1.2958368660043291</x:v>
      </x:c>
      <x:c r="F225" s="129" t="n">
        <x:f>ABS(D225-E225)</x:f>
        <x:v>0.01016190223892588</x:v>
      </x:c>
    </x:row>
    <x:row r="226">
      <x:c r="A226" s="107" t="n">
        <x:v>225</x:v>
      </x:c>
      <x:c r="B226" s="128" t="n">
        <x:v>1.57289245376411</x:v>
      </x:c>
      <x:c r="C226" s="128" t="n">
        <x:f>LN(B226)</x:f>
        <x:v>0.4529162515951914</x:v>
      </x:c>
      <x:c r="D226" s="128" t="n">
        <x:f>'Итоги'!$B$8*AVERAGE($C$2:C226)</x:f>
        <x:v>1.2839867750517364</x:v>
      </x:c>
      <x:c r="E226" s="128" t="n">
        <x:f>'Итоги'!$B$9</x:f>
        <x:v>1.2958368660043291</x:v>
      </x:c>
      <x:c r="F226" s="129" t="n">
        <x:f>ABS(D226-E226)</x:f>
        <x:v>0.011850090952592707</x:v>
      </x:c>
    </x:row>
    <x:row r="227">
      <x:c r="A227" s="107" t="n">
        <x:v>226</x:v>
      </x:c>
      <x:c r="B227" s="128" t="n">
        <x:v>2.8496168586240542</x:v>
      </x:c>
      <x:c r="C227" s="128" t="n">
        <x:f>LN(B227)</x:f>
        <x:v>1.0471845496727805</x:v>
      </x:c>
      <x:c r="D227" s="128" t="n">
        <x:f>'Итоги'!$B$8*AVERAGE($C$2:C227)</x:f>
        <x:v>1.2875725375486116</x:v>
      </x:c>
      <x:c r="E227" s="128" t="n">
        <x:f>'Итоги'!$B$9</x:f>
        <x:v>1.2958368660043291</x:v>
      </x:c>
      <x:c r="F227" s="129" t="n">
        <x:f>ABS(D227-E227)</x:f>
        <x:v>0.008264328455717562</x:v>
      </x:c>
    </x:row>
    <x:row r="228">
      <x:c r="A228" s="107" t="n">
        <x:v>227</x:v>
      </x:c>
      <x:c r="B228" s="128" t="n">
        <x:v>1.0497189827725126</x:v>
      </x:c>
      <x:c r="C228" s="128" t="n">
        <x:f>LN(B228)</x:f>
        <x:v>0.048522492893922395</x:v>
      </x:c>
      <x:c r="D228" s="128" t="n">
        <x:f>'Итоги'!$B$8*AVERAGE($C$2:C228)</x:f>
        <x:v>1.2823279227831457</x:v>
      </x:c>
      <x:c r="E228" s="128" t="n">
        <x:f>'Итоги'!$B$9</x:f>
        <x:v>1.2958368660043291</x:v>
      </x:c>
      <x:c r="F228" s="129" t="n">
        <x:f>ABS(D228-E228)</x:f>
        <x:v>0.013508943221183456</x:v>
      </x:c>
    </x:row>
    <x:row r="229">
      <x:c r="A229" s="107" t="n">
        <x:v>228</x:v>
      </x:c>
      <x:c r="B229" s="128" t="n">
        <x:v>2.110396084653649</x:v>
      </x:c>
      <x:c r="C229" s="128" t="n">
        <x:f>LN(B229)</x:f>
        <x:v>0.7468756477165164</x:v>
      </x:c>
      <x:c r="D229" s="128" t="n">
        <x:f>'Итоги'!$B$8*AVERAGE($C$2:C229)</x:f>
        <x:v>1.2832552182772239</x:v>
      </x:c>
      <x:c r="E229" s="128" t="n">
        <x:f>'Итоги'!$B$9</x:f>
        <x:v>1.2958368660043291</x:v>
      </x:c>
      <x:c r="F229" s="129" t="n">
        <x:f>ABS(D229-E229)</x:f>
        <x:v>0.012581647727105238</x:v>
      </x:c>
    </x:row>
    <x:row r="230">
      <x:c r="A230" s="107" t="n">
        <x:v>229</x:v>
      </x:c>
      <x:c r="B230" s="128" t="n">
        <x:v>2.2679502233621704</x:v>
      </x:c>
      <x:c r="C230" s="128" t="n">
        <x:f>LN(B230)</x:f>
        <x:v>0.8188764382534816</x:v>
      </x:c>
      <x:c r="D230" s="128" t="n">
        <x:f>'Итоги'!$B$8*AVERAGE($C$2:C230)</x:f>
        <x:v>1.2848032429856509</x:v>
      </x:c>
      <x:c r="E230" s="128" t="n">
        <x:f>'Итоги'!$B$9</x:f>
        <x:v>1.2958368660043291</x:v>
      </x:c>
      <x:c r="F230" s="129" t="n">
        <x:f>ABS(D230-E230)</x:f>
        <x:v>0.011033623018678274</x:v>
      </x:c>
    </x:row>
    <x:row r="231">
      <x:c r="A231" s="107" t="n">
        <x:v>230</x:v>
      </x:c>
      <x:c r="B231" s="128" t="n">
        <x:v>1.2117948075015066</x:v>
      </x:c>
      <x:c r="C231" s="128" t="n">
        <x:f>LN(B231)</x:f>
        <x:v>0.19210257257280325</x:v>
      </x:c>
      <x:c r="D231" s="128" t="n">
        <x:f>'Итоги'!$B$8*AVERAGE($C$2:C231)</x:f>
        <x:v>1.2808875990819983</x:v>
      </x:c>
      <x:c r="E231" s="128" t="n">
        <x:f>'Итоги'!$B$9</x:f>
        <x:v>1.2958368660043291</x:v>
      </x:c>
      <x:c r="F231" s="129" t="n">
        <x:f>ABS(D231-E231)</x:f>
        <x:v>0.014949266922330784</x:v>
      </x:c>
    </x:row>
    <x:row r="232">
      <x:c r="A232" s="107" t="n">
        <x:v>231</x:v>
      </x:c>
      <x:c r="B232" s="128" t="n">
        <x:v>1.2806791941278253</x:v>
      </x:c>
      <x:c r="C232" s="128" t="n">
        <x:f>LN(B232)</x:f>
        <x:v>0.2473905576146586</x:v>
      </x:c>
      <x:c r="D232" s="128" t="n">
        <x:f>'Итоги'!$B$8*AVERAGE($C$2:C232)</x:f>
        <x:v>1.2774845407103417</x:v>
      </x:c>
      <x:c r="E232" s="128" t="n">
        <x:f>'Итоги'!$B$9</x:f>
        <x:v>1.2958368660043291</x:v>
      </x:c>
      <x:c r="F232" s="129" t="n">
        <x:f>ABS(D232-E232)</x:f>
        <x:v>0.018352325293987448</x:v>
      </x:c>
    </x:row>
    <x:row r="233">
      <x:c r="A233" s="107" t="n">
        <x:v>232</x:v>
      </x:c>
      <x:c r="B233" s="128" t="n">
        <x:v>1.8382286386326077</x:v>
      </x:c>
      <x:c r="C233" s="128" t="n">
        <x:f>LN(B233)</x:f>
        <x:v>0.6088024115357786</x:v>
      </x:c>
      <x:c r="D233" s="128" t="n">
        <x:f>'Итоги'!$B$8*AVERAGE($C$2:C233)</x:f>
        <x:v>1.27722643847914</x:v>
      </x:c>
      <x:c r="E233" s="128" t="n">
        <x:f>'Итоги'!$B$9</x:f>
        <x:v>1.2958368660043291</x:v>
      </x:c>
      <x:c r="F233" s="129" t="n">
        <x:f>ABS(D233-E233)</x:f>
        <x:v>0.018610427525189044</x:v>
      </x:c>
    </x:row>
    <x:row r="234">
      <x:c r="A234" s="107" t="n">
        <x:v>233</x:v>
      </x:c>
      <x:c r="B234" s="128" t="n">
        <x:v>2.9324638242863634</x:v>
      </x:c>
      <x:c r="C234" s="128" t="n">
        <x:f>LN(B234)</x:f>
        <x:v>1.0758429653351704</x:v>
      </x:c>
      <x:c r="D234" s="128" t="n">
        <x:f>'Итоги'!$B$8*AVERAGE($C$2:C234)</x:f>
        <x:v>1.2809794835100037</x:v>
      </x:c>
      <x:c r="E234" s="128" t="n">
        <x:f>'Итоги'!$B$9</x:f>
        <x:v>1.2958368660043291</x:v>
      </x:c>
      <x:c r="F234" s="129" t="n">
        <x:f>ABS(D234-E234)</x:f>
        <x:v>0.014857382494325444</x:v>
      </x:c>
    </x:row>
    <x:row r="235">
      <x:c r="A235" s="107" t="n">
        <x:v>234</x:v>
      </x:c>
      <x:c r="B235" s="128" t="n">
        <x:v>2.1920851064687454</x:v>
      </x:c>
      <x:c r="C235" s="128" t="n">
        <x:f>LN(B235)</x:f>
        <x:v>0.7848531942758323</x:v>
      </x:c>
      <x:c r="D235" s="128" t="n">
        <x:f>'Итоги'!$B$8*AVERAGE($C$2:C235)</x:f>
        <x:v>1.2822133591725748</x:v>
      </x:c>
      <x:c r="E235" s="128" t="n">
        <x:f>'Итоги'!$B$9</x:f>
        <x:v>1.2958368660043291</x:v>
      </x:c>
      <x:c r="F235" s="129" t="n">
        <x:f>ABS(D235-E235)</x:f>
        <x:v>0.013623506831754284</x:v>
      </x:c>
    </x:row>
    <x:row r="236">
      <x:c r="A236" s="107" t="n">
        <x:v>235</x:v>
      </x:c>
      <x:c r="B236" s="128" t="n">
        <x:v>2.8660464432004225</x:v>
      </x:c>
      <x:c r="C236" s="128" t="n">
        <x:f>LN(B236)</x:f>
        <x:v>1.0529335341596868</x:v>
      </x:c>
      <x:c r="D236" s="128" t="n">
        <x:f>'Итоги'!$B$8*AVERAGE($C$2:C236)</x:f>
        <x:v>1.2857182685731994</x:v>
      </x:c>
      <x:c r="E236" s="128" t="n">
        <x:f>'Итоги'!$B$9</x:f>
        <x:v>1.2958368660043291</x:v>
      </x:c>
      <x:c r="F236" s="129" t="n">
        <x:f>ABS(D236-E236)</x:f>
        <x:v>0.01011859743112975</x:v>
      </x:c>
    </x:row>
    <x:row r="237">
      <x:c r="A237" s="107" t="n">
        <x:v>236</x:v>
      </x:c>
      <x:c r="B237" s="128" t="n">
        <x:v>2.6087218312259415</x:v>
      </x:c>
      <x:c r="C237" s="128" t="n">
        <x:f>LN(B237)</x:f>
        <x:v>0.9588603815458753</x:v>
      </x:c>
      <x:c r="D237" s="128" t="n">
        <x:f>'Итоги'!$B$8*AVERAGE($C$2:C237)</x:f>
        <x:v>1.288396245244888</x:v>
      </x:c>
      <x:c r="E237" s="128" t="n">
        <x:f>'Итоги'!$B$9</x:f>
        <x:v>1.2958368660043291</x:v>
      </x:c>
      <x:c r="F237" s="129" t="n">
        <x:f>ABS(D237-E237)</x:f>
        <x:v>0.0074406207594410745</x:v>
      </x:c>
    </x:row>
    <x:row r="238">
      <x:c r="A238" s="107" t="n">
        <x:v>237</x:v>
      </x:c>
      <x:c r="B238" s="128" t="n">
        <x:v>1.934763203110583</x:v>
      </x:c>
      <x:c r="C238" s="128" t="n">
        <x:f>LN(B238)</x:f>
        <x:v>0.6599849433397884</x:v>
      </x:c>
      <x:c r="D238" s="128" t="n">
        <x:f>'Итоги'!$B$8*AVERAGE($C$2:C238)</x:f>
        <x:v>1.2885294673606462</x:v>
      </x:c>
      <x:c r="E238" s="128" t="n">
        <x:f>'Итоги'!$B$9</x:f>
        <x:v>1.2958368660043291</x:v>
      </x:c>
      <x:c r="F238" s="129" t="n">
        <x:f>ABS(D238-E238)</x:f>
        <x:v>0.007307398643682905</x:v>
      </x:c>
    </x:row>
    <x:row r="239">
      <x:c r="A239" s="107" t="n">
        <x:v>238</x:v>
      </x:c>
      <x:c r="B239" s="128" t="n">
        <x:v>2.5695268985043747</x:v>
      </x:c>
      <x:c r="C239" s="128" t="n">
        <x:f>LN(B239)</x:f>
        <x:v>0.9437217957761187</x:v>
      </x:c>
      <x:c r="D239" s="128" t="n">
        <x:f>'Итоги'!$B$8*AVERAGE($C$2:C239)</x:f>
        <x:v>1.291045913260611</x:v>
      </x:c>
      <x:c r="E239" s="128" t="n">
        <x:f>'Итоги'!$B$9</x:f>
        <x:v>1.2958368660043291</x:v>
      </x:c>
      <x:c r="F239" s="129" t="n">
        <x:f>ABS(D239-E239)</x:f>
        <x:v>0.004790952743718213</x:v>
      </x:c>
    </x:row>
    <x:row r="240">
      <x:c r="A240" s="107" t="n">
        <x:v>239</x:v>
      </x:c>
      <x:c r="B240" s="128" t="n">
        <x:v>1.0356735679539755</x:v>
      </x:c>
      <x:c r="C240" s="128" t="n">
        <x:f>LN(B240)</x:f>
        <x:v>0.03505200533885647</x:v>
      </x:c>
      <x:c r="D240" s="128" t="n">
        <x:f>'Итоги'!$B$8*AVERAGE($C$2:C240)</x:f>
        <x:v>1.2859373697351595</x:v>
      </x:c>
      <x:c r="E240" s="128" t="n">
        <x:f>'Итоги'!$B$9</x:f>
        <x:v>1.2958368660043291</x:v>
      </x:c>
      <x:c r="F240" s="129" t="n">
        <x:f>ABS(D240-E240)</x:f>
        <x:v>0.009899496269169639</x:v>
      </x:c>
    </x:row>
    <x:row r="241">
      <x:c r="A241" s="107" t="n">
        <x:v>240</x:v>
      </x:c>
      <x:c r="B241" s="128" t="n">
        <x:v>1.2182879935314699</x:v>
      </x:c>
      <x:c r="C241" s="128" t="n">
        <x:f>LN(B241)</x:f>
        <x:v>0.19744658922949868</x:v>
      </x:c>
      <x:c r="D241" s="128" t="n">
        <x:f>'Итоги'!$B$8*AVERAGE($C$2:C241)</x:f>
        <x:v>1.282224685604842</x:v>
      </x:c>
      <x:c r="E241" s="128" t="n">
        <x:f>'Итоги'!$B$9</x:f>
        <x:v>1.2958368660043291</x:v>
      </x:c>
      <x:c r="F241" s="129" t="n">
        <x:f>ABS(D241-E241)</x:f>
        <x:v>0.013612180399487084</x:v>
      </x:c>
    </x:row>
    <x:row r="242">
      <x:c r="A242" s="107" t="n">
        <x:v>241</x:v>
      </x:c>
      <x:c r="B242" s="128" t="n">
        <x:v>2.6588572297654727</x:v>
      </x:c>
      <x:c r="C242" s="128" t="n">
        <x:f>LN(B242)</x:f>
        <x:v>0.9778964176134363</x:v>
      </x:c>
      <x:c r="D242" s="128" t="n">
        <x:f>'Итоги'!$B$8*AVERAGE($C$2:C242)</x:f>
        <x:v>1.2850195741924852</x:v>
      </x:c>
      <x:c r="E242" s="128" t="n">
        <x:f>'Итоги'!$B$9</x:f>
        <x:v>1.2958368660043291</x:v>
      </x:c>
      <x:c r="F242" s="129" t="n">
        <x:f>ABS(D242-E242)</x:f>
        <x:v>0.010817291811843877</x:v>
      </x:c>
    </x:row>
    <x:row r="243">
      <x:c r="A243" s="107" t="n">
        <x:v>242</x:v>
      </x:c>
      <x:c r="B243" s="128" t="n">
        <x:v>2.5936341766503235</x:v>
      </x:c>
      <x:c r="C243" s="128" t="n">
        <x:f>LN(B243)</x:f>
        <x:v>0.9530600492143994</x:v>
      </x:c>
      <x:c r="D243" s="128" t="n">
        <x:f>'Итоги'!$B$8*AVERAGE($C$2:C243)</x:f>
        <x:v>1.287586105284371</x:v>
      </x:c>
      <x:c r="E243" s="128" t="n">
        <x:f>'Итоги'!$B$9</x:f>
        <x:v>1.2958368660043291</x:v>
      </x:c>
      <x:c r="F243" s="129" t="n">
        <x:f>ABS(D243-E243)</x:f>
        <x:v>0.008250760719958228</x:v>
      </x:c>
    </x:row>
    <x:row r="244">
      <x:c r="A244" s="107" t="n">
        <x:v>243</x:v>
      </x:c>
      <x:c r="B244" s="128" t="n">
        <x:v>1.4652814839328674</x:v>
      </x:c>
      <x:c r="C244" s="128" t="n">
        <x:f>LN(B244)</x:f>
        <x:v>0.38204736321598043</x:v>
      </x:c>
      <x:c r="D244" s="128" t="n">
        <x:f>'Итоги'!$B$8*AVERAGE($C$2:C244)</x:f>
        <x:v>1.2854318197746901</x:v>
      </x:c>
      <x:c r="E244" s="128" t="n">
        <x:f>'Итоги'!$B$9</x:f>
        <x:v>1.2958368660043291</x:v>
      </x:c>
      <x:c r="F244" s="129" t="n">
        <x:f>ABS(D244-E244)</x:f>
        <x:v>0.010405046229639003</x:v>
      </x:c>
    </x:row>
    <x:row r="245">
      <x:c r="A245" s="107" t="n">
        <x:v>244</x:v>
      </x:c>
      <x:c r="B245" s="128" t="n">
        <x:v>2.061539181198107</x:v>
      </x:c>
      <x:c r="C245" s="128" t="n">
        <x:f>LN(B245)</x:f>
        <x:v>0.7234528791438473</x:v>
      </x:c>
      <x:c r="D245" s="128" t="n">
        <x:f>'Итоги'!$B$8*AVERAGE($C$2:C245)</x:f>
        <x:v>1.286093598211219</x:v>
      </x:c>
      <x:c r="E245" s="128" t="n">
        <x:f>'Итоги'!$B$9</x:f>
        <x:v>1.2958368660043291</x:v>
      </x:c>
      <x:c r="F245" s="129" t="n">
        <x:f>ABS(D245-E245)</x:f>
        <x:v>0.009743267793110189</x:v>
      </x:c>
    </x:row>
    <x:row r="246">
      <x:c r="A246" s="107" t="n">
        <x:v>245</x:v>
      </x:c>
      <x:c r="B246" s="128" t="n">
        <x:v>2.2120316414000216</x:v>
      </x:c>
      <x:c r="C246" s="128" t="n">
        <x:f>LN(B246)</x:f>
        <x:v>0.7939113879881705</x:v>
      </x:c>
      <x:c r="D246" s="128" t="n">
        <x:f>'Итоги'!$B$8*AVERAGE($C$2:C246)</x:f>
        <x:v>1.2873251458755663</x:v>
      </x:c>
      <x:c r="E246" s="128" t="n">
        <x:f>'Итоги'!$B$9</x:f>
        <x:v>1.2958368660043291</x:v>
      </x:c>
      <x:c r="F246" s="129" t="n">
        <x:f>ABS(D246-E246)</x:f>
        <x:v>0.008511720128762779</x:v>
      </x:c>
    </x:row>
    <x:row r="247">
      <x:c r="A247" s="107" t="n">
        <x:v>246</x:v>
      </x:c>
      <x:c r="B247" s="128" t="n">
        <x:v>2.7354779075520224</x:v>
      </x:c>
      <x:c r="C247" s="128" t="n">
        <x:f>LN(B247)</x:f>
        <x:v>1.006306158288079</x:v>
      </x:c>
      <x:c r="D247" s="128" t="n">
        <x:f>'Итоги'!$B$8*AVERAGE($C$2:C247)</x:f>
        <x:v>1.2902734677076826</x:v>
      </x:c>
      <x:c r="E247" s="128" t="n">
        <x:f>'Итоги'!$B$9</x:f>
        <x:v>1.2958368660043291</x:v>
      </x:c>
      <x:c r="F247" s="129" t="n">
        <x:f>ABS(D247-E247)</x:f>
        <x:v>0.005563398296646538</x:v>
      </x:c>
    </x:row>
    <x:row r="248">
      <x:c r="A248" s="107" t="n">
        <x:v>247</x:v>
      </x:c>
      <x:c r="B248" s="128" t="n">
        <x:v>2.2062143146774513</x:v>
      </x:c>
      <x:c r="C248" s="128" t="n">
        <x:f>LN(B248)</x:f>
        <x:v>0.7912780669182118</x:v>
      </x:c>
      <x:c r="D248" s="128" t="n">
        <x:f>'Итоги'!$B$8*AVERAGE($C$2:C248)</x:f>
        <x:v>1.2914567983397829</x:v>
      </x:c>
      <x:c r="E248" s="128" t="n">
        <x:f>'Итоги'!$B$9</x:f>
        <x:v>1.2958368660043291</x:v>
      </x:c>
      <x:c r="F248" s="129" t="n">
        <x:f>ABS(D248-E248)</x:f>
        <x:v>0.004380067664546239</x:v>
      </x:c>
    </x:row>
    <x:row r="249">
      <x:c r="A249" s="107" t="n">
        <x:v>248</x:v>
      </x:c>
      <x:c r="B249" s="128" t="n">
        <x:v>1.8251431385473607</x:v>
      </x:c>
      <x:c r="C249" s="128" t="n">
        <x:f>LN(B249)</x:f>
        <x:v>0.6016584160395656</x:v>
      </x:c>
      <x:c r="D249" s="128" t="n">
        <x:f>'Итоги'!$B$8*AVERAGE($C$2:C249)</x:f>
        <x:v>1.291101395250022</x:v>
      </x:c>
      <x:c r="E249" s="128" t="n">
        <x:f>'Итоги'!$B$9</x:f>
        <x:v>1.2958368660043291</x:v>
      </x:c>
      <x:c r="F249" s="129" t="n">
        <x:f>ABS(D249-E249)</x:f>
        <x:v>0.004735470754307025</x:v>
      </x:c>
    </x:row>
    <x:row r="250">
      <x:c r="A250" s="107" t="n">
        <x:v>249</x:v>
      </x:c>
      <x:c r="B250" s="128" t="n">
        <x:v>1.7483680868143654</x:v>
      </x:c>
      <x:c r="C250" s="128" t="n">
        <x:f>LN(B250)</x:f>
        <x:v>0.5586828310460921</x:v>
      </x:c>
      <x:c r="D250" s="128" t="n">
        <x:f>'Итоги'!$B$8*AVERAGE($C$2:C250)</x:f>
        <x:v>1.2904036613819183</x:v>
      </x:c>
      <x:c r="E250" s="128" t="n">
        <x:f>'Итоги'!$B$9</x:f>
        <x:v>1.2958368660043291</x:v>
      </x:c>
      <x:c r="F250" s="129" t="n">
        <x:f>ABS(D250-E250)</x:f>
        <x:v>0.005433204622410814</x:v>
      </x:c>
    </x:row>
    <x:row r="251">
      <x:c r="A251" s="107" t="n">
        <x:v>250</x:v>
      </x:c>
      <x:c r="B251" s="128" t="n">
        <x:v>1.8517641727470198</x:v>
      </x:c>
      <x:c r="C251" s="128" t="n">
        <x:f>LN(B251)</x:f>
        <x:v>0.6161387915863165</x:v>
      </x:c>
      <x:c r="D251" s="128" t="n">
        <x:f>'Итоги'!$B$8*AVERAGE($C$2:C251)</x:f>
        <x:v>1.290171157069081</x:v>
      </x:c>
      <x:c r="E251" s="128" t="n">
        <x:f>'Итоги'!$B$9</x:f>
        <x:v>1.2958368660043291</x:v>
      </x:c>
      <x:c r="F251" s="129" t="n">
        <x:f>ABS(D251-E251)</x:f>
        <x:v>0.005665708935248093</x:v>
      </x:c>
    </x:row>
    <x:row r="252">
      <x:c r="A252" s="107" t="n">
        <x:v>251</x:v>
      </x:c>
      <x:c r="B252" s="128" t="n">
        <x:v>2.3038620511599484</x:v>
      </x:c>
      <x:c r="C252" s="128" t="n">
        <x:f>LN(B252)</x:f>
        <x:v>0.834586867412653</x:v>
      </x:c>
      <x:c r="D252" s="128" t="n">
        <x:f>'Итоги'!$B$8*AVERAGE($C$2:C252)</x:f>
        <x:v>1.2916811274983886</x:v>
      </x:c>
      <x:c r="E252" s="128" t="n">
        <x:f>'Итоги'!$B$9</x:f>
        <x:v>1.2958368660043291</x:v>
      </x:c>
      <x:c r="F252" s="129" t="n">
        <x:f>ABS(D252-E252)</x:f>
        <x:v>0.004155738505940532</x:v>
      </x:c>
    </x:row>
    <x:row r="253">
      <x:c r="A253" s="107" t="n">
        <x:v>252</x:v>
      </x:c>
      <x:c r="B253" s="128" t="n">
        <x:v>2.7349812635046495</x:v>
      </x:c>
      <x:c r="C253" s="128" t="n">
        <x:f>LN(B253)</x:f>
        <x:v>1.006124585212325</x:v>
      </x:c>
      <x:c r="D253" s="128" t="n">
        <x:f>'Итоги'!$B$8*AVERAGE($C$2:C253)</x:f>
        <x:v>1.2945405244941277</x:v>
      </x:c>
      <x:c r="E253" s="128" t="n">
        <x:f>'Итоги'!$B$9</x:f>
        <x:v>1.2958368660043291</x:v>
      </x:c>
      <x:c r="F253" s="129" t="n">
        <x:f>ABS(D253-E253)</x:f>
        <x:v>0.0012963415102014153</x:v>
      </x:c>
    </x:row>
    <x:row r="254">
      <x:c r="A254" s="107" t="n">
        <x:v>253</x:v>
      </x:c>
      <x:c r="B254" s="128" t="n">
        <x:v>1.9077937641525995</x:v>
      </x:c>
      <x:c r="C254" s="128" t="n">
        <x:f>LN(B254)</x:f>
        <x:v>0.6459474771171708</x:v>
      </x:c>
      <x:c r="D254" s="128" t="n">
        <x:f>'Итоги'!$B$8*AVERAGE($C$2:C254)</x:f>
        <x:v>1.294530067694682</x:v>
      </x:c>
      <x:c r="E254" s="128" t="n">
        <x:f>'Итоги'!$B$9</x:f>
        <x:v>1.2958368660043291</x:v>
      </x:c>
      <x:c r="F254" s="129" t="n">
        <x:f>ABS(D254-E254)</x:f>
        <x:v>0.0013067983096470837</x:v>
      </x:c>
    </x:row>
    <x:row r="255">
      <x:c r="A255" s="107" t="n">
        <x:v>254</x:v>
      </x:c>
      <x:c r="B255" s="128" t="n">
        <x:v>1.4956791259027162</x:v>
      </x:c>
      <x:c r="C255" s="128" t="n">
        <x:f>LN(B255)</x:f>
        <x:v>0.40258036851349394</x:v>
      </x:c>
      <x:c r="D255" s="128" t="n">
        <x:f>'Итоги'!$B$8*AVERAGE($C$2:C255)</x:f>
        <x:v>1.2926034167865414</x:v>
      </x:c>
      <x:c r="E255" s="128" t="n">
        <x:f>'Итоги'!$B$9</x:f>
        <x:v>1.2958368660043291</x:v>
      </x:c>
      <x:c r="F255" s="129" t="n">
        <x:f>ABS(D255-E255)</x:f>
        <x:v>0.003233449217787676</x:v>
      </x:c>
    </x:row>
    <x:row r="256">
      <x:c r="A256" s="107" t="n">
        <x:v>255</x:v>
      </x:c>
      <x:c r="B256" s="128" t="n">
        <x:v>1.4733247259951623</x:v>
      </x:c>
      <x:c r="C256" s="128" t="n">
        <x:f>LN(B256)</x:f>
        <x:v>0.38752156531970056</x:v>
      </x:c>
      <x:c r="D256" s="128" t="n">
        <x:f>'Итоги'!$B$8*AVERAGE($C$2:C256)</x:f>
        <x:v>1.2905737686055723</x:v>
      </x:c>
      <x:c r="E256" s="128" t="n">
        <x:f>'Итоги'!$B$9</x:f>
        <x:v>1.2958368660043291</x:v>
      </x:c>
      <x:c r="F256" s="129" t="n">
        <x:f>ABS(D256-E256)</x:f>
        <x:v>0.005263097398756855</x:v>
      </x:c>
    </x:row>
    <x:row r="257">
      <x:c r="A257" s="107" t="n">
        <x:v>256</x:v>
      </x:c>
      <x:c r="B257" s="128" t="n">
        <x:v>2.492028560486893</x:v>
      </x:c>
      <x:c r="C257" s="128" t="n">
        <x:f>LN(B257)</x:f>
        <x:v>0.9130970617290711</x:v>
      </x:c>
      <x:c r="D257" s="128" t="n">
        <x:f>'Итоги'!$B$8*AVERAGE($C$2:C257)</x:f>
        <x:v>1.2926660356167152</x:v>
      </x:c>
      <x:c r="E257" s="128" t="n">
        <x:f>'Итоги'!$B$9</x:f>
        <x:v>1.2958368660043291</x:v>
      </x:c>
      <x:c r="F257" s="129" t="n">
        <x:f>ABS(D257-E257)</x:f>
        <x:v>0.003170830387613899</x:v>
      </x:c>
    </x:row>
    <x:row r="258">
      <x:c r="A258" s="107" t="n">
        <x:v>257</x:v>
      </x:c>
      <x:c r="B258" s="128" t="n">
        <x:v>2.633137526847821</x:v>
      </x:c>
      <x:c r="C258" s="128" t="n">
        <x:f>LN(B258)</x:f>
        <x:v>0.9681761111470227</x:v>
      </x:c>
      <x:c r="D258" s="128" t="n">
        <x:f>'Итоги'!$B$8*AVERAGE($C$2:C258)</x:f>
        <x:v>1.2951706511290784</x:v>
      </x:c>
      <x:c r="E258" s="128" t="n">
        <x:f>'Итоги'!$B$9</x:f>
        <x:v>1.2958368660043291</x:v>
      </x:c>
      <x:c r="F258" s="129" t="n">
        <x:f>ABS(D258-E258)</x:f>
        <x:v>0.0006662148752507591</x:v>
      </x:c>
    </x:row>
    <x:row r="259">
      <x:c r="A259" s="107" t="n">
        <x:v>258</x:v>
      </x:c>
      <x:c r="B259" s="128" t="n">
        <x:v>1.21055615970825</x:v>
      </x:c>
      <x:c r="C259" s="128" t="n">
        <x:f>LN(B259)</x:f>
        <x:v>0.191079890130845</x:v>
      </x:c>
      <x:c r="D259" s="128" t="n">
        <x:f>'Итоги'!$B$8*AVERAGE($C$2:C259)</x:f>
        <x:v>1.2916318493040109</x:v>
      </x:c>
      <x:c r="E259" s="128" t="n">
        <x:f>'Итоги'!$B$9</x:f>
        <x:v>1.2958368660043291</x:v>
      </x:c>
      <x:c r="F259" s="129" t="n">
        <x:f>ABS(D259-E259)</x:f>
        <x:v>0.004205016700318254</x:v>
      </x:c>
    </x:row>
    <x:row r="260">
      <x:c r="A260" s="107" t="n">
        <x:v>259</x:v>
      </x:c>
      <x:c r="B260" s="128" t="n">
        <x:v>1.1331177139103563</x:v>
      </x:c>
      <x:c r="C260" s="128" t="n">
        <x:f>LN(B260)</x:f>
        <x:v>0.12497287242167773</x:v>
      </x:c>
      <x:c r="D260" s="128" t="n">
        <x:f>'Итоги'!$B$8*AVERAGE($C$2:C260)</x:f>
        <x:v>1.2876098952327342</x:v>
      </x:c>
      <x:c r="E260" s="128" t="n">
        <x:f>'Итоги'!$B$9</x:f>
        <x:v>1.2958368660043291</x:v>
      </x:c>
      <x:c r="F260" s="129" t="n">
        <x:f>ABS(D260-E260)</x:f>
        <x:v>0.008226970771594955</x:v>
      </x:c>
    </x:row>
    <x:row r="261">
      <x:c r="A261" s="107" t="n">
        <x:v>260</x:v>
      </x:c>
      <x:c r="B261" s="128" t="n">
        <x:v>2.1888673275129036</x:v>
      </x:c>
      <x:c r="C261" s="128" t="n">
        <x:f>LN(B261)</x:f>
        <x:v>0.7833842079843926</x:v>
      </x:c>
      <x:c r="D261" s="128" t="n">
        <x:f>'Итоги'!$B$8*AVERAGE($C$2:C261)</x:f>
        <x:v>1.2886835818509499</x:v>
      </x:c>
      <x:c r="E261" s="128" t="n">
        <x:f>'Итоги'!$B$9</x:f>
        <x:v>1.2958368660043291</x:v>
      </x:c>
      <x:c r="F261" s="129" t="n">
        <x:f>ABS(D261-E261)</x:f>
        <x:v>0.007153284153379236</x:v>
      </x:c>
    </x:row>
    <x:row r="262">
      <x:c r="A262" s="107" t="n">
        <x:v>261</x:v>
      </x:c>
      <x:c r="B262" s="128" t="n">
        <x:v>1.2923464883853966</x:v>
      </x:c>
      <x:c r="C262" s="128" t="n">
        <x:f>LN(B262)</x:f>
        <x:v>0.2564595492714761</x:v>
      </x:c>
      <x:c r="D262" s="128" t="n">
        <x:f>'Итоги'!$B$8*AVERAGE($C$2:C262)</x:f>
        <x:v>1.2857113041371262</x:v>
      </x:c>
      <x:c r="E262" s="128" t="n">
        <x:f>'Итоги'!$B$9</x:f>
        <x:v>1.2958368660043291</x:v>
      </x:c>
      <x:c r="F262" s="129" t="n">
        <x:f>ABS(D262-E262)</x:f>
        <x:v>0.010125561867202926</x:v>
      </x:c>
    </x:row>
    <x:row r="263">
      <x:c r="A263" s="107" t="n">
        <x:v>262</x:v>
      </x:c>
      <x:c r="B263" s="128" t="n">
        <x:v>2.6493283809126824</x:v>
      </x:c>
      <x:c r="C263" s="128" t="n">
        <x:f>LN(B263)</x:f>
        <x:v>0.9743061667114659</x:v>
      </x:c>
      <x:c r="D263" s="128" t="n">
        <x:f>'Итоги'!$B$8*AVERAGE($C$2:C263)</x:f>
        <x:v>1.2882414607374537</x:v>
      </x:c>
      <x:c r="E263" s="128" t="n">
        <x:f>'Итоги'!$B$9</x:f>
        <x:v>1.2958368660043291</x:v>
      </x:c>
      <x:c r="F263" s="129" t="n">
        <x:f>ABS(D263-E263)</x:f>
        <x:v>0.00759540526687541</x:v>
      </x:c>
    </x:row>
    <x:row r="264">
      <x:c r="A264" s="107" t="n">
        <x:v>263</x:v>
      </x:c>
      <x:c r="B264" s="128" t="n">
        <x:v>1.6206693478481489</x:v>
      </x:c>
      <x:c r="C264" s="128" t="n">
        <x:f>LN(B264)</x:f>
        <x:v>0.48283924159394065</x:v>
      </x:c>
      <x:c r="D264" s="128" t="n">
        <x:f>'Итоги'!$B$8*AVERAGE($C$2:C264)</x:f>
        <x:v>1.2870149855376456</x:v>
      </x:c>
      <x:c r="E264" s="128" t="n">
        <x:f>'Итоги'!$B$9</x:f>
        <x:v>1.2958368660043291</x:v>
      </x:c>
      <x:c r="F264" s="129" t="n">
        <x:f>ABS(D264-E264)</x:f>
        <x:v>0.00882188046668353</x:v>
      </x:c>
    </x:row>
    <x:row r="265">
      <x:c r="A265" s="107" t="n">
        <x:v>264</x:v>
      </x:c>
      <x:c r="B265" s="128" t="n">
        <x:v>1.2877438659422853</x:v>
      </x:c>
      <x:c r="C265" s="128" t="n">
        <x:f>LN(B265)</x:f>
        <x:v>0.2528917460604714</x:v>
      </x:c>
      <x:c r="D265" s="128" t="n">
        <x:f>'Итоги'!$B$8*AVERAGE($C$2:C265)</x:f>
        <x:v>1.2840557753353095</x:v>
      </x:c>
      <x:c r="E265" s="128" t="n">
        <x:f>'Итоги'!$B$9</x:f>
        <x:v>1.2958368660043291</x:v>
      </x:c>
      <x:c r="F265" s="129" t="n">
        <x:f>ABS(D265-E265)</x:f>
        <x:v>0.011781090669019667</x:v>
      </x:c>
    </x:row>
    <x:row r="266">
      <x:c r="A266" s="107" t="n">
        <x:v>265</x:v>
      </x:c>
      <x:c r="B266" s="128" t="n">
        <x:v>2.8419409449749002</x:v>
      </x:c>
      <x:c r="C266" s="128" t="n">
        <x:f>LN(B266)</x:f>
        <x:v>1.0444872500694649</x:v>
      </x:c>
      <x:c r="D266" s="128" t="n">
        <x:f>'Итоги'!$B$8*AVERAGE($C$2:C266)</x:f>
        <x:v>1.287093204485512</x:v>
      </x:c>
      <x:c r="E266" s="128" t="n">
        <x:f>'Итоги'!$B$9</x:f>
        <x:v>1.2958368660043291</x:v>
      </x:c>
      <x:c r="F266" s="129" t="n">
        <x:f>ABS(D266-E266)</x:f>
        <x:v>0.008743661518817225</x:v>
      </x:c>
    </x:row>
    <x:row r="267">
      <x:c r="A267" s="107" t="n">
        <x:v>266</x:v>
      </x:c>
      <x:c r="B267" s="128" t="n">
        <x:v>1.3310634454705563</x:v>
      </x:c>
      <x:c r="C267" s="128" t="n">
        <x:f>LN(B267)</x:f>
        <x:v>0.28597820579799355</x:v>
      </x:c>
      <x:c r="D267" s="128" t="n">
        <x:f>'Итоги'!$B$8*AVERAGE($C$2:C267)</x:f>
        <x:v>1.2844047203017166</x:v>
      </x:c>
      <x:c r="E267" s="128" t="n">
        <x:f>'Итоги'!$B$9</x:f>
        <x:v>1.2958368660043291</x:v>
      </x:c>
      <x:c r="F267" s="129" t="n">
        <x:f>ABS(D267-E267)</x:f>
        <x:v>0.011432145702612528</x:v>
      </x:c>
    </x:row>
    <x:row r="268">
      <x:c r="A268" s="107" t="n">
        <x:v>267</x:v>
      </x:c>
      <x:c r="B268" s="128" t="n">
        <x:v>1.569440164675871</x:v>
      </x:c>
      <x:c r="C268" s="128" t="n">
        <x:f>LN(B268)</x:f>
        <x:v>0.45071897276037887</x:v>
      </x:c>
      <x:c r="D268" s="128" t="n">
        <x:f>'Итоги'!$B$8*AVERAGE($C$2:C268)</x:f>
        <x:v>1.2829703878119003</x:v>
      </x:c>
      <x:c r="E268" s="128" t="n">
        <x:f>'Итоги'!$B$9</x:f>
        <x:v>1.2958368660043291</x:v>
      </x:c>
      <x:c r="F268" s="129" t="n">
        <x:f>ABS(D268-E268)</x:f>
        <x:v>0.01286647819242881</x:v>
      </x:c>
    </x:row>
    <x:row r="269">
      <x:c r="A269" s="107" t="n">
        <x:v>268</x:v>
      </x:c>
      <x:c r="B269" s="128" t="n">
        <x:v>1.3072267903841173</x:v>
      </x:c>
      <x:c r="C269" s="128" t="n">
        <x:f>LN(B269)</x:f>
        <x:v>0.2679079393934863</x:v>
      </x:c>
      <x:c r="D269" s="128" t="n">
        <x:f>'Итоги'!$B$8*AVERAGE($C$2:C269)</x:f>
        <x:v>1.280182497852852</x:v>
      </x:c>
      <x:c r="E269" s="128" t="n">
        <x:f>'Итоги'!$B$9</x:f>
        <x:v>1.2958368660043291</x:v>
      </x:c>
      <x:c r="F269" s="129" t="n">
        <x:f>ABS(D269-E269)</x:f>
        <x:v>0.015654368151477138</x:v>
      </x:c>
    </x:row>
    <x:row r="270">
      <x:c r="A270" s="107" t="n">
        <x:v>269</x:v>
      </x:c>
      <x:c r="B270" s="128" t="n">
        <x:v>1.23098012733071</x:v>
      </x:c>
      <x:c r="C270" s="128" t="n">
        <x:f>LN(B270)</x:f>
        <x:v>0.20781070355511974</x:v>
      </x:c>
      <x:c r="D270" s="128" t="n">
        <x:f>'Итоги'!$B$8*AVERAGE($C$2:C270)</x:f>
        <x:v>1.2769685161028794</x:v>
      </x:c>
      <x:c r="E270" s="128" t="n">
        <x:f>'Итоги'!$B$9</x:f>
        <x:v>1.2958368660043291</x:v>
      </x:c>
      <x:c r="F270" s="129" t="n">
        <x:f>ABS(D270-E270)</x:f>
        <x:v>0.0188683499014497</x:v>
      </x:c>
    </x:row>
    <x:row r="271">
      <x:c r="A271" s="107" t="n">
        <x:v>270</x:v>
      </x:c>
      <x:c r="B271" s="128" t="n">
        <x:v>1.04229603267288</x:v>
      </x:c>
      <x:c r="C271" s="128" t="n">
        <x:f>LN(B271)</x:f>
        <x:v>0.0414260034361028</x:v>
      </x:c>
      <x:c r="D271" s="128" t="n">
        <x:f>'Итоги'!$B$8*AVERAGE($C$2:C271)</x:f>
        <x:v>1.2725458623649881</x:v>
      </x:c>
      <x:c r="E271" s="128" t="n">
        <x:f>'Итоги'!$B$9</x:f>
        <x:v>1.2958368660043291</x:v>
      </x:c>
      <x:c r="F271" s="129" t="n">
        <x:f>ABS(D271-E271)</x:f>
        <x:v>0.023291003639341</x:v>
      </x:c>
    </x:row>
    <x:row r="272">
      <x:c r="A272" s="107" t="n">
        <x:v>271</x:v>
      </x:c>
      <x:c r="B272" s="128" t="n">
        <x:v>1.1107908183285202</x:v>
      </x:c>
      <x:c r="C272" s="128" t="n">
        <x:f>LN(B272)</x:f>
        <x:v>0.10507221059758431</x:v>
      </x:c>
      <x:c r="D272" s="128" t="n">
        <x:f>'Итоги'!$B$8*AVERAGE($C$2:C272)</x:f>
        <x:v>1.2686255618440663</x:v>
      </x:c>
      <x:c r="E272" s="128" t="n">
        <x:f>'Итоги'!$B$9</x:f>
        <x:v>1.2958368660043291</x:v>
      </x:c>
      <x:c r="F272" s="129" t="n">
        <x:f>ABS(D272-E272)</x:f>
        <x:v>0.02721130416026285</x:v>
      </x:c>
    </x:row>
    <x:row r="273">
      <x:c r="A273" s="107" t="n">
        <x:v>272</x:v>
      </x:c>
      <x:c r="B273" s="128" t="n">
        <x:v>1.3492829418717054</x:v>
      </x:c>
      <x:c r="C273" s="128" t="n">
        <x:f>LN(B273)</x:f>
        <x:v>0.2995732971688848</x:v>
      </x:c>
      <x:c r="D273" s="128" t="n">
        <x:f>'Итоги'!$B$8*AVERAGE($C$2:C273)</x:f>
        <x:v>1.2661642421105872</x:v>
      </x:c>
      <x:c r="E273" s="128" t="n">
        <x:f>'Итоги'!$B$9</x:f>
        <x:v>1.2958368660043291</x:v>
      </x:c>
      <x:c r="F273" s="129" t="n">
        <x:f>ABS(D273-E273)</x:f>
        <x:v>0.029672623893741923</x:v>
      </x:c>
    </x:row>
    <x:row r="274">
      <x:c r="A274" s="107" t="n">
        <x:v>273</x:v>
      </x:c>
      <x:c r="B274" s="128" t="n">
        <x:v>1.1067638652543508</x:v>
      </x:c>
      <x:c r="C274" s="128" t="n">
        <x:f>LN(B274)</x:f>
        <x:v>0.10144032045256669</x:v>
      </x:c>
      <x:c r="D274" s="128" t="n">
        <x:f>'Итоги'!$B$8*AVERAGE($C$2:C274)</x:f>
        <x:v>1.2622694303845599</x:v>
      </x:c>
      <x:c r="E274" s="128" t="n">
        <x:f>'Итоги'!$B$9</x:f>
        <x:v>1.2958368660043291</x:v>
      </x:c>
      <x:c r="F274" s="129" t="n">
        <x:f>ABS(D274-E274)</x:f>
        <x:v>0.03356743561976927</x:v>
      </x:c>
    </x:row>
    <x:row r="275">
      <x:c r="A275" s="107" t="n">
        <x:v>274</x:v>
      </x:c>
      <x:c r="B275" s="128" t="n">
        <x:v>2.1822876322219424</x:v>
      </x:c>
      <x:c r="C275" s="128" t="n">
        <x:f>LN(B275)</x:f>
        <x:v>0.7803736991733464</x:v>
      </x:c>
      <x:c r="D275" s="128" t="n">
        <x:f>'Итоги'!$B$8*AVERAGE($C$2:C275)</x:f>
        <x:v>1.2633587660340566</x:v>
      </x:c>
      <x:c r="E275" s="128" t="n">
        <x:f>'Итоги'!$B$9</x:f>
        <x:v>1.2958368660043291</x:v>
      </x:c>
      <x:c r="F275" s="129" t="n">
        <x:f>ABS(D275-E275)</x:f>
        <x:v>0.03247809997027251</x:v>
      </x:c>
    </x:row>
    <x:row r="276">
      <x:c r="A276" s="107" t="n">
        <x:v>275</x:v>
      </x:c>
      <x:c r="B276" s="128" t="n">
        <x:v>2.3614290535990126</x:v>
      </x:c>
      <x:c r="C276" s="128" t="n">
        <x:f>LN(B276)</x:f>
        <x:v>0.8592669669635083</x:v>
      </x:c>
      <x:c r="D276" s="128" t="n">
        <x:f>'Итоги'!$B$8*AVERAGE($C$2:C276)</x:f>
        <x:v>1.2650139484627583</x:v>
      </x:c>
      <x:c r="E276" s="128" t="n">
        <x:f>'Итоги'!$B$9</x:f>
        <x:v>1.2958368660043291</x:v>
      </x:c>
      <x:c r="F276" s="129" t="n">
        <x:f>ABS(D276-E276)</x:f>
        <x:v>0.03082291754157085</x:v>
      </x:c>
    </x:row>
    <x:row r="277">
      <x:c r="A277" s="107" t="n">
        <x:v>276</x:v>
      </x:c>
      <x:c r="B277" s="128" t="n">
        <x:v>1.7872609136640565</x:v>
      </x:c>
      <x:c r="C277" s="128" t="n">
        <x:f>LN(B277)</x:f>
        <x:v>0.5806842320465475</x:v>
      </x:c>
      <x:c r="D277" s="128" t="n">
        <x:f>'Итоги'!$B$8*AVERAGE($C$2:C277)</x:f>
        <x:v>1.2646384213454767</x:v>
      </x:c>
      <x:c r="E277" s="128" t="n">
        <x:f>'Итоги'!$B$9</x:f>
        <x:v>1.2958368660043291</x:v>
      </x:c>
      <x:c r="F277" s="129" t="n">
        <x:f>ABS(D277-E277)</x:f>
        <x:v>0.031198444658852464</x:v>
      </x:c>
    </x:row>
    <x:row r="278">
      <x:c r="A278" s="107" t="n">
        <x:v>277</x:v>
      </x:c>
      <x:c r="B278" s="128" t="n">
        <x:v>1.6359821939040988</x:v>
      </x:c>
      <x:c r="C278" s="128" t="n">
        <x:f>LN(B278)</x:f>
        <x:v>0.492243354199625</x:v>
      </x:c>
      <x:c r="D278" s="128" t="n">
        <x:f>'Итоги'!$B$8*AVERAGE($C$2:C278)</x:f>
        <x:v>1.2636270433204</x:v>
      </x:c>
      <x:c r="E278" s="128" t="n">
        <x:f>'Итоги'!$B$9</x:f>
        <x:v>1.2958368660043291</x:v>
      </x:c>
      <x:c r="F278" s="129" t="n">
        <x:f>ABS(D278-E278)</x:f>
        <x:v>0.032209822683929135</x:v>
      </x:c>
    </x:row>
    <x:row r="279">
      <x:c r="A279" s="107" t="n">
        <x:v>278</x:v>
      </x:c>
      <x:c r="B279" s="128" t="n">
        <x:v>2.00905247404446</x:v>
      </x:c>
      <x:c r="C279" s="128" t="n">
        <x:f>LN(B279)</x:f>
        <x:v>0.6976632049762392</x:v>
      </x:c>
      <x:c r="D279" s="128" t="n">
        <x:f>'Итоги'!$B$8*AVERAGE($C$2:C279)</x:f>
        <x:v>1.2641007820492924</x:v>
      </x:c>
      <x:c r="E279" s="128" t="n">
        <x:f>'Итоги'!$B$9</x:f>
        <x:v>1.2958368660043291</x:v>
      </x:c>
      <x:c r="F279" s="129" t="n">
        <x:f>ABS(D279-E279)</x:f>
        <x:v>0.03173608395503669</x:v>
      </x:c>
    </x:row>
    <x:row r="280">
      <x:c r="A280" s="107" t="n">
        <x:v>279</x:v>
      </x:c>
      <x:c r="B280" s="128" t="n">
        <x:v>2.7500098844692173</x:v>
      </x:c>
      <x:c r="C280" s="128" t="n">
        <x:f>LN(B280)</x:f>
        <x:v>1.011604506024463</x:v>
      </x:c>
      <x:c r="D280" s="128" t="n">
        <x:f>'Итоги'!$B$8*AVERAGE($C$2:C280)</x:f>
        <x:v>1.266821600077965</x:v>
      </x:c>
      <x:c r="E280" s="128" t="n">
        <x:f>'Итоги'!$B$9</x:f>
        <x:v>1.2958368660043291</x:v>
      </x:c>
      <x:c r="F280" s="129" t="n">
        <x:f>ABS(D280-E280)</x:f>
        <x:v>0.029015265926364053</x:v>
      </x:c>
    </x:row>
    <x:row r="281">
      <x:c r="A281" s="107" t="n">
        <x:v>280</x:v>
      </x:c>
      <x:c r="B281" s="128" t="n">
        <x:v>2.702263253644412</x:v>
      </x:c>
      <x:c r="C281" s="128" t="n">
        <x:f>LN(B281)</x:f>
        <x:v>0.9940896639721121</x:v>
      </x:c>
      <x:c r="D281" s="128" t="n">
        <x:f>'Итоги'!$B$8*AVERAGE($C$2:C281)</x:f>
        <x:v>1.2693978776774875</x:v>
      </x:c>
      <x:c r="E281" s="128" t="n">
        <x:f>'Итоги'!$B$9</x:f>
        <x:v>1.2958368660043291</x:v>
      </x:c>
      <x:c r="F281" s="129" t="n">
        <x:f>ABS(D281-E281)</x:f>
        <x:v>0.02643898832684166</x:v>
      </x:c>
    </x:row>
    <x:row r="282">
      <x:c r="A282" s="107" t="n">
        <x:v>281</x:v>
      </x:c>
      <x:c r="B282" s="128" t="n">
        <x:v>1.0869501240255839</x:v>
      </x:c>
      <x:c r="C282" s="128" t="n">
        <x:f>LN(B282)</x:f>
        <x:v>0.08337572302526627</x:v>
      </x:c>
      <x:c r="D282" s="128" t="n">
        <x:f>'Итоги'!$B$8*AVERAGE($C$2:C282)</x:f>
        <x:v>1.2654738690240106</x:v>
      </x:c>
      <x:c r="E282" s="128" t="n">
        <x:f>'Итоги'!$B$9</x:f>
        <x:v>1.2958368660043291</x:v>
      </x:c>
      <x:c r="F282" s="129" t="n">
        <x:f>ABS(D282-E282)</x:f>
        <x:v>0.030362996980318524</x:v>
      </x:c>
    </x:row>
    <x:row r="283">
      <x:c r="A283" s="107" t="n">
        <x:v>282</x:v>
      </x:c>
      <x:c r="B283" s="128" t="n">
        <x:v>1.3629968191930482</x:v>
      </x:c>
      <x:c r="C283" s="128" t="n">
        <x:f>LN(B283)</x:f>
        <x:v>0.3096858190308568</x:v>
      </x:c>
      <x:c r="D283" s="128" t="n">
        <x:f>'Итоги'!$B$8*AVERAGE($C$2:C283)</x:f>
        <x:v>1.2631827263610236</x:v>
      </x:c>
      <x:c r="E283" s="128" t="n">
        <x:f>'Итоги'!$B$9</x:f>
        <x:v>1.2958368660043291</x:v>
      </x:c>
      <x:c r="F283" s="129" t="n">
        <x:f>ABS(D283-E283)</x:f>
        <x:v>0.032654139643305546</x:v>
      </x:c>
    </x:row>
    <x:row r="284">
      <x:c r="A284" s="107" t="n">
        <x:v>283</x:v>
      </x:c>
      <x:c r="B284" s="128" t="n">
        <x:v>1.473489742208792</x:v>
      </x:c>
      <x:c r="C284" s="128" t="n">
        <x:f>LN(B284)</x:f>
        <x:v>0.3876335616571577</x:v>
      </x:c>
      <x:c r="D284" s="128" t="n">
        <x:f>'Итоги'!$B$8*AVERAGE($C$2:C284)</x:f>
        <x:v>1.261458642958032</x:v>
      </x:c>
      <x:c r="E284" s="128" t="n">
        <x:f>'Итоги'!$B$9</x:f>
        <x:v>1.2958368660043291</x:v>
      </x:c>
      <x:c r="F284" s="129" t="n">
        <x:f>ABS(D284-E284)</x:f>
        <x:v>0.03437822304629723</x:v>
      </x:c>
    </x:row>
    <x:row r="285">
      <x:c r="A285" s="107" t="n">
        <x:v>284</x:v>
      </x:c>
      <x:c r="B285" s="128" t="n">
        <x:v>1.4987751516644237</x:v>
      </x:c>
      <x:c r="C285" s="128" t="n">
        <x:f>LN(B285)</x:f>
        <x:v>0.4046482089798581</x:v>
      </x:c>
      <x:c r="D285" s="128" t="n">
        <x:f>'Итоги'!$B$8*AVERAGE($C$2:C285)</x:f>
        <x:v>1.2598665224474743</x:v>
      </x:c>
      <x:c r="E285" s="128" t="n">
        <x:f>'Итоги'!$B$9</x:f>
        <x:v>1.2958368660043291</x:v>
      </x:c>
      <x:c r="F285" s="129" t="n">
        <x:f>ABS(D285-E285)</x:f>
        <x:v>0.0359703435568548</x:v>
      </x:c>
    </x:row>
    <x:row r="286">
      <x:c r="A286" s="107" t="n">
        <x:v>285</x:v>
      </x:c>
      <x:c r="B286" s="128" t="n">
        <x:v>2.1424653034855456</x:v>
      </x:c>
      <x:c r="C286" s="128" t="n">
        <x:f>LN(B286)</x:f>
        <x:v>0.761957176952854</x:v>
      </x:c>
      <x:c r="D286" s="128" t="n">
        <x:f>'Итоги'!$B$8*AVERAGE($C$2:C286)</x:f>
        <x:v>1.2607930060666261</x:v>
      </x:c>
      <x:c r="E286" s="128" t="n">
        <x:f>'Итоги'!$B$9</x:f>
        <x:v>1.2958368660043291</x:v>
      </x:c>
      <x:c r="F286" s="129" t="n">
        <x:f>ABS(D286-E286)</x:f>
        <x:v>0.03504385993770298</x:v>
      </x:c>
    </x:row>
    <x:row r="287">
      <x:c r="A287" s="107" t="n">
        <x:v>286</x:v>
      </x:c>
      <x:c r="B287" s="128" t="n">
        <x:v>1.8325248514063845</x:v>
      </x:c>
      <x:c r="C287" s="128" t="n">
        <x:f>LN(B287)</x:f>
        <x:v>0.6056947161635946</x:v>
      </x:c>
      <x:c r="D287" s="128" t="n">
        <x:f>'Итоги'!$B$8*AVERAGE($C$2:C287)</x:f>
        <x:v>1.2606202662983064</x:v>
      </x:c>
      <x:c r="E287" s="128" t="n">
        <x:f>'Итоги'!$B$9</x:f>
        <x:v>1.2958368660043291</x:v>
      </x:c>
      <x:c r="F287" s="129" t="n">
        <x:f>ABS(D287-E287)</x:f>
        <x:v>0.035216599706022755</x:v>
      </x:c>
    </x:row>
    <x:row r="288">
      <x:c r="A288" s="107" t="n">
        <x:v>287</x:v>
      </x:c>
      <x:c r="B288" s="128" t="n">
        <x:v>1.098508239855188</x:v>
      </x:c>
      <x:c r="C288" s="128" t="n">
        <x:f>LN(B288)</x:f>
        <x:v>0.09395311382048371</x:v>
      </x:c>
      <x:c r="D288" s="128" t="n">
        <x:f>'Итоги'!$B$8*AVERAGE($C$2:C288)</x:f>
        <x:v>1.2568825867211029</x:v>
      </x:c>
      <x:c r="E288" s="128" t="n">
        <x:f>'Итоги'!$B$9</x:f>
        <x:v>1.2958368660043291</x:v>
      </x:c>
      <x:c r="F288" s="129" t="n">
        <x:f>ABS(D288-E288)</x:f>
        <x:v>0.038954279283226256</x:v>
      </x:c>
    </x:row>
    <x:row r="289">
      <x:c r="A289" s="107" t="n">
        <x:v>288</x:v>
      </x:c>
      <x:c r="B289" s="128" t="n">
        <x:v>1.7472282769191432</x:v>
      </x:c>
      <x:c r="C289" s="128" t="n">
        <x:f>LN(B289)</x:f>
        <x:v>0.5580306905716121</x:v>
      </x:c>
      <x:c r="D289" s="128" t="n">
        <x:f>'Итоги'!$B$8*AVERAGE($C$2:C289)</x:f>
        <x:v>1.2563936242017353</x:v>
      </x:c>
      <x:c r="E289" s="128" t="n">
        <x:f>'Итоги'!$B$9</x:f>
        <x:v>1.2958368660043291</x:v>
      </x:c>
      <x:c r="F289" s="129" t="n">
        <x:f>ABS(D289-E289)</x:f>
        <x:v>0.03944324180259384</x:v>
      </x:c>
    </x:row>
    <x:row r="290">
      <x:c r="A290" s="107" t="n">
        <x:v>289</x:v>
      </x:c>
      <x:c r="B290" s="128" t="n">
        <x:v>2.0475058974352747</x:v>
      </x:c>
      <x:c r="C290" s="128" t="n">
        <x:f>LN(B290)</x:f>
        <x:v>0.7166224170512078</x:v>
      </x:c>
      <x:c r="D290" s="128" t="n">
        <x:f>'Итоги'!$B$8*AVERAGE($C$2:C290)</x:f>
        <x:v>1.2570055661045059</x:v>
      </x:c>
      <x:c r="E290" s="128" t="n">
        <x:f>'Итоги'!$B$9</x:f>
        <x:v>1.2958368660043291</x:v>
      </x:c>
      <x:c r="F290" s="129" t="n">
        <x:f>ABS(D290-E290)</x:f>
        <x:v>0.03883129989982326</x:v>
      </x:c>
    </x:row>
    <x:row r="291">
      <x:c r="A291" s="107" t="n">
        <x:v>290</x:v>
      </x:c>
      <x:c r="B291" s="128" t="n">
        <x:v>1.203343805807432</x:v>
      </x:c>
      <x:c r="C291" s="128" t="n">
        <x:f>LN(B291)</x:f>
        <x:v>0.18510418652587252</x:v>
      </x:c>
      <x:c r="D291" s="128" t="n">
        <x:f>'Итоги'!$B$8*AVERAGE($C$2:C291)</x:f>
        <x:v>1.2539476447491515</x:v>
      </x:c>
      <x:c r="E291" s="128" t="n">
        <x:f>'Итоги'!$B$9</x:f>
        <x:v>1.2958368660043291</x:v>
      </x:c>
      <x:c r="F291" s="129" t="n">
        <x:f>ABS(D291-E291)</x:f>
        <x:v>0.04188922125517758</x:v>
      </x:c>
    </x:row>
    <x:row r="292">
      <x:c r="A292" s="107" t="n">
        <x:v>291</x:v>
      </x:c>
      <x:c r="B292" s="128" t="n">
        <x:v>2.6669171075771194</x:v>
      </x:c>
      <x:c r="C292" s="128" t="n">
        <x:f>LN(B292)</x:f>
        <x:v>0.9809231639433764</x:v>
      </x:c>
      <x:c r="D292" s="128" t="n">
        <x:f>'Итоги'!$B$8*AVERAGE($C$2:C292)</x:f>
        <x:v>1.256380286271961</x:v>
      </x:c>
      <x:c r="E292" s="128" t="n">
        <x:f>'Итоги'!$B$9</x:f>
        <x:v>1.2958368660043291</x:v>
      </x:c>
      <x:c r="F292" s="129" t="n">
        <x:f>ABS(D292-E292)</x:f>
        <x:v>0.03945657973236805</x:v>
      </x:c>
    </x:row>
    <x:row r="293">
      <x:c r="A293" s="107" t="n">
        <x:v>292</x:v>
      </x:c>
      <x:c r="B293" s="128" t="n">
        <x:v>1.1039237329302085</x:v>
      </x:c>
      <x:c r="C293" s="128" t="n">
        <x:f>LN(B293)</x:f>
        <x:v>0.09887086297784524</x:v>
      </x:c>
      <x:c r="D293" s="128" t="n">
        <x:f>'Итоги'!$B$8*AVERAGE($C$2:C293)</x:f>
        <x:v>1.25275481175033</x:v>
      </x:c>
      <x:c r="E293" s="128" t="n">
        <x:f>'Итоги'!$B$9</x:f>
        <x:v>1.2958368660043291</x:v>
      </x:c>
      <x:c r="F293" s="129" t="n">
        <x:f>ABS(D293-E293)</x:f>
        <x:v>0.043082054253999136</x:v>
      </x:c>
    </x:row>
    <x:row r="294">
      <x:c r="A294" s="107" t="n">
        <x:v>293</x:v>
      </x:c>
      <x:c r="B294" s="128" t="n">
        <x:v>2.8496837380361244</x:v>
      </x:c>
      <x:c r="C294" s="128" t="n">
        <x:f>LN(B294)</x:f>
        <x:v>1.0472080190129</x:v>
      </x:c>
      <x:c r="D294" s="128" t="n">
        <x:f>'Итоги'!$B$8*AVERAGE($C$2:C294)</x:f>
        <x:v>1.255627375662533</x:v>
      </x:c>
      <x:c r="E294" s="128" t="n">
        <x:f>'Итоги'!$B$9</x:f>
        <x:v>1.2958368660043291</x:v>
      </x:c>
      <x:c r="F294" s="129" t="n">
        <x:f>ABS(D294-E294)</x:f>
        <x:v>0.04020949034179622</x:v>
      </x:c>
    </x:row>
    <x:row r="295">
      <x:c r="A295" s="107" t="n">
        <x:v>294</x:v>
      </x:c>
      <x:c r="B295" s="128" t="n">
        <x:v>1.198226283159751</x:v>
      </x:c>
      <x:c r="C295" s="128" t="n">
        <x:f>LN(B295)</x:f>
        <x:v>0.1808423659635376</x:v>
      </x:c>
      <x:c r="D295" s="128" t="n">
        <x:f>'Итоги'!$B$8*AVERAGE($C$2:C295)</x:f>
        <x:v>1.2525867544253375</x:v>
      </x:c>
      <x:c r="E295" s="128" t="n">
        <x:f>'Итоги'!$B$9</x:f>
        <x:v>1.2958368660043291</x:v>
      </x:c>
      <x:c r="F295" s="129" t="n">
        <x:f>ABS(D295-E295)</x:f>
        <x:v>0.04325011157899161</x:v>
      </x:c>
    </x:row>
    <x:row r="296">
      <x:c r="A296" s="107" t="n">
        <x:v>295</x:v>
      </x:c>
      <x:c r="B296" s="128" t="n">
        <x:v>2.6871499031955057</x:v>
      </x:c>
      <x:c r="C296" s="128" t="n">
        <x:f>LN(B296)</x:f>
        <x:v>0.9884811163896765</x:v>
      </x:c>
      <x:c r="D296" s="128" t="n">
        <x:f>'Итоги'!$B$8*AVERAGE($C$2:C296)</x:f>
        <x:v>1.2550422645214527</x:v>
      </x:c>
      <x:c r="E296" s="128" t="n">
        <x:f>'Итоги'!$B$9</x:f>
        <x:v>1.2958368660043291</x:v>
      </x:c>
      <x:c r="F296" s="129" t="n">
        <x:f>ABS(D296-E296)</x:f>
        <x:v>0.04079460148287639</x:v>
      </x:c>
    </x:row>
    <x:row r="297">
      <x:c r="A297" s="107" t="n">
        <x:v>296</x:v>
      </x:c>
      <x:c r="B297" s="128" t="n">
        <x:v>2.805306287855234</x:v>
      </x:c>
      <x:c r="C297" s="128" t="n">
        <x:f>LN(B297)</x:f>
        <x:v>1.0315127265447577</x:v>
      </x:c>
      <x:c r="D297" s="128" t="n">
        <x:f>'Итоги'!$B$8*AVERAGE($C$2:C297)</x:f>
        <x:v>1.2577719374558043</x:v>
      </x:c>
      <x:c r="E297" s="128" t="n">
        <x:f>'Итоги'!$B$9</x:f>
        <x:v>1.2958368660043291</x:v>
      </x:c>
      <x:c r="F297" s="129" t="n">
        <x:f>ABS(D297-E297)</x:f>
        <x:v>0.038064928548524835</x:v>
      </x:c>
    </x:row>
    <x:row r="298">
      <x:c r="A298" s="107" t="n">
        <x:v>297</x:v>
      </x:c>
      <x:c r="B298" s="128" t="n">
        <x:v>2.9591413611731854</x:v>
      </x:c>
      <x:c r="C298" s="128" t="n">
        <x:f>LN(B298)</x:f>
        <x:v>1.0848991455696944</x:v>
      </x:c>
      <x:c r="D298" s="128" t="n">
        <x:f>'Итоги'!$B$8*AVERAGE($C$2:C298)</x:f>
        <x:v>1.2608427332594527</x:v>
      </x:c>
      <x:c r="E298" s="128" t="n">
        <x:f>'Итоги'!$B$9</x:f>
        <x:v>1.2958368660043291</x:v>
      </x:c>
      <x:c r="F298" s="129" t="n">
        <x:f>ABS(D298-E298)</x:f>
        <x:v>0.034994132744876394</x:v>
      </x:c>
    </x:row>
    <x:row r="299">
      <x:c r="A299" s="107" t="n">
        <x:v>298</x:v>
      </x:c>
      <x:c r="B299" s="128" t="n">
        <x:v>2.604051760547187</x:v>
      </x:c>
      <x:c r="C299" s="128" t="n">
        <x:f>LN(B299)</x:f>
        <x:v>0.9570686014710399</x:v>
      </x:c>
      <x:c r="D299" s="128" t="n">
        <x:f>'Итоги'!$B$8*AVERAGE($C$2:C299)</x:f>
        <x:v>1.2630349965805354</x:v>
      </x:c>
      <x:c r="E299" s="128" t="n">
        <x:f>'Итоги'!$B$9</x:f>
        <x:v>1.2958368660043291</x:v>
      </x:c>
      <x:c r="F299" s="129" t="n">
        <x:f>ABS(D299-E299)</x:f>
        <x:v>0.032801869423793706</x:v>
      </x:c>
    </x:row>
    <x:row r="300">
      <x:c r="A300" s="107" t="n">
        <x:v>299</x:v>
      </x:c>
      <x:c r="B300" s="128" t="n">
        <x:v>2.558955081542658</x:v>
      </x:c>
      <x:c r="C300" s="128" t="n">
        <x:f>LN(B300)</x:f>
        <x:v>0.9395990038945036</x:v>
      </x:c>
      <x:c r="D300" s="128" t="n">
        <x:f>'Итоги'!$B$8*AVERAGE($C$2:C300)</x:f>
        <x:v>1.2650957424374198</x:v>
      </x:c>
      <x:c r="E300" s="128" t="n">
        <x:f>'Итоги'!$B$9</x:f>
        <x:v>1.2958368660043291</x:v>
      </x:c>
      <x:c r="F300" s="129" t="n">
        <x:f>ABS(D300-E300)</x:f>
        <x:v>0.03074112356690928</x:v>
      </x:c>
    </x:row>
    <x:row r="301">
      <x:c r="A301" s="107" t="n">
        <x:v>300</x:v>
      </x:c>
      <x:c r="B301" s="128" t="n">
        <x:v>2.2849665519910953</x:v>
      </x:c>
      <x:c r="C301" s="128" t="n">
        <x:f>LN(B301)</x:f>
        <x:v>0.826351386160735</x:v>
      </x:c>
      <x:c r="D301" s="128" t="n">
        <x:f>'Итоги'!$B$8*AVERAGE($C$2:C301)</x:f>
        <x:v>1.2663877658703666</x:v>
      </x:c>
      <x:c r="E301" s="128" t="n">
        <x:f>'Итоги'!$B$9</x:f>
        <x:v>1.2958368660043291</x:v>
      </x:c>
      <x:c r="F301" s="129" t="n">
        <x:f>ABS(D301-E301)</x:f>
        <x:v>0.029449100133962514</x:v>
      </x:c>
    </x:row>
    <x:row r="302">
      <x:c r="A302" s="107" t="n">
        <x:v>301</x:v>
      </x:c>
      <x:c r="B302" s="128" t="n">
        <x:v>2.5579927091562578</x:v>
      </x:c>
      <x:c r="C302" s="128" t="n">
        <x:f>LN(B302)</x:f>
        <x:v>0.9392228529400237</x:v>
      </x:c>
      <x:c r="D302" s="128" t="n">
        <x:f>'Итоги'!$B$8*AVERAGE($C$2:C302)</x:f>
        <x:v>1.2684211809534551</x:v>
      </x:c>
      <x:c r="E302" s="128" t="n">
        <x:f>'Итоги'!$B$9</x:f>
        <x:v>1.2958368660043291</x:v>
      </x:c>
      <x:c r="F302" s="129" t="n">
        <x:f>ABS(D302-E302)</x:f>
        <x:v>0.027415685050873995</x:v>
      </x:c>
    </x:row>
    <x:row r="303">
      <x:c r="A303" s="107" t="n">
        <x:v>302</x:v>
      </x:c>
      <x:c r="B303" s="128" t="n">
        <x:v>1.2691044168262942</x:v>
      </x:c>
      <x:c r="C303" s="128" t="n">
        <x:f>LN(B303)</x:f>
        <x:v>0.23831146811024692</x:v>
      </x:c>
      <x:c r="D303" s="128" t="n">
        <x:f>'Итоги'!$B$8*AVERAGE($C$2:C303)</x:f>
        <x:v>1.265799332460962</x:v>
      </x:c>
      <x:c r="E303" s="128" t="n">
        <x:f>'Итоги'!$B$9</x:f>
        <x:v>1.2958368660043291</x:v>
      </x:c>
      <x:c r="F303" s="129" t="n">
        <x:f>ABS(D303-E303)</x:f>
        <x:v>0.030037533543367134</x:v>
      </x:c>
    </x:row>
    <x:row r="304">
      <x:c r="A304" s="107" t="n">
        <x:v>303</x:v>
      </x:c>
      <x:c r="B304" s="128" t="n">
        <x:v>2.0721360718952746</x:v>
      </x:c>
      <x:c r="C304" s="128" t="n">
        <x:f>LN(B304)</x:f>
        <x:v>0.7285799940050693</x:v>
      </x:c>
      <x:c r="D304" s="128" t="n">
        <x:f>'Итоги'!$B$8*AVERAGE($C$2:C304)</x:f>
        <x:v>1.266430885779606</x:v>
      </x:c>
      <x:c r="E304" s="128" t="n">
        <x:f>'Итоги'!$B$9</x:f>
        <x:v>1.2958368660043291</x:v>
      </x:c>
      <x:c r="F304" s="129" t="n">
        <x:f>ABS(D304-E304)</x:f>
        <x:v>0.02940598022472307</x:v>
      </x:c>
    </x:row>
    <x:row r="305">
      <x:c r="A305" s="107" t="n">
        <x:v>304</x:v>
      </x:c>
      <x:c r="B305" s="128" t="n">
        <x:v>2.028445740380829</x:v>
      </x:c>
      <x:c r="C305" s="128" t="n">
        <x:f>LN(B305)</x:f>
        <x:v>0.7072698546651688</x:v>
      </x:c>
      <x:c r="D305" s="128" t="n">
        <x:f>'Итоги'!$B$8*AVERAGE($C$2:C305)</x:f>
        <x:v>1.2669180858570754</x:v>
      </x:c>
      <x:c r="E305" s="128" t="n">
        <x:f>'Итоги'!$B$9</x:f>
        <x:v>1.2958368660043291</x:v>
      </x:c>
      <x:c r="F305" s="129" t="n">
        <x:f>ABS(D305-E305)</x:f>
        <x:v>0.028918780147253687</x:v>
      </x:c>
    </x:row>
    <x:row r="306">
      <x:c r="A306" s="107" t="n">
        <x:v>305</x:v>
      </x:c>
      <x:c r="B306" s="128" t="n">
        <x:v>2.7151442882451153</x:v>
      </x:c>
      <x:c r="C306" s="128" t="n">
        <x:f>LN(B306)</x:f>
        <x:v>0.9988450968154248</x:v>
      </x:c>
      <x:c r="D306" s="128" t="n">
        <x:f>'Итоги'!$B$8*AVERAGE($C$2:C306)</x:f>
        <x:v>1.2693140599809238</x:v>
      </x:c>
      <x:c r="E306" s="128" t="n">
        <x:f>'Итоги'!$B$9</x:f>
        <x:v>1.2958368660043291</x:v>
      </x:c>
      <x:c r="F306" s="129" t="n">
        <x:f>ABS(D306-E306)</x:f>
        <x:v>0.026522806023405288</x:v>
      </x:c>
    </x:row>
    <x:row r="307">
      <x:c r="A307" s="107" t="n">
        <x:v>306</x:v>
      </x:c>
      <x:c r="B307" s="128" t="n">
        <x:v>1.9255987311870317</x:v>
      </x:c>
      <x:c r="C307" s="128" t="n">
        <x:f>LN(B307)</x:f>
        <x:v>0.6552369485682653</x:v>
      </x:c>
      <x:c r="D307" s="128" t="n">
        <x:f>'Итоги'!$B$8*AVERAGE($C$2:C307)</x:f>
        <x:v>1.2694485692526742</x:v>
      </x:c>
      <x:c r="E307" s="128" t="n">
        <x:f>'Итоги'!$B$9</x:f>
        <x:v>1.2958368660043291</x:v>
      </x:c>
      <x:c r="F307" s="129" t="n">
        <x:f>ABS(D307-E307)</x:f>
        <x:v>0.026388296751654883</x:v>
      </x:c>
    </x:row>
    <x:row r="308">
      <x:c r="A308" s="107" t="n">
        <x:v>307</x:v>
      </x:c>
      <x:c r="B308" s="128" t="n">
        <x:v>1.770178992200707</x:v>
      </x:c>
      <x:c r="C308" s="128" t="n">
        <x:f>LN(B308)</x:f>
        <x:v>0.5710806670100179</x:v>
      </x:c>
      <x:c r="D308" s="128" t="n">
        <x:f>'Итоги'!$B$8*AVERAGE($C$2:C308)</x:f>
        <x:v>1.269033952851265</x:v>
      </x:c>
      <x:c r="E308" s="128" t="n">
        <x:f>'Итоги'!$B$9</x:f>
        <x:v>1.2958368660043291</x:v>
      </x:c>
      <x:c r="F308" s="129" t="n">
        <x:f>ABS(D308-E308)</x:f>
        <x:v>0.026802913153064045</x:v>
      </x:c>
    </x:row>
    <x:row r="309">
      <x:c r="A309" s="107" t="n">
        <x:v>308</x:v>
      </x:c>
      <x:c r="B309" s="128" t="n">
        <x:v>2.27912654247422</x:v>
      </x:c>
      <x:c r="C309" s="128" t="n">
        <x:f>LN(B309)</x:f>
        <x:v>0.8237922741605138</x:v>
      </x:c>
      <x:c r="D309" s="128" t="n">
        <x:f>'Итоги'!$B$8*AVERAGE($C$2:C309)</x:f>
        <x:v>1.270263013226167</x:v>
      </x:c>
      <x:c r="E309" s="128" t="n">
        <x:f>'Итоги'!$B$9</x:f>
        <x:v>1.2958368660043291</x:v>
      </x:c>
      <x:c r="F309" s="129" t="n">
        <x:f>ABS(D309-E309)</x:f>
        <x:v>0.025573852778162154</x:v>
      </x:c>
    </x:row>
    <x:row r="310">
      <x:c r="A310" s="107" t="n">
        <x:v>309</x:v>
      </x:c>
      <x:c r="B310" s="128" t="n">
        <x:v>1.5329266350016921</x:v>
      </x:c>
      <x:c r="C310" s="128" t="n">
        <x:f>LN(B310)</x:f>
        <x:v>0.42717874160273417</x:v>
      </x:c>
      <x:c r="D310" s="128" t="n">
        <x:f>'Итоги'!$B$8*AVERAGE($C$2:C310)</x:f>
        <x:v>1.2689170406371033</x:v>
      </x:c>
      <x:c r="E310" s="128" t="n">
        <x:f>'Итоги'!$B$9</x:f>
        <x:v>1.2958368660043291</x:v>
      </x:c>
      <x:c r="F310" s="129" t="n">
        <x:f>ABS(D310-E310)</x:f>
        <x:v>0.026919825367225814</x:v>
      </x:c>
    </x:row>
    <x:row r="311">
      <x:c r="A311" s="107" t="n">
        <x:v>310</x:v>
      </x:c>
      <x:c r="B311" s="128" t="n">
        <x:v>1.2795368219079137</x:v>
      </x:c>
      <x:c r="C311" s="128" t="n">
        <x:f>LN(B311)</x:f>
        <x:v>0.24649815456072083</x:v>
      </x:c>
      <x:c r="D311" s="128" t="n">
        <x:f>'Итоги'!$B$8*AVERAGE($C$2:C311)</x:f>
        <x:v>1.2664140705354399</x:v>
      </x:c>
      <x:c r="E311" s="128" t="n">
        <x:f>'Итоги'!$B$9</x:f>
        <x:v>1.2958368660043291</x:v>
      </x:c>
      <x:c r="F311" s="129" t="n">
        <x:f>ABS(D311-E311)</x:f>
        <x:v>0.029422795468889262</x:v>
      </x:c>
    </x:row>
    <x:row r="312">
      <x:c r="A312" s="107" t="n">
        <x:v>311</x:v>
      </x:c>
      <x:c r="B312" s="128" t="n">
        <x:v>1.9557545480474916</x:v>
      </x:c>
      <x:c r="C312" s="128" t="n">
        <x:f>LN(B312)</x:f>
        <x:v>0.6707760770552265</x:v>
      </x:c>
      <x:c r="D312" s="128" t="n">
        <x:f>'Итоги'!$B$8*AVERAGE($C$2:C312)</x:f>
        <x:v>1.2666556720903435</x:v>
      </x:c>
      <x:c r="E312" s="128" t="n">
        <x:f>'Итоги'!$B$9</x:f>
        <x:v>1.2958368660043291</x:v>
      </x:c>
      <x:c r="F312" s="129" t="n">
        <x:f>ABS(D312-E312)</x:f>
        <x:v>0.02918119391398566</x:v>
      </x:c>
    </x:row>
    <x:row r="313">
      <x:c r="A313" s="107" t="n">
        <x:v>312</x:v>
      </x:c>
      <x:c r="B313" s="128" t="n">
        <x:v>1.83377873718977</x:v>
      </x:c>
      <x:c r="C313" s="128" t="n">
        <x:f>LN(B313)</x:f>
        <x:v>0.606378721621393</x:v>
      </x:c>
      <x:c r="D313" s="128" t="n">
        <x:f>'Итоги'!$B$8*AVERAGE($C$2:C313)</x:f>
        <x:v>1.2664829213568576</x:v>
      </x:c>
      <x:c r="E313" s="128" t="n">
        <x:f>'Итоги'!$B$9</x:f>
        <x:v>1.2958368660043291</x:v>
      </x:c>
      <x:c r="F313" s="129" t="n">
        <x:f>ABS(D313-E313)</x:f>
        <x:v>0.02935394464747154</x:v>
      </x:c>
    </x:row>
    <x:row r="314">
      <x:c r="A314" s="107" t="n">
        <x:v>313</x:v>
      </x:c>
      <x:c r="B314" s="128" t="n">
        <x:v>1.4651398810577474</x:v>
      </x:c>
      <x:c r="C314" s="128" t="n">
        <x:f>LN(B314)</x:f>
        <x:v>0.3819507198616001</x:v>
      </x:c>
      <x:c r="D314" s="128" t="n">
        <x:f>'Итоги'!$B$8*AVERAGE($C$2:C314)</x:f>
        <x:v>1.2648772297222453</x:v>
      </x:c>
      <x:c r="E314" s="128" t="n">
        <x:f>'Итоги'!$B$9</x:f>
        <x:v>1.2958368660043291</x:v>
      </x:c>
      <x:c r="F314" s="129" t="n">
        <x:f>ABS(D314-E314)</x:f>
        <x:v>0.03095963628208387</x:v>
      </x:c>
    </x:row>
    <x:row r="315">
      <x:c r="A315" s="107" t="n">
        <x:v>314</x:v>
      </x:c>
      <x:c r="B315" s="128" t="n">
        <x:v>1.735023620230256</x:v>
      </x:c>
      <x:c r="C315" s="128" t="n">
        <x:f>LN(B315)</x:f>
        <x:v>0.5510210272717188</x:v>
      </x:c>
      <x:c r="D315" s="128" t="n">
        <x:f>'Итоги'!$B$8*AVERAGE($C$2:C315)</x:f>
        <x:v>1.2643586463618033</x:v>
      </x:c>
      <x:c r="E315" s="128" t="n">
        <x:f>'Итоги'!$B$9</x:f>
        <x:v>1.2958368660043291</x:v>
      </x:c>
      <x:c r="F315" s="129" t="n">
        <x:f>ABS(D315-E315)</x:f>
        <x:v>0.03147821964252584</x:v>
      </x:c>
    </x:row>
    <x:row r="316">
      <x:c r="A316" s="107" t="n">
        <x:v>315</x:v>
      </x:c>
      <x:c r="B316" s="128" t="n">
        <x:v>1.7327848996524948</x:v>
      </x:c>
      <x:c r="C316" s="128" t="n">
        <x:f>LN(B316)</x:f>
        <x:v>0.549729882806313</x:v>
      </x:c>
      <x:c r="D316" s="128" t="n">
        <x:f>'Итоги'!$B$8*AVERAGE($C$2:C316)</x:f>
        <x:v>1.2638351578514884</x:v>
      </x:c>
      <x:c r="E316" s="128" t="n">
        <x:f>'Итоги'!$B$9</x:f>
        <x:v>1.2958368660043291</x:v>
      </x:c>
      <x:c r="F316" s="129" t="n">
        <x:f>ABS(D316-E316)</x:f>
        <x:v>0.03200170815284076</x:v>
      </x:c>
    </x:row>
    <x:row r="317">
      <x:c r="A317" s="107" t="n">
        <x:v>316</x:v>
      </x:c>
      <x:c r="B317" s="128" t="n">
        <x:v>1.654991128825091</x:v>
      </x:c>
      <x:c r="C317" s="128" t="n">
        <x:f>LN(B317)</x:f>
        <x:v>0.503795648588129</x:v>
      </x:c>
      <x:c r="D317" s="128" t="n">
        <x:f>'Итоги'!$B$8*AVERAGE($C$2:C317)</x:f>
        <x:v>1.2630242595582124</x:v>
      </x:c>
      <x:c r="E317" s="128" t="n">
        <x:f>'Итоги'!$B$9</x:f>
        <x:v>1.2958368660043291</x:v>
      </x:c>
      <x:c r="F317" s="129" t="n">
        <x:f>ABS(D317-E317)</x:f>
        <x:v>0.03281260644611672</x:v>
      </x:c>
    </x:row>
    <x:row r="318">
      <x:c r="A318" s="107" t="n">
        <x:v>317</x:v>
      </x:c>
      <x:c r="B318" s="128" t="n">
        <x:v>1.758928159453858</x:v>
      </x:c>
      <x:c r="C318" s="128" t="n">
        <x:f>LN(B318)</x:f>
        <x:v>0.56470462322374</x:v>
      </x:c>
      <x:c r="D318" s="128" t="n">
        <x:f>'Итоги'!$B$8*AVERAGE($C$2:C318)</x:f>
        <x:v>1.2626027610941406</x:v>
      </x:c>
      <x:c r="E318" s="128" t="n">
        <x:f>'Итоги'!$B$9</x:f>
        <x:v>1.2958368660043291</x:v>
      </x:c>
      <x:c r="F318" s="129" t="n">
        <x:f>ABS(D318-E318)</x:f>
        <x:v>0.03323410491018852</x:v>
      </x:c>
    </x:row>
    <x:row r="319">
      <x:c r="A319" s="107" t="n">
        <x:v>318</x:v>
      </x:c>
      <x:c r="B319" s="128" t="n">
        <x:v>2.371486690911891</x:v>
      </x:c>
      <x:c r="C319" s="128" t="n">
        <x:f>LN(B319)</x:f>
        <x:v>0.8635170542227204</x:v>
      </x:c>
      <x:c r="D319" s="128" t="n">
        <x:f>'Итоги'!$B$8*AVERAGE($C$2:C319)</x:f>
        <x:v>1.2640632370292075</x:v>
      </x:c>
      <x:c r="E319" s="128" t="n">
        <x:f>'Итоги'!$B$9</x:f>
        <x:v>1.2958368660043291</x:v>
      </x:c>
      <x:c r="F319" s="129" t="n">
        <x:f>ABS(D319-E319)</x:f>
        <x:v>0.03177362897512159</x:v>
      </x:c>
    </x:row>
    <x:row r="320">
      <x:c r="A320" s="107" t="n">
        <x:v>319</x:v>
      </x:c>
      <x:c r="B320" s="128" t="n">
        <x:v>1.5937529491425706</x:v>
      </x:c>
      <x:c r="C320" s="128" t="n">
        <x:f>LN(B320)</x:f>
        <x:v>0.4660915803652844</x:v>
      </x:c>
      <x:c r="D320" s="128" t="n">
        <x:f>'Итоги'!$B$8*AVERAGE($C$2:C320)</x:f>
        <x:v>1.2630228606144784</x:v>
      </x:c>
      <x:c r="E320" s="128" t="n">
        <x:f>'Итоги'!$B$9</x:f>
        <x:v>1.2958368660043291</x:v>
      </x:c>
      <x:c r="F320" s="129" t="n">
        <x:f>ABS(D320-E320)</x:f>
        <x:v>0.03281400538985069</x:v>
      </x:c>
    </x:row>
    <x:row r="321">
      <x:c r="A321" s="107" t="n">
        <x:v>320</x:v>
      </x:c>
      <x:c r="B321" s="128" t="n">
        <x:v>2.8977158534306806</x:v>
      </x:c>
      <x:c r="C321" s="128" t="n">
        <x:f>LN(B321)</x:f>
        <x:v>1.0639227898955916</x:v>
      </x:c>
      <x:c r="D321" s="128" t="n">
        <x:f>'Итоги'!$B$8*AVERAGE($C$2:C321)</x:f>
        <x:v>1.2657254316119055</x:v>
      </x:c>
      <x:c r="E321" s="128" t="n">
        <x:f>'Итоги'!$B$9</x:f>
        <x:v>1.2958368660043291</x:v>
      </x:c>
      <x:c r="F321" s="129" t="n">
        <x:f>ABS(D321-E321)</x:f>
        <x:v>0.030111434392423586</x:v>
      </x:c>
    </x:row>
    <x:row r="322">
      <x:c r="A322" s="107" t="n">
        <x:v>321</x:v>
      </x:c>
      <x:c r="B322" s="128" t="n">
        <x:v>2.832696039076356</x:v>
      </x:c>
      <x:c r="C322" s="128" t="n">
        <x:f>LN(B322)</x:f>
        <x:v>1.0412289221433875</x:v>
      </x:c>
      <x:c r="D322" s="128" t="n">
        <x:f>'Итоги'!$B$8*AVERAGE($C$2:C322)</x:f>
        <x:v>1.2682697693460951</x:v>
      </x:c>
      <x:c r="E322" s="128" t="n">
        <x:f>'Итоги'!$B$9</x:f>
        <x:v>1.2958368660043291</x:v>
      </x:c>
      <x:c r="F322" s="129" t="n">
        <x:f>ABS(D322-E322)</x:f>
        <x:v>0.02756709665823398</x:v>
      </x:c>
    </x:row>
    <x:row r="323">
      <x:c r="A323" s="107" t="n">
        <x:v>322</x:v>
      </x:c>
      <x:c r="B323" s="128" t="n">
        <x:v>1.9618208566001571</x:v>
      </x:c>
      <x:c r="C323" s="128" t="n">
        <x:f>LN(B323)</x:f>
        <x:v>0.6738730504506019</x:v>
      </x:c>
      <x:c r="D323" s="128" t="n">
        <x:f>'Итоги'!$B$8*AVERAGE($C$2:C323)</x:f>
        <x:v>1.2685165902515458</x:v>
      </x:c>
      <x:c r="E323" s="128" t="n">
        <x:f>'Итоги'!$B$9</x:f>
        <x:v>1.2958368660043291</x:v>
      </x:c>
      <x:c r="F323" s="129" t="n">
        <x:f>ABS(D323-E323)</x:f>
        <x:v>0.027320275752783285</x:v>
      </x:c>
    </x:row>
    <x:row r="324">
      <x:c r="A324" s="107" t="n">
        <x:v>323</x:v>
      </x:c>
      <x:c r="B324" s="128" t="n">
        <x:v>1.6567224100093776</x:v>
      </x:c>
      <x:c r="C324" s="128" t="n">
        <x:f>LN(B324)</x:f>
        <x:v>0.5048411987673345</x:v>
      </x:c>
      <x:c r="D324" s="128" t="n">
        <x:f>'Итоги'!$B$8*AVERAGE($C$2:C324)</x:f>
        <x:v>1.2677152460016483</x:v>
      </x:c>
      <x:c r="E324" s="128" t="n">
        <x:f>'Итоги'!$B$9</x:f>
        <x:v>1.2958368660043291</x:v>
      </x:c>
      <x:c r="F324" s="129" t="n">
        <x:f>ABS(D324-E324)</x:f>
        <x:v>0.028121620002680814</x:v>
      </x:c>
    </x:row>
    <x:row r="325">
      <x:c r="A325" s="107" t="n">
        <x:v>324</x:v>
      </x:c>
      <x:c r="B325" s="128" t="n">
        <x:v>2.0708695796600063</x:v>
      </x:c>
      <x:c r="C325" s="128" t="n">
        <x:f>LN(B325)</x:f>
        <x:v>0.7279686058577983</x:v>
      </x:c>
      <x:c r="D325" s="128" t="n">
        <x:f>'Итоги'!$B$8*AVERAGE($C$2:C325)</x:f>
        <x:v>1.2682961779945927</x:v>
      </x:c>
      <x:c r="E325" s="128" t="n">
        <x:f>'Итоги'!$B$9</x:f>
        <x:v>1.2958368660043291</x:v>
      </x:c>
      <x:c r="F325" s="129" t="n">
        <x:f>ABS(D325-E325)</x:f>
        <x:v>0.027540688009736414</x:v>
      </x:c>
    </x:row>
    <x:row r="326">
      <x:c r="A326" s="107" t="n">
        <x:v>325</x:v>
      </x:c>
      <x:c r="B326" s="128" t="n">
        <x:v>2.6971209775472493</x:v>
      </x:c>
      <x:c r="C326" s="128" t="n">
        <x:f>LN(B326)</x:f>
        <x:v>0.9921848994909357</x:v>
      </x:c>
      <x:c r="D326" s="128" t="n">
        <x:f>'Итоги'!$B$8*AVERAGE($C$2:C326)</x:f>
        <x:v>1.2704994814437842</x:v>
      </x:c>
      <x:c r="E326" s="128" t="n">
        <x:f>'Итоги'!$B$9</x:f>
        <x:v>1.2958368660043291</x:v>
      </x:c>
      <x:c r="F326" s="129" t="n">
        <x:f>ABS(D326-E326)</x:f>
        <x:v>0.025337384560544907</x:v>
      </x:c>
    </x:row>
    <x:row r="327">
      <x:c r="A327" s="107" t="n">
        <x:v>326</x:v>
      </x:c>
      <x:c r="B327" s="128" t="n">
        <x:v>2.305174681120204</x:v>
      </x:c>
      <x:c r="C327" s="128" t="n">
        <x:f>LN(B327)</x:f>
        <x:v>0.8351564571434315</x:v>
      </x:c>
      <x:c r="D327" s="128" t="n">
        <x:f>'Итоги'!$B$8*AVERAGE($C$2:C327)</x:f>
        <x:v>1.2717259030169223</x:v>
      </x:c>
      <x:c r="E327" s="128" t="n">
        <x:f>'Итоги'!$B$9</x:f>
        <x:v>1.2958368660043291</x:v>
      </x:c>
      <x:c r="F327" s="129" t="n">
        <x:f>ABS(D327-E327)</x:f>
        <x:v>0.02411096298740678</x:v>
      </x:c>
    </x:row>
    <x:row r="328">
      <x:c r="A328" s="107" t="n">
        <x:v>327</x:v>
      </x:c>
      <x:c r="B328" s="128" t="n">
        <x:v>2.608783655894155</x:v>
      </x:c>
      <x:c r="C328" s="128" t="n">
        <x:f>LN(B328)</x:f>
        <x:v>0.9588840804833728</x:v>
      </x:c>
      <x:c r="D328" s="128" t="n">
        <x:f>'Итоги'!$B$8*AVERAGE($C$2:C328)</x:f>
        <x:v>1.2737015674143226</x:v>
      </x:c>
      <x:c r="E328" s="128" t="n">
        <x:f>'Итоги'!$B$9</x:f>
        <x:v>1.2958368660043291</x:v>
      </x:c>
      <x:c r="F328" s="129" t="n">
        <x:f>ABS(D328-E328)</x:f>
        <x:v>0.022135298590006514</x:v>
      </x:c>
    </x:row>
    <x:row r="329">
      <x:c r="A329" s="107" t="n">
        <x:v>328</x:v>
      </x:c>
      <x:c r="B329" s="128" t="n">
        <x:v>2.0654445521314804</x:v>
      </x:c>
      <x:c r="C329" s="128" t="n">
        <x:f>LN(B329)</x:f>
        <x:v>0.7253454827262505</x:v>
      </x:c>
      <x:c r="D329" s="128" t="n">
        <x:f>'Итоги'!$B$8*AVERAGE($C$2:C329)</x:f>
        <x:v>1.2742411692376097</x:v>
      </x:c>
      <x:c r="E329" s="128" t="n">
        <x:f>'Итоги'!$B$9</x:f>
        <x:v>1.2958368660043291</x:v>
      </x:c>
      <x:c r="F329" s="129" t="n">
        <x:f>ABS(D329-E329)</x:f>
        <x:v>0.021595696766719463</x:v>
      </x:c>
    </x:row>
    <x:row r="330">
      <x:c r="A330" s="107" t="n">
        <x:v>329</x:v>
      </x:c>
      <x:c r="B330" s="128" t="n">
        <x:v>2.2658352585352413</x:v>
      </x:c>
      <x:c r="C330" s="128" t="n">
        <x:f>LN(B330)</x:f>
        <x:v>0.8179434585221782</x:v>
      </x:c>
      <x:c r="D330" s="128" t="n">
        <x:f>'Итоги'!$B$8*AVERAGE($C$2:C330)</x:f>
        <x:v>1.2753403964345906</x:v>
      </x:c>
      <x:c r="E330" s="128" t="n">
        <x:f>'Итоги'!$B$9</x:f>
        <x:v>1.2958368660043291</x:v>
      </x:c>
      <x:c r="F330" s="129" t="n">
        <x:f>ABS(D330-E330)</x:f>
        <x:v>0.020496469569738496</x:v>
      </x:c>
    </x:row>
    <x:row r="331">
      <x:c r="A331" s="107" t="n">
        <x:v>330</x:v>
      </x:c>
      <x:c r="B331" s="128" t="n">
        <x:v>1.5763112283649234</x:v>
      </x:c>
      <x:c r="C331" s="128" t="n">
        <x:f>LN(B331)</x:f>
        <x:v>0.45508745186607524</x:v>
      </x:c>
      <x:c r="D331" s="128" t="n">
        <x:f>'Итоги'!$B$8*AVERAGE($C$2:C331)</x:f>
        <x:v>1.2742338343354922</x:v>
      </x:c>
      <x:c r="E331" s="128" t="n">
        <x:f>'Итоги'!$B$9</x:f>
        <x:v>1.2958368660043291</x:v>
      </x:c>
      <x:c r="F331" s="129" t="n">
        <x:f>ABS(D331-E331)</x:f>
        <x:v>0.021603031668836925</x:v>
      </x:c>
    </x:row>
    <x:row r="332">
      <x:c r="A332" s="107" t="n">
        <x:v>331</x:v>
      </x:c>
      <x:c r="B332" s="128" t="n">
        <x:v>2.4697863246205816</x:v>
      </x:c>
      <x:c r="C332" s="128" t="n">
        <x:f>LN(B332)</x:f>
        <x:v>0.9041316386470546</x:v>
      </x:c>
      <x:c r="D332" s="128" t="n">
        <x:f>'Итоги'!$B$8*AVERAGE($C$2:C332)</x:f>
        <x:v>1.2758472163383883</x:v>
      </x:c>
      <x:c r="E332" s="128" t="n">
        <x:f>'Итоги'!$B$9</x:f>
        <x:v>1.2958368660043291</x:v>
      </x:c>
      <x:c r="F332" s="129" t="n">
        <x:f>ABS(D332-E332)</x:f>
        <x:v>0.019989649665940856</x:v>
      </x:c>
    </x:row>
    <x:row r="333">
      <x:c r="A333" s="107" t="n">
        <x:v>332</x:v>
      </x:c>
      <x:c r="B333" s="128" t="n">
        <x:v>1.4048091862514367</x:v>
      </x:c>
      <x:c r="C333" s="128" t="n">
        <x:f>LN(B333)</x:f>
        <x:v>0.33990148306543033</x:v>
      </x:c>
      <x:c r="D333" s="128" t="n">
        <x:f>'Итоги'!$B$8*AVERAGE($C$2:C333)</x:f>
        <x:v>1.2740519023317392</x:v>
      </x:c>
      <x:c r="E333" s="128" t="n">
        <x:f>'Итоги'!$B$9</x:f>
        <x:v>1.2958368660043291</x:v>
      </x:c>
      <x:c r="F333" s="129" t="n">
        <x:f>ABS(D333-E333)</x:f>
        <x:v>0.021784963672589974</x:v>
      </x:c>
    </x:row>
    <x:row r="334">
      <x:c r="A334" s="107" t="n">
        <x:v>333</x:v>
      </x:c>
      <x:c r="B334" s="128" t="n">
        <x:v>2.3895962576369962</x:v>
      </x:c>
      <x:c r="C334" s="128" t="n">
        <x:f>LN(B334)</x:f>
        <x:v>0.8711244218141662</x:v>
      </x:c>
      <x:c r="D334" s="128" t="n">
        <x:f>'Итоги'!$B$8*AVERAGE($C$2:C334)</x:f>
        <x:v>1.2754578991524497</x:v>
      </x:c>
      <x:c r="E334" s="128" t="n">
        <x:f>'Итоги'!$B$9</x:f>
        <x:v>1.2958368660043291</x:v>
      </x:c>
      <x:c r="F334" s="129" t="n">
        <x:f>ABS(D334-E334)</x:f>
        <x:v>0.020378966851879454</x:v>
      </x:c>
    </x:row>
    <x:row r="335">
      <x:c r="A335" s="107" t="n">
        <x:v>334</x:v>
      </x:c>
      <x:c r="B335" s="128" t="n">
        <x:v>2.721438136651788</x:v>
      </x:c>
      <x:c r="C335" s="128" t="n">
        <x:f>LN(B335)</x:f>
        <x:v>1.0011604672914045</x:v>
      </x:c>
      <x:c r="D335" s="128" t="n">
        <x:f>'Итоги'!$B$8*AVERAGE($C$2:C335)</x:f>
        <x:v>1.2776341357854746</x:v>
      </x:c>
      <x:c r="E335" s="128" t="n">
        <x:f>'Итоги'!$B$9</x:f>
        <x:v>1.2958368660043291</x:v>
      </x:c>
      <x:c r="F335" s="129" t="n">
        <x:f>ABS(D335-E335)</x:f>
        <x:v>0.018202730218854546</x:v>
      </x:c>
    </x:row>
    <x:row r="336">
      <x:c r="A336" s="107" t="n">
        <x:v>335</x:v>
      </x:c>
      <x:c r="B336" s="128" t="n">
        <x:v>1.2642056746030879</x:v>
      </x:c>
      <x:c r="C336" s="128" t="n">
        <x:f>LN(B336)</x:f>
        <x:v>0.23444399973692834</x:v>
      </x:c>
      <x:c r="D336" s="128" t="n">
        <x:f>'Итоги'!$B$8*AVERAGE($C$2:C336)</x:f>
        <x:v>1.2752199682143952</x:v>
      </x:c>
      <x:c r="E336" s="128" t="n">
        <x:f>'Итоги'!$B$9</x:f>
        <x:v>1.2958368660043291</x:v>
      </x:c>
      <x:c r="F336" s="129" t="n">
        <x:f>ABS(D336-E336)</x:f>
        <x:v>0.02061689778993392</x:v>
      </x:c>
    </x:row>
    <x:row r="337">
      <x:c r="A337" s="107" t="n">
        <x:v>336</x:v>
      </x:c>
      <x:c r="B337" s="128" t="n">
        <x:v>2.2287594810838396</x:v>
      </x:c>
      <x:c r="C337" s="128" t="n">
        <x:f>LN(B337)</x:f>
        <x:v>0.8014451441777923</x:v>
      </x:c>
      <x:c r="D337" s="128" t="n">
        <x:f>'Итоги'!$B$8*AVERAGE($C$2:C337)</x:f>
        <x:v>1.2761951775005298</x:v>
      </x:c>
      <x:c r="E337" s="128" t="n">
        <x:f>'Итоги'!$B$9</x:f>
        <x:v>1.2958368660043291</x:v>
      </x:c>
      <x:c r="F337" s="129" t="n">
        <x:f>ABS(D337-E337)</x:f>
        <x:v>0.019641688503799326</x:v>
      </x:c>
    </x:row>
    <x:row r="338">
      <x:c r="A338" s="107" t="n">
        <x:v>337</x:v>
      </x:c>
      <x:c r="B338" s="128" t="n">
        <x:v>1.1901914964598692</x:v>
      </x:c>
      <x:c r="C338" s="128" t="n">
        <x:f>LN(B338)</x:f>
        <x:v>0.17411421557182732</x:v>
      </x:c>
      <x:c r="D338" s="128" t="n">
        <x:f>'Итоги'!$B$8*AVERAGE($C$2:C338)</x:f>
        <x:v>1.2734415669772154</x:v>
      </x:c>
      <x:c r="E338" s="128" t="n">
        <x:f>'Итоги'!$B$9</x:f>
        <x:v>1.2958368660043291</x:v>
      </x:c>
      <x:c r="F338" s="129" t="n">
        <x:f>ABS(D338-E338)</x:f>
        <x:v>0.02239529902711368</x:v>
      </x:c>
    </x:row>
    <x:row r="339">
      <x:c r="A339" s="107" t="n">
        <x:v>338</x:v>
      </x:c>
      <x:c r="B339" s="128" t="n">
        <x:v>2.451431256542854</x:v>
      </x:c>
      <x:c r="C339" s="128" t="n">
        <x:f>LN(B339)</x:f>
        <x:v>0.8966720403302421</x:v>
      </x:c>
      <x:c r="D339" s="128" t="n">
        <x:f>'Итоги'!$B$8*AVERAGE($C$2:C339)</x:f>
        <x:v>1.2749797400946214</x:v>
      </x:c>
      <x:c r="E339" s="128" t="n">
        <x:f>'Итоги'!$B$9</x:f>
        <x:v>1.2958368660043291</x:v>
      </x:c>
      <x:c r="F339" s="129" t="n">
        <x:f>ABS(D339-E339)</x:f>
        <x:v>0.020857125909707674</x:v>
      </x:c>
    </x:row>
    <x:row r="340">
      <x:c r="A340" s="107" t="n">
        <x:v>339</x:v>
      </x:c>
      <x:c r="B340" s="128" t="n">
        <x:v>1.1689864376470405</x:v>
      </x:c>
      <x:c r="C340" s="128" t="n">
        <x:f>LN(B340)</x:f>
        <x:v>0.15613708075200738</x:v>
      </x:c>
      <x:c r="D340" s="128" t="n">
        <x:f>'Итоги'!$B$8*AVERAGE($C$2:C340)</x:f>
        <x:v>1.2721399006297525</x:v>
      </x:c>
      <x:c r="E340" s="128" t="n">
        <x:f>'Итоги'!$B$9</x:f>
        <x:v>1.2958368660043291</x:v>
      </x:c>
      <x:c r="F340" s="129" t="n">
        <x:f>ABS(D340-E340)</x:f>
        <x:v>0.023696965374576662</x:v>
      </x:c>
    </x:row>
    <x:row r="341">
      <x:c r="A341" s="107" t="n">
        <x:v>340</x:v>
      </x:c>
      <x:c r="B341" s="128" t="n">
        <x:v>2.8718796454012523</x:v>
      </x:c>
      <x:c r="C341" s="128" t="n">
        <x:f>LN(B341)</x:f>
        <x:v>1.054966744110553</x:v>
      </x:c>
      <x:c r="D341" s="128" t="n">
        <x:f>'Итоги'!$B$8*AVERAGE($C$2:C341)</x:f>
        <x:v>1.274603999416786</x:v>
      </x:c>
      <x:c r="E341" s="128" t="n">
        <x:f>'Итоги'!$B$9</x:f>
        <x:v>1.2958368660043291</x:v>
      </x:c>
      <x:c r="F341" s="129" t="n">
        <x:f>ABS(D341-E341)</x:f>
        <x:v>0.021232866587543198</x:v>
      </x:c>
    </x:row>
    <x:row r="342">
      <x:c r="A342" s="107" t="n">
        <x:v>341</x:v>
      </x:c>
      <x:c r="B342" s="128" t="n">
        <x:v>1.2748158600756043</x:v>
      </x:c>
      <x:c r="C342" s="128" t="n">
        <x:f>LN(B342)</x:f>
        <x:v>0.2428017447102016</x:v>
      </x:c>
      <x:c r="D342" s="128" t="n">
        <x:f>'Итоги'!$B$8*AVERAGE($C$2:C342)</x:f>
        <x:v>1.2722902149299928</x:v>
      </x:c>
      <x:c r="E342" s="128" t="n">
        <x:f>'Итоги'!$B$9</x:f>
        <x:v>1.2958368660043291</x:v>
      </x:c>
      <x:c r="F342" s="129" t="n">
        <x:f>ABS(D342-E342)</x:f>
        <x:v>0.02354665107433629</x:v>
      </x:c>
    </x:row>
    <x:row r="343">
      <x:c r="A343" s="107" t="n">
        <x:v>342</x:v>
      </x:c>
      <x:c r="B343" s="128" t="n">
        <x:v>2.9177604918181608</x:v>
      </x:c>
      <x:c r="C343" s="128" t="n">
        <x:f>LN(B343)</x:f>
        <x:v>1.070816367163054</x:v>
      </x:c>
      <x:c r="D343" s="128" t="n">
        <x:f>'Итоги'!$B$8*AVERAGE($C$2:C343)</x:f>
        <x:v>1.2748321521212096</x:v>
      </x:c>
      <x:c r="E343" s="128" t="n">
        <x:f>'Итоги'!$B$9</x:f>
        <x:v>1.2958368660043291</x:v>
      </x:c>
      <x:c r="F343" s="129" t="n">
        <x:f>ABS(D343-E343)</x:f>
        <x:v>0.02100471388311953</x:v>
      </x:c>
    </x:row>
    <x:row r="344">
      <x:c r="A344" s="107" t="n">
        <x:v>343</x:v>
      </x:c>
      <x:c r="B344" s="128" t="n">
        <x:v>2.6017683521701933</x:v>
      </x:c>
      <x:c r="C344" s="128" t="n">
        <x:f>LN(B344)</x:f>
        <x:v>0.9561913492902153</x:v>
      </x:c>
      <x:c r="D344" s="128" t="n">
        <x:f>'Итоги'!$B$8*AVERAGE($C$2:C344)</x:f>
        <x:v>1.2766909000700704</x:v>
      </x:c>
      <x:c r="E344" s="128" t="n">
        <x:f>'Итоги'!$B$9</x:f>
        <x:v>1.2958368660043291</x:v>
      </x:c>
      <x:c r="F344" s="129" t="n">
        <x:f>ABS(D344-E344)</x:f>
        <x:v>0.01914596593425877</x:v>
      </x:c>
    </x:row>
    <x:row r="345">
      <x:c r="A345" s="107" t="n">
        <x:v>344</x:v>
      </x:c>
      <x:c r="B345" s="128" t="n">
        <x:v>2.1873640089327084</x:v>
      </x:c>
      <x:c r="C345" s="128" t="n">
        <x:f>LN(B345)</x:f>
        <x:v>0.7826971699721154</x:v>
      </x:c>
      <x:c r="D345" s="128" t="n">
        <x:f>'Итоги'!$B$8*AVERAGE($C$2:C345)</x:f>
        <x:v>1.277530154255751</x:v>
      </x:c>
      <x:c r="E345" s="128" t="n">
        <x:f>'Итоги'!$B$9</x:f>
        <x:v>1.2958368660043291</x:v>
      </x:c>
      <x:c r="F345" s="129" t="n">
        <x:f>ABS(D345-E345)</x:f>
        <x:v>0.01830671174857823</x:v>
      </x:c>
    </x:row>
    <x:row r="346">
      <x:c r="A346" s="107" t="n">
        <x:v>345</x:v>
      </x:c>
      <x:c r="B346" s="128" t="n">
        <x:v>2.565248209259094</x:v>
      </x:c>
      <x:c r="C346" s="128" t="n">
        <x:f>LN(B346)</x:f>
        <x:v>0.9420552416833737</x:v>
      </x:c>
      <x:c r="D346" s="128" t="n">
        <x:f>'Итоги'!$B$8*AVERAGE($C$2:C346)</x:f>
        <x:v>1.2792883581082466</x:v>
      </x:c>
      <x:c r="E346" s="128" t="n">
        <x:f>'Итоги'!$B$9</x:f>
        <x:v>1.2958368660043291</x:v>
      </x:c>
      <x:c r="F346" s="129" t="n">
        <x:f>ABS(D346-E346)</x:f>
        <x:v>0.01654850789608253</x:v>
      </x:c>
    </x:row>
    <x:row r="347">
      <x:c r="A347" s="107" t="n">
        <x:v>346</x:v>
      </x:c>
      <x:c r="B347" s="128" t="n">
        <x:v>2.590229677966172</x:v>
      </x:c>
      <x:c r="C347" s="128" t="n">
        <x:f>LN(B347)</x:f>
        <x:v>0.9517465505311361</x:v>
      </x:c>
      <x:c r="D347" s="128" t="n">
        <x:f>'Итоги'!$B$8*AVERAGE($C$2:C347)</x:f>
        <x:v>1.2810924180589809</x:v>
      </x:c>
      <x:c r="E347" s="128" t="n">
        <x:f>'Итоги'!$B$9</x:f>
        <x:v>1.2958368660043291</x:v>
      </x:c>
      <x:c r="F347" s="129" t="n">
        <x:f>ABS(D347-E347)</x:f>
        <x:v>0.014744447945348238</x:v>
      </x:c>
    </x:row>
    <x:row r="348">
      <x:c r="A348" s="107" t="n">
        <x:v>347</x:v>
      </x:c>
      <x:c r="B348" s="128" t="n">
        <x:v>2.892054125634661</x:v>
      </x:c>
      <x:c r="C348" s="128" t="n">
        <x:f>LN(B348)</x:f>
        <x:v>1.0619670197626903</x:v>
      </x:c>
      <x:c r="D348" s="128" t="n">
        <x:f>'Итоги'!$B$8*AVERAGE($C$2:C348)</x:f>
        <x:v>1.283521356449374</x:v>
      </x:c>
      <x:c r="E348" s="128" t="n">
        <x:f>'Итоги'!$B$9</x:f>
        <x:v>1.2958368660043291</x:v>
      </x:c>
      <x:c r="F348" s="129" t="n">
        <x:f>ABS(D348-E348)</x:f>
        <x:v>0.012315509554955195</x:v>
      </x:c>
    </x:row>
    <x:row r="349">
      <x:c r="A349" s="107" t="n">
        <x:v>348</x:v>
      </x:c>
      <x:c r="B349" s="128" t="n">
        <x:v>1.5067667076783744</x:v>
      </x:c>
      <x:c r="C349" s="128" t="n">
        <x:f>LN(B349)</x:f>
        <x:v>0.4099661018732966</x:v>
      </x:c>
      <x:c r="D349" s="128" t="n">
        <x:f>'Итоги'!$B$8*AVERAGE($C$2:C349)</x:f>
        <x:v>1.2821892037117222</x:v>
      </x:c>
      <x:c r="E349" s="128" t="n">
        <x:f>'Итоги'!$B$9</x:f>
        <x:v>1.2958368660043291</x:v>
      </x:c>
      <x:c r="F349" s="129" t="n">
        <x:f>ABS(D349-E349)</x:f>
        <x:v>0.013647662292606944</x:v>
      </x:c>
    </x:row>
    <x:row r="350">
      <x:c r="A350" s="107" t="n">
        <x:v>349</x:v>
      </x:c>
      <x:c r="B350" s="128" t="n">
        <x:v>2.1801517907166184</x:v>
      </x:c>
      <x:c r="C350" s="128" t="n">
        <x:f>LN(B350)</x:f>
        <x:v>0.7793945031461184</x:v>
      </x:c>
      <x:c r="D350" s="128" t="n">
        <x:f>'Итоги'!$B$8*AVERAGE($C$2:C350)</x:f>
        <x:v>1.2829817532893169</x:v>
      </x:c>
      <x:c r="E350" s="128" t="n">
        <x:f>'Итоги'!$B$9</x:f>
        <x:v>1.2958368660043291</x:v>
      </x:c>
      <x:c r="F350" s="129" t="n">
        <x:f>ABS(D350-E350)</x:f>
        <x:v>0.012855112715012273</x:v>
      </x:c>
    </x:row>
    <x:row r="351">
      <x:c r="A351" s="107" t="n">
        <x:v>350</x:v>
      </x:c>
      <x:c r="B351" s="128" t="n">
        <x:v>1.1900983951288024</x:v>
      </x:c>
      <x:c r="C351" s="128" t="n">
        <x:f>LN(B351)</x:f>
        <x:v>0.17403598868741021</x:v>
      </x:c>
      <x:c r="D351" s="128" t="n">
        <x:f>'Итоги'!$B$8*AVERAGE($C$2:C351)</x:f>
        <x:v>1.2803105825009897</x:v>
      </x:c>
      <x:c r="E351" s="128" t="n">
        <x:f>'Итоги'!$B$9</x:f>
        <x:v>1.2958368660043291</x:v>
      </x:c>
      <x:c r="F351" s="129" t="n">
        <x:f>ABS(D351-E351)</x:f>
        <x:v>0.0155262835033394</x:v>
      </x:c>
    </x:row>
    <x:row r="352">
      <x:c r="A352" s="107" t="n">
        <x:v>351</x:v>
      </x:c>
      <x:c r="B352" s="128" t="n">
        <x:v>2.232331400048243</x:v>
      </x:c>
      <x:c r="C352" s="128" t="n">
        <x:f>LN(B352)</x:f>
        <x:v>0.8030465102216098</x:v>
      </x:c>
      <x:c r="D352" s="128" t="n">
        <x:f>'Итоги'!$B$8*AVERAGE($C$2:C352)</x:f>
        <x:v>1.2812387375948422</x:v>
      </x:c>
      <x:c r="E352" s="128" t="n">
        <x:f>'Итоги'!$B$9</x:f>
        <x:v>1.2958368660043291</x:v>
      </x:c>
      <x:c r="F352" s="129" t="n">
        <x:f>ABS(D352-E352)</x:f>
        <x:v>0.014598128409486932</x:v>
      </x:c>
    </x:row>
    <x:row r="353">
      <x:c r="A353" s="107" t="n">
        <x:v>352</x:v>
      </x:c>
      <x:c r="B353" s="128" t="n">
        <x:v>1.3425826081855776</x:v>
      </x:c>
      <x:c r="C353" s="128" t="n">
        <x:f>LN(B353)</x:f>
        <x:v>0.2945950786069259</x:v>
      </x:c>
      <x:c r="D353" s="128" t="n">
        <x:f>'Итоги'!$B$8*AVERAGE($C$2:C353)</x:f>
        <x:v>1.279272690491487</x:v>
      </x:c>
      <x:c r="E353" s="128" t="n">
        <x:f>'Итоги'!$B$9</x:f>
        <x:v>1.2958368660043291</x:v>
      </x:c>
      <x:c r="F353" s="129" t="n">
        <x:f>ABS(D353-E353)</x:f>
        <x:v>0.01656417551284206</x:v>
      </x:c>
    </x:row>
    <x:row r="354">
      <x:c r="A354" s="107" t="n">
        <x:v>353</x:v>
      </x:c>
      <x:c r="B354" s="128" t="n">
        <x:v>2.1299012229448837</x:v>
      </x:c>
      <x:c r="C354" s="128" t="n">
        <x:f>LN(B354)</x:f>
        <x:v>0.7560756044417372</x:v>
      </x:c>
      <x:c r="D354" s="128" t="n">
        <x:f>'Итоги'!$B$8*AVERAGE($C$2:C354)</x:f>
        <x:v>1.2799324030081785</x:v>
      </x:c>
      <x:c r="E354" s="128" t="n">
        <x:f>'Итоги'!$B$9</x:f>
        <x:v>1.2958368660043291</x:v>
      </x:c>
      <x:c r="F354" s="129" t="n">
        <x:f>ABS(D354-E354)</x:f>
        <x:v>0.01590446299615067</x:v>
      </x:c>
    </x:row>
    <x:row r="355">
      <x:c r="A355" s="107" t="n">
        <x:v>354</x:v>
      </x:c>
      <x:c r="B355" s="128" t="n">
        <x:v>2.1448610280676994</x:v>
      </x:c>
      <x:c r="C355" s="128" t="n">
        <x:f>LN(B355)</x:f>
        <x:v>0.7630747615014694</x:v>
      </x:c>
      <x:c r="D355" s="128" t="n">
        <x:f>'Итоги'!$B$8*AVERAGE($C$2:C355)</x:f>
        <x:v>1.280627931595734</x:v>
      </x:c>
      <x:c r="E355" s="128" t="n">
        <x:f>'Итоги'!$B$9</x:f>
        <x:v>1.2958368660043291</x:v>
      </x:c>
      <x:c r="F355" s="129" t="n">
        <x:f>ABS(D355-E355)</x:f>
        <x:v>0.015208934408595054</x:v>
      </x:c>
    </x:row>
    <x:row r="356">
      <x:c r="A356" s="107" t="n">
        <x:v>355</x:v>
      </x:c>
      <x:c r="B356" s="128" t="n">
        <x:v>1.9319703059624547</x:v>
      </x:c>
      <x:c r="C356" s="128" t="n">
        <x:f>LN(B356)</x:f>
        <x:v>0.6585403660875622</x:v>
      </x:c>
      <x:c r="D356" s="128" t="n">
        <x:f>'Итоги'!$B$8*AVERAGE($C$2:C356)</x:f>
        <x:v>1.280730615541028</x:v>
      </x:c>
      <x:c r="E356" s="128" t="n">
        <x:f>'Итоги'!$B$9</x:f>
        <x:v>1.2958368660043291</x:v>
      </x:c>
      <x:c r="F356" s="129" t="n">
        <x:f>ABS(D356-E356)</x:f>
        <x:v>0.015106250463301052</x:v>
      </x:c>
    </x:row>
    <x:row r="357">
      <x:c r="A357" s="107" t="n">
        <x:v>356</x:v>
      </x:c>
      <x:c r="B357" s="128" t="n">
        <x:v>2.0452635510262454</x:v>
      </x:c>
      <x:c r="C357" s="128" t="n">
        <x:f>LN(B357)</x:f>
        <x:v>0.7155266569984465</x:v>
      </x:c>
      <x:c r="D357" s="128" t="n">
        <x:f>'Итоги'!$B$8*AVERAGE($C$2:C357)</x:f>
        <x:v>1.2811528703119714</x:v>
      </x:c>
      <x:c r="E357" s="128" t="n">
        <x:f>'Итоги'!$B$9</x:f>
        <x:v>1.2958368660043291</x:v>
      </x:c>
      <x:c r="F357" s="129" t="n">
        <x:f>ABS(D357-E357)</x:f>
        <x:v>0.014683995692357676</x:v>
      </x:c>
    </x:row>
    <x:row r="358">
      <x:c r="A358" s="107" t="n">
        <x:v>357</x:v>
      </x:c>
      <x:c r="B358" s="128" t="n">
        <x:v>2.527846780013176</x:v>
      </x:c>
      <x:c r="C358" s="128" t="n">
        <x:f>LN(B358)</x:f>
        <x:v>0.9273678652757977</x:v>
      </x:c>
      <x:c r="D358" s="128" t="n">
        <x:f>'Итоги'!$B$8*AVERAGE($C$2:C358)</x:f>
        <x:v>1.2827595449905138</x:v>
      </x:c>
      <x:c r="E358" s="128" t="n">
        <x:f>'Итоги'!$B$9</x:f>
        <x:v>1.2958368660043291</x:v>
      </x:c>
      <x:c r="F358" s="129" t="n">
        <x:f>ABS(D358-E358)</x:f>
        <x:v>0.013077321013815313</x:v>
      </x:c>
    </x:row>
    <x:row r="359">
      <x:c r="A359" s="107" t="n">
        <x:v>358</x:v>
      </x:c>
      <x:c r="B359" s="128" t="n">
        <x:v>2.5984894330241333</x:v>
      </x:c>
      <x:c r="C359" s="128" t="n">
        <x:f>LN(B359)</x:f>
        <x:v>0.9549302888905071</x:v>
      </x:c>
      <x:c r="D359" s="128" t="n">
        <x:f>'Итоги'!$B$8*AVERAGE($C$2:C359)</x:f>
        <x:v>1.284511223853057</x:v>
      </x:c>
      <x:c r="E359" s="128" t="n">
        <x:f>'Итоги'!$B$9</x:f>
        <x:v>1.2958368660043291</x:v>
      </x:c>
      <x:c r="F359" s="129" t="n">
        <x:f>ABS(D359-E359)</x:f>
        <x:v>0.011325642151272186</x:v>
      </x:c>
    </x:row>
    <x:row r="360">
      <x:c r="A360" s="107" t="n">
        <x:v>359</x:v>
      </x:c>
      <x:c r="B360" s="128" t="n">
        <x:v>1.9843064311508583</x:v>
      </x:c>
      <x:c r="C360" s="128" t="n">
        <x:f>LN(B360)</x:f>
        <x:v>0.6852694481212332</x:v>
      </x:c>
      <x:c r="D360" s="128" t="n">
        <x:f>'Итоги'!$B$8*AVERAGE($C$2:C360)</x:f>
        <x:v>1.2847508552524705</x:v>
      </x:c>
      <x:c r="E360" s="128" t="n">
        <x:f>'Итоги'!$B$9</x:f>
        <x:v>1.2958368660043291</x:v>
      </x:c>
      <x:c r="F360" s="129" t="n">
        <x:f>ABS(D360-E360)</x:f>
        <x:v>0.011086010751858666</x:v>
      </x:c>
    </x:row>
    <x:row r="361">
      <x:c r="A361" s="107" t="n">
        <x:v>360</x:v>
      </x:c>
      <x:c r="B361" s="128" t="n">
        <x:v>2.1991868830452246</x:v>
      </x:c>
      <x:c r="C361" s="128" t="n">
        <x:f>LN(B361)</x:f>
        <x:v>0.7880876934300607</x:v>
      </x:c>
      <x:c r="D361" s="128" t="n">
        <x:f>'Итоги'!$B$8*AVERAGE($C$2:C361)</x:f>
        <x:v>1.2855603678402696</x:v>
      </x:c>
      <x:c r="E361" s="128" t="n">
        <x:f>'Итоги'!$B$9</x:f>
        <x:v>1.2958368660043291</x:v>
      </x:c>
      <x:c r="F361" s="129" t="n">
        <x:f>ABS(D361-E361)</x:f>
        <x:v>0.010276498164059511</x:v>
      </x:c>
    </x:row>
    <x:row r="362">
      <x:c r="A362" s="107" t="n">
        <x:v>361</x:v>
      </x:c>
      <x:c r="B362" s="128" t="n">
        <x:v>2.8624724713802037</x:v>
      </x:c>
      <x:c r="C362" s="128" t="n">
        <x:f>LN(B362)</x:f>
        <x:v>1.0516857518490328</x:v>
      </x:c>
      <x:c r="D362" s="128" t="n">
        <x:f>'Итоги'!$B$8*AVERAGE($C$2:C362)</x:f>
        <x:v>1.2878257726487399</x:v>
      </x:c>
      <x:c r="E362" s="128" t="n">
        <x:f>'Итоги'!$B$9</x:f>
        <x:v>1.2958368660043291</x:v>
      </x:c>
      <x:c r="F362" s="129" t="n">
        <x:f>ABS(D362-E362)</x:f>
        <x:v>0.00801109335558925</x:v>
      </x:c>
    </x:row>
    <x:row r="363">
      <x:c r="A363" s="107" t="n">
        <x:v>362</x:v>
      </x:c>
      <x:c r="B363" s="128" t="n">
        <x:v>1.2394671770022456</x:v>
      </x:c>
      <x:c r="C363" s="128" t="n">
        <x:f>LN(B363)</x:f>
        <x:v>0.2146815913052483</x:v>
      </x:c>
      <x:c r="D363" s="128" t="n">
        <x:f>'Итоги'!$B$8*AVERAGE($C$2:C363)</x:f>
        <x:v>1.2854543290298495</x:v>
      </x:c>
      <x:c r="E363" s="128" t="n">
        <x:f>'Итоги'!$B$9</x:f>
        <x:v>1.2958368660043291</x:v>
      </x:c>
      <x:c r="F363" s="129" t="n">
        <x:f>ABS(D363-E363)</x:f>
        <x:v>0.010382536974479661</x:v>
      </x:c>
    </x:row>
    <x:row r="364">
      <x:c r="A364" s="107" t="n">
        <x:v>363</x:v>
      </x:c>
      <x:c r="B364" s="128" t="n">
        <x:v>1.234207131800221</x:v>
      </x:c>
      <x:c r="C364" s="128" t="n">
        <x:f>LN(B364)</x:f>
        <x:v>0.21042876536830019</x:v>
      </x:c>
      <x:c r="D364" s="128" t="n">
        <x:f>'Итоги'!$B$8*AVERAGE($C$2:C364)</x:f>
        <x:v>1.2830725196681603</x:v>
      </x:c>
      <x:c r="E364" s="128" t="n">
        <x:f>'Итоги'!$B$9</x:f>
        <x:v>1.2958368660043291</x:v>
      </x:c>
      <x:c r="F364" s="129" t="n">
        <x:f>ABS(D364-E364)</x:f>
        <x:v>0.012764346336168853</x:v>
      </x:c>
    </x:row>
    <x:row r="365">
      <x:c r="A365" s="107" t="n">
        <x:v>364</x:v>
      </x:c>
      <x:c r="B365" s="128" t="n">
        <x:v>1.1754180238215368</x:v>
      </x:c>
      <x:c r="C365" s="128" t="n">
        <x:f>LN(B365)</x:f>
        <x:v>0.16162384928127585</x:v>
      </x:c>
      <x:c r="D365" s="128" t="n">
        <x:f>'Итоги'!$B$8*AVERAGE($C$2:C365)</x:f>
        <x:v>1.2804356382914965</x:v>
      </x:c>
      <x:c r="E365" s="128" t="n">
        <x:f>'Итоги'!$B$9</x:f>
        <x:v>1.2958368660043291</x:v>
      </x:c>
      <x:c r="F365" s="129" t="n">
        <x:f>ABS(D365-E365)</x:f>
        <x:v>0.015401227712832588</x:v>
      </x:c>
    </x:row>
    <x:row r="366">
      <x:c r="A366" s="107" t="n">
        <x:v>365</x:v>
      </x:c>
      <x:c r="B366" s="128" t="n">
        <x:v>2.315726570081056</x:v>
      </x:c>
      <x:c r="C366" s="128" t="n">
        <x:f>LN(B366)</x:f>
        <x:v>0.8397234914633579</x:v>
      </x:c>
      <x:c r="D366" s="128" t="n">
        <x:f>'Итоги'!$B$8*AVERAGE($C$2:C366)</x:f>
        <x:v>1.2815288200576205</x:v>
      </x:c>
      <x:c r="E366" s="128" t="n">
        <x:f>'Итоги'!$B$9</x:f>
        <x:v>1.2958368660043291</x:v>
      </x:c>
      <x:c r="F366" s="129" t="n">
        <x:f>ABS(D366-E366)</x:f>
        <x:v>0.014308045946708647</x:v>
      </x:c>
    </x:row>
    <x:row r="367">
      <x:c r="A367" s="107" t="n">
        <x:v>366</x:v>
      </x:c>
      <x:c r="B367" s="128" t="n">
        <x:v>1.837216601580759</x:v>
      </x:c>
      <x:c r="C367" s="128" t="n">
        <x:f>LN(B367)</x:f>
        <x:v>0.6082517097778785</x:v>
      </x:c>
      <x:c r="D367" s="128" t="n">
        <x:f>'Итоги'!$B$8*AVERAGE($C$2:C367)</x:f>
        <x:v>1.2813511550289267</x:v>
      </x:c>
      <x:c r="E367" s="128" t="n">
        <x:f>'Итоги'!$B$9</x:f>
        <x:v>1.2958368660043291</x:v>
      </x:c>
      <x:c r="F367" s="129" t="n">
        <x:f>ABS(D367-E367)</x:f>
        <x:v>0.01448571097540241</x:v>
      </x:c>
    </x:row>
    <x:row r="368">
      <x:c r="A368" s="107" t="n">
        <x:v>367</x:v>
      </x:c>
      <x:c r="B368" s="128" t="n">
        <x:v>2.5486428322836865</x:v>
      </x:c>
      <x:c r="C368" s="128" t="n">
        <x:f>LN(B368)</x:f>
        <x:v>0.9355609948557476</x:v>
      </x:c>
      <x:c r="D368" s="128" t="n">
        <x:f>'Итоги'!$B$8*AVERAGE($C$2:C368)</x:f>
        <x:v>1.2829581600280617</x:v>
      </x:c>
      <x:c r="E368" s="128" t="n">
        <x:f>'Итоги'!$B$9</x:f>
        <x:v>1.2958368660043291</x:v>
      </x:c>
      <x:c r="F368" s="129" t="n">
        <x:f>ABS(D368-E368)</x:f>
        <x:v>0.01287870597626739</x:v>
      </x:c>
    </x:row>
    <x:row r="369">
      <x:c r="A369" s="107" t="n">
        <x:v>368</x:v>
      </x:c>
      <x:c r="B369" s="128" t="n">
        <x:v>2.342462826617185</x:v>
      </x:c>
      <x:c r="C369" s="128" t="n">
        <x:f>LN(B369)</x:f>
        <x:v>0.8512028658976666</x:v>
      </x:c>
      <x:c r="D369" s="128" t="n">
        <x:f>'Итоги'!$B$8*AVERAGE($C$2:C369)</x:f>
        <x:v>1.284097963212212</x:v>
      </x:c>
      <x:c r="E369" s="128" t="n">
        <x:f>'Итоги'!$B$9</x:f>
        <x:v>1.2958368660043291</x:v>
      </x:c>
      <x:c r="F369" s="129" t="n">
        <x:f>ABS(D369-E369)</x:f>
        <x:v>0.01173890279211709</x:v>
      </x:c>
    </x:row>
    <x:row r="370">
      <x:c r="A370" s="107" t="n">
        <x:v>369</x:v>
      </x:c>
      <x:c r="B370" s="128" t="n">
        <x:v>1.6672755166564763</x:v>
      </x:c>
      <x:c r="C370" s="128" t="n">
        <x:f>LN(B370)</x:f>
        <x:v>0.5111908670504266</x:v>
      </x:c>
      <x:c r="D370" s="128" t="n">
        <x:f>'Итоги'!$B$8*AVERAGE($C$2:C370)</x:f>
        <x:v>1.2833887051387396</x:v>
      </x:c>
      <x:c r="E370" s="128" t="n">
        <x:f>'Итоги'!$B$9</x:f>
        <x:v>1.2958368660043291</x:v>
      </x:c>
      <x:c r="F370" s="129" t="n">
        <x:f>ABS(D370-E370)</x:f>
        <x:v>0.01244816086558953</x:v>
      </x:c>
    </x:row>
    <x:row r="371">
      <x:c r="A371" s="107" t="n">
        <x:v>370</x:v>
      </x:c>
      <x:c r="B371" s="128" t="n">
        <x:v>2.7967330947230717</x:v>
      </x:c>
      <x:c r="C371" s="128" t="n">
        <x:f>LN(B371)</x:f>
        <x:v>1.0284519841116602</x:v>
      </x:c>
      <x:c r="D371" s="128" t="n">
        <x:f>'Итоги'!$B$8*AVERAGE($C$2:C371)</x:f>
        <x:v>1.28547928693086</x:v>
      </x:c>
      <x:c r="E371" s="128" t="n">
        <x:f>'Итоги'!$B$9</x:f>
        <x:v>1.2958368660043291</x:v>
      </x:c>
      <x:c r="F371" s="129" t="n">
        <x:f>ABS(D371-E371)</x:f>
        <x:v>0.010357579073469125</x:v>
      </x:c>
    </x:row>
    <x:row r="372">
      <x:c r="A372" s="107" t="n">
        <x:v>371</x:v>
      </x:c>
      <x:c r="B372" s="128" t="n">
        <x:v>2.5250642941413046</x:v>
      </x:c>
      <x:c r="C372" s="128" t="n">
        <x:f>LN(B372)</x:f>
        <x:v>0.926266525429405</x:v>
      </x:c>
      <x:c r="D372" s="128" t="n">
        <x:f>'Итоги'!$B$8*AVERAGE($C$2:C372)</x:f>
        <x:v>1.2870077337339003</x:v>
      </x:c>
      <x:c r="E372" s="128" t="n">
        <x:f>'Итоги'!$B$9</x:f>
        <x:v>1.2958368660043291</x:v>
      </x:c>
      <x:c r="F372" s="129" t="n">
        <x:f>ABS(D372-E372)</x:f>
        <x:v>0.008829132270428808</x:v>
      </x:c>
    </x:row>
    <x:row r="373">
      <x:c r="A373" s="107" t="n">
        <x:v>372</x:v>
      </x:c>
      <x:c r="B373" s="128" t="n">
        <x:v>1.5410698818203514</x:v>
      </x:c>
      <x:c r="C373" s="128" t="n">
        <x:f>LN(B373)</x:f>
        <x:v>0.43247690366821</x:v>
      </x:c>
      <x:c r="D373" s="128" t="n">
        <x:f>'Итоги'!$B$8*AVERAGE($C$2:C373)</x:f>
        <x:v>1.2858731801683156</x:v>
      </x:c>
      <x:c r="E373" s="128" t="n">
        <x:f>'Итоги'!$B$9</x:f>
        <x:v>1.2958368660043291</x:v>
      </x:c>
      <x:c r="F373" s="129" t="n">
        <x:f>ABS(D373-E373)</x:f>
        <x:v>0.00996368583601348</x:v>
      </x:c>
    </x:row>
    <x:row r="374">
      <x:c r="A374" s="107" t="n">
        <x:v>373</x:v>
      </x:c>
      <x:c r="B374" s="128" t="n">
        <x:v>1.728384035544108</x:v>
      </x:c>
      <x:c r="C374" s="128" t="n">
        <x:f>LN(B374)</x:f>
        <x:v>0.5471868884813222</x:v>
      </x:c>
      <x:c r="D374" s="128" t="n">
        <x:f>'Итоги'!$B$8*AVERAGE($C$2:C374)</x:f>
        <x:v>1.285359776942563</x:v>
      </x:c>
      <x:c r="E374" s="128" t="n">
        <x:f>'Итоги'!$B$9</x:f>
        <x:v>1.2958368660043291</x:v>
      </x:c>
      <x:c r="F374" s="129" t="n">
        <x:f>ABS(D374-E374)</x:f>
        <x:v>0.010477089061766032</x:v>
      </x:c>
    </x:row>
    <x:row r="375">
      <x:c r="A375" s="107" t="n">
        <x:v>374</x:v>
      </x:c>
      <x:c r="B375" s="128" t="n">
        <x:v>1.6288799604085258</x:v>
      </x:c>
      <x:c r="C375" s="128" t="n">
        <x:f>LN(B375)</x:f>
        <x:v>0.48789263777552627</x:v>
      </x:c>
      <x:c r="D375" s="128" t="n">
        <x:f>'Итоги'!$B$8*AVERAGE($C$2:C375)</x:f>
        <x:v>1.2845320376340297</x:v>
      </x:c>
      <x:c r="E375" s="128" t="n">
        <x:f>'Итоги'!$B$9</x:f>
        <x:v>1.2958368660043291</x:v>
      </x:c>
      <x:c r="F375" s="129" t="n">
        <x:f>ABS(D375-E375)</x:f>
        <x:v>0.011304828370299447</x:v>
      </x:c>
    </x:row>
    <x:row r="376">
      <x:c r="A376" s="107" t="n">
        <x:v>375</x:v>
      </x:c>
      <x:c r="B376" s="128" t="n">
        <x:v>1.3152232972499993</x:v>
      </x:c>
      <x:c r="C376" s="128" t="n">
        <x:f>LN(B376)</x:f>
        <x:v>0.2740064590086925</x:v>
      </x:c>
      <x:c r="D376" s="128" t="n">
        <x:f>'Итоги'!$B$8*AVERAGE($C$2:C376)</x:f>
        <x:v>1.2825679866483852</x:v>
      </x:c>
      <x:c r="E376" s="128" t="n">
        <x:f>'Итоги'!$B$9</x:f>
        <x:v>1.2958368660043291</x:v>
      </x:c>
      <x:c r="F376" s="129" t="n">
        <x:f>ABS(D376-E376)</x:f>
        <x:v>0.013268879355943897</x:v>
      </x:c>
    </x:row>
    <x:row r="377">
      <x:c r="A377" s="107" t="n">
        <x:v>376</x:v>
      </x:c>
      <x:c r="B377" s="128" t="n">
        <x:v>1.2955667450843833</x:v>
      </x:c>
      <x:c r="C377" s="128" t="n">
        <x:f>LN(B377)</x:f>
        <x:v>0.25894824040641523</x:v>
      </x:c>
      <x:c r="D377" s="128" t="n">
        <x:f>'Итоги'!$B$8*AVERAGE($C$2:C377)</x:f>
        <x:v>1.2805342858349928</x:v>
      </x:c>
      <x:c r="E377" s="128" t="n">
        <x:f>'Итоги'!$B$9</x:f>
        <x:v>1.2958368660043291</x:v>
      </x:c>
      <x:c r="F377" s="129" t="n">
        <x:f>ABS(D377-E377)</x:f>
        <x:v>0.015302580169336277</x:v>
      </x:c>
    </x:row>
    <x:row r="378">
      <x:c r="A378" s="107" t="n">
        <x:v>377</x:v>
      </x:c>
      <x:c r="B378" s="128" t="n">
        <x:v>2.872254926751488</x:v>
      </x:c>
      <x:c r="C378" s="128" t="n">
        <x:f>LN(B378)</x:f>
        <x:v>1.0550974100432728</x:v>
      </x:c>
      <x:c r="D378" s="128" t="n">
        <x:f>'Итоги'!$B$8*AVERAGE($C$2:C378)</x:f>
        <x:v>1.2827349769072782</x:v>
      </x:c>
      <x:c r="E378" s="128" t="n">
        <x:f>'Итоги'!$B$9</x:f>
        <x:v>1.2958368660043291</x:v>
      </x:c>
      <x:c r="F378" s="129" t="n">
        <x:f>ABS(D378-E378)</x:f>
        <x:v>0.0131018890970509</x:v>
      </x:c>
    </x:row>
    <x:row r="379">
      <x:c r="A379" s="107" t="n">
        <x:v>378</x:v>
      </x:c>
      <x:c r="B379" s="128" t="n">
        <x:v>1.8758080743975065</x:v>
      </x:c>
      <x:c r="C379" s="128" t="n">
        <x:f>LN(B379)</x:f>
        <x:v>0.6290395395921831</x:v>
      </x:c>
      <x:c r="D379" s="128" t="n">
        <x:f>'Итоги'!$B$8*AVERAGE($C$2:C379)</x:f>
        <x:v>1.2826697496646249</x:v>
      </x:c>
      <x:c r="E379" s="128" t="n">
        <x:f>'Итоги'!$B$9</x:f>
        <x:v>1.2958368660043291</x:v>
      </x:c>
      <x:c r="F379" s="129" t="n">
        <x:f>ABS(D379-E379)</x:f>
        <x:v>0.013167116339704243</x:v>
      </x:c>
    </x:row>
    <x:row r="380">
      <x:c r="A380" s="107" t="n">
        <x:v>379</x:v>
      </x:c>
      <x:c r="B380" s="128" t="n">
        <x:v>1.7666396455548197</x:v>
      </x:c>
      <x:c r="C380" s="128" t="n">
        <x:f>LN(B380)</x:f>
        <x:v>0.5690792368040273</x:v>
      </x:c>
      <x:c r="D380" s="128" t="n">
        <x:f>'Итоги'!$B$8*AVERAGE($C$2:C380)</x:f>
        <x:v>1.2822884534217316</x:v>
      </x:c>
      <x:c r="E380" s="128" t="n">
        <x:f>'Итоги'!$B$9</x:f>
        <x:v>1.2958368660043291</x:v>
      </x:c>
      <x:c r="F380" s="129" t="n">
        <x:f>ABS(D380-E380)</x:f>
        <x:v>0.013548412582597535</x:v>
      </x:c>
    </x:row>
    <x:row r="381">
      <x:c r="A381" s="107" t="n">
        <x:v>380</x:v>
      </x:c>
      <x:c r="B381" s="128" t="n">
        <x:v>2.459371417354756</x:v>
      </x:c>
      <x:c r="C381" s="128" t="n">
        <x:f>LN(B381)</x:f>
        <x:v>0.8999057958926105</x:v>
      </x:c>
      <x:c r="D381" s="128" t="n">
        <x:f>'Итоги'!$B$8*AVERAGE($C$2:C381)</x:f>
        <x:v>1.2836503564174249</x:v>
      </x:c>
      <x:c r="E381" s="128" t="n">
        <x:f>'Итоги'!$B$9</x:f>
        <x:v>1.2958368660043291</x:v>
      </x:c>
      <x:c r="F381" s="129" t="n">
        <x:f>ABS(D381-E381)</x:f>
        <x:v>0.01218650958690426</x:v>
      </x:c>
    </x:row>
    <x:row r="382">
      <x:c r="A382" s="107" t="n">
        <x:v>381</x:v>
      </x:c>
      <x:c r="B382" s="128" t="n">
        <x:v>2.1059861305057996</x:v>
      </x:c>
      <x:c r="C382" s="128" t="n">
        <x:f>LN(B382)</x:f>
        <x:v>0.7447838279853494</x:v>
      </x:c>
      <x:c r="D382" s="128" t="n">
        <x:f>'Итоги'!$B$8*AVERAGE($C$2:C382)</x:f>
        <x:v>1.284190821770583</x:v>
      </x:c>
      <x:c r="E382" s="128" t="n">
        <x:f>'Итоги'!$B$9</x:f>
        <x:v>1.2958368660043291</x:v>
      </x:c>
      <x:c r="F382" s="129" t="n">
        <x:f>ABS(D382-E382)</x:f>
        <x:v>0.011646044233746045</x:v>
      </x:c>
    </x:row>
    <x:row r="383">
      <x:c r="A383" s="107" t="n">
        <x:v>382</x:v>
      </x:c>
      <x:c r="B383" s="128" t="n">
        <x:v>2.8722799736769247</x:v>
      </x:c>
      <x:c r="C383" s="128" t="n">
        <x:f>LN(B383)</x:f>
        <x:v>1.0551061303055296</x:v>
      </x:c>
      <x:c r="D383" s="128" t="n">
        <x:f>'Итоги'!$B$8*AVERAGE($C$2:C383)</x:f>
        <x:v>1.2863531815581235</x:v>
      </x:c>
      <x:c r="E383" s="128" t="n">
        <x:f>'Итоги'!$B$9</x:f>
        <x:v>1.2958368660043291</x:v>
      </x:c>
      <x:c r="F383" s="129" t="n">
        <x:f>ABS(D383-E383)</x:f>
        <x:v>0.00948368444620562</x:v>
      </x:c>
    </x:row>
    <x:row r="384">
      <x:c r="A384" s="107" t="n">
        <x:v>383</x:v>
      </x:c>
      <x:c r="B384" s="128" t="n">
        <x:v>2.5606029878187844</x:v>
      </x:c>
      <x:c r="C384" s="128" t="n">
        <x:f>LN(B384)</x:f>
        <x:v>0.9402427728724946</x:v>
      </x:c>
      <x:c r="D384" s="128" t="n">
        <x:f>'Итоги'!$B$8*AVERAGE($C$2:C384)</x:f>
        <x:v>1.2879044409946427</x:v>
      </x:c>
      <x:c r="E384" s="128" t="n">
        <x:f>'Итоги'!$B$9</x:f>
        <x:v>1.2958368660043291</x:v>
      </x:c>
      <x:c r="F384" s="129" t="n">
        <x:f>ABS(D384-E384)</x:f>
        <x:v>0.007932425009686384</x:v>
      </x:c>
    </x:row>
    <x:row r="385">
      <x:c r="A385" s="107" t="n">
        <x:v>384</x:v>
      </x:c>
      <x:c r="B385" s="128" t="n">
        <x:v>1.9587391282490807</x:v>
      </x:c>
      <x:c r="C385" s="128" t="n">
        <x:f>LN(B385)</x:f>
        <x:v>0.6723009643212318</x:v>
      </x:c>
      <x:c r="D385" s="128" t="n">
        <x:f>'Итоги'!$B$8*AVERAGE($C$2:C385)</x:f>
        <x:v>1.288052090702059</x:v>
      </x:c>
      <x:c r="E385" s="128" t="n">
        <x:f>'Итоги'!$B$9</x:f>
        <x:v>1.2958368660043291</x:v>
      </x:c>
      <x:c r="F385" s="129" t="n">
        <x:f>ABS(D385-E385)</x:f>
        <x:v>0.007784775302270175</x:v>
      </x:c>
    </x:row>
    <x:row r="386">
      <x:c r="A386" s="107" t="n">
        <x:v>385</x:v>
      </x:c>
      <x:c r="B386" s="128" t="n">
        <x:v>1.7527189469616524</x:v>
      </x:c>
      <x:c r="C386" s="128" t="n">
        <x:f>LN(B386)</x:f>
        <x:v>0.5611682661952664</x:v>
      </x:c>
      <x:c r="D386" s="128" t="n">
        <x:f>'Итоги'!$B$8*AVERAGE($C$2:C386)</x:f>
        <x:v>1.2876216606804707</x:v>
      </x:c>
      <x:c r="E386" s="128" t="n">
        <x:f>'Итоги'!$B$9</x:f>
        <x:v>1.2958368660043291</x:v>
      </x:c>
      <x:c r="F386" s="129" t="n">
        <x:f>ABS(D386-E386)</x:f>
        <x:v>0.008215205323858443</x:v>
      </x:c>
    </x:row>
    <x:row r="387">
      <x:c r="A387" s="107" t="n">
        <x:v>386</x:v>
      </x:c>
      <x:c r="B387" s="128" t="n">
        <x:v>2.9732630898486443</x:v>
      </x:c>
      <x:c r="C387" s="128" t="n">
        <x:f>LN(B387)</x:f>
        <x:v>1.0896600331543793</x:v>
      </x:c>
      <x:c r="D387" s="128" t="n">
        <x:f>'Итоги'!$B$8*AVERAGE($C$2:C387)</x:f>
        <x:v>1.2899317601769171</x:v>
      </x:c>
      <x:c r="E387" s="128" t="n">
        <x:f>'Итоги'!$B$9</x:f>
        <x:v>1.2958368660043291</x:v>
      </x:c>
      <x:c r="F387" s="129" t="n">
        <x:f>ABS(D387-E387)</x:f>
        <x:v>0.005905105827411994</x:v>
      </x:c>
    </x:row>
    <x:row r="388">
      <x:c r="A388" s="107" t="n">
        <x:v>387</x:v>
      </x:c>
      <x:c r="B388" s="128" t="n">
        <x:v>2.435520472007287</x:v>
      </x:c>
      <x:c r="C388" s="128" t="n">
        <x:f>LN(B388)</x:f>
        <x:v>0.8901604798983125</x:v>
      </x:c>
      <x:c r="D388" s="128" t="n">
        <x:f>'Итоги'!$B$8*AVERAGE($C$2:C388)</x:f>
        <x:v>1.2911989157314898</x:v>
      </x:c>
      <x:c r="E388" s="128" t="n">
        <x:f>'Итоги'!$B$9</x:f>
        <x:v>1.2958368660043291</x:v>
      </x:c>
      <x:c r="F388" s="129" t="n">
        <x:f>ABS(D388-E388)</x:f>
        <x:v>0.0046379502728393085</x:v>
      </x:c>
    </x:row>
    <x:row r="389">
      <x:c r="A389" s="107" t="n">
        <x:v>388</x:v>
      </x:c>
      <x:c r="B389" s="128" t="n">
        <x:v>2.902389320007682</x:v>
      </x:c>
      <x:c r="C389" s="128" t="n">
        <x:f>LN(B389)</x:f>
        <x:v>1.0655343012212164</x:v>
      </x:c>
      <x:c r="D389" s="128" t="n">
        <x:f>'Итоги'!$B$8*AVERAGE($C$2:C389)</x:f>
        <x:v>1.2933635283261058</x:v>
      </x:c>
      <x:c r="E389" s="128" t="n">
        <x:f>'Итоги'!$B$9</x:f>
        <x:v>1.2958368660043291</x:v>
      </x:c>
      <x:c r="F389" s="129" t="n">
        <x:f>ABS(D389-E389)</x:f>
        <x:v>0.0024733376782233307</x:v>
      </x:c>
    </x:row>
    <x:row r="390">
      <x:c r="A390" s="107" t="n">
        <x:v>389</x:v>
      </x:c>
      <x:c r="B390" s="128" t="n">
        <x:v>1.2369571544340827</x:v>
      </x:c>
      <x:c r="C390" s="128" t="n">
        <x:f>LN(B390)</x:f>
        <x:v>0.21265445613634246</x:v>
      </x:c>
      <x:c r="D390" s="128" t="n">
        <x:f>'Итоги'!$B$8*AVERAGE($C$2:C390)</x:f>
        <x:v>1.2911320254570737</x:v>
      </x:c>
      <x:c r="E390" s="128" t="n">
        <x:f>'Итоги'!$B$9</x:f>
        <x:v>1.2958368660043291</x:v>
      </x:c>
      <x:c r="F390" s="129" t="n">
        <x:f>ABS(D390-E390)</x:f>
        <x:v>0.004704840547255396</x:v>
      </x:c>
    </x:row>
    <x:row r="391">
      <x:c r="A391" s="107" t="n">
        <x:v>390</x:v>
      </x:c>
      <x:c r="B391" s="128" t="n">
        <x:v>2.7010673583815654</x:v>
      </x:c>
      <x:c r="C391" s="128" t="n">
        <x:f>LN(B391)</x:f>
        <x:v>0.99364701281184</x:v>
      </x:c>
      <x:c r="D391" s="128" t="n">
        <x:f>'Итоги'!$B$8*AVERAGE($C$2:C391)</x:f>
        <x:v>1.2929170562267316</x:v>
      </x:c>
      <x:c r="E391" s="128" t="n">
        <x:f>'Итоги'!$B$9</x:f>
        <x:v>1.2958368660043291</x:v>
      </x:c>
      <x:c r="F391" s="129" t="n">
        <x:f>ABS(D391-E391)</x:f>
        <x:v>0.0029198097775975373</x:v>
      </x:c>
    </x:row>
    <x:row r="392">
      <x:c r="A392" s="107" t="n">
        <x:v>391</x:v>
      </x:c>
      <x:c r="B392" s="128" t="n">
        <x:v>2.274147767982415</x:v>
      </x:c>
      <x:c r="C392" s="128" t="n">
        <x:f>LN(B392)</x:f>
        <x:v>0.8216053747397466</x:v>
      </x:c>
      <x:c r="D392" s="128" t="n">
        <x:f>'Итоги'!$B$8*AVERAGE($C$2:C392)</x:f>
        <x:v>1.293812948025332</x:v>
      </x:c>
      <x:c r="E392" s="128" t="n">
        <x:f>'Итоги'!$B$9</x:f>
        <x:v>1.2958368660043291</x:v>
      </x:c>
      <x:c r="F392" s="129" t="n">
        <x:f>ABS(D392-E392)</x:f>
        <x:v>0.0020239179789971473</x:v>
      </x:c>
    </x:row>
    <x:row r="393">
      <x:c r="A393" s="107" t="n">
        <x:v>392</x:v>
      </x:c>
      <x:c r="B393" s="128" t="n">
        <x:v>1.2438433566702252</x:v>
      </x:c>
      <x:c r="C393" s="128" t="n">
        <x:f>LN(B393)</x:f>
        <x:v>0.21820606731313366</x:v>
      </x:c>
      <x:c r="D393" s="128" t="n">
        <x:f>'Итоги'!$B$8*AVERAGE($C$2:C393)</x:f>
        <x:v>1.2916257010523753</x:v>
      </x:c>
      <x:c r="E393" s="128" t="n">
        <x:f>'Итоги'!$B$9</x:f>
        <x:v>1.2958368660043291</x:v>
      </x:c>
      <x:c r="F393" s="129" t="n">
        <x:f>ABS(D393-E393)</x:f>
        <x:v>0.0042111649519538386</x:v>
      </x:c>
    </x:row>
    <x:row r="394">
      <x:c r="A394" s="107" t="n">
        <x:v>393</x:v>
      </x:c>
      <x:c r="B394" s="128" t="n">
        <x:v>2.1765159999384416</x:v>
      </x:c>
      <x:c r="C394" s="128" t="n">
        <x:f>LN(B394)</x:f>
        <x:v>0.777725433206922</x:v>
      </x:c>
      <x:c r="D394" s="128" t="n">
        <x:f>'Итоги'!$B$8*AVERAGE($C$2:C394)</x:f>
        <x:v>1.2922970119057122</x:v>
      </x:c>
      <x:c r="E394" s="128" t="n">
        <x:f>'Итоги'!$B$9</x:f>
        <x:v>1.2958368660043291</x:v>
      </x:c>
      <x:c r="F394" s="129" t="n">
        <x:f>ABS(D394-E394)</x:f>
        <x:v>0.0035398540986169014</x:v>
      </x:c>
    </x:row>
    <x:row r="395">
      <x:c r="A395" s="107" t="n">
        <x:v>394</x:v>
      </x:c>
      <x:c r="B395" s="128" t="n">
        <x:v>2.3721927302108976</x:v>
      </x:c>
      <x:c r="C395" s="128" t="n">
        <x:f>LN(B395)</x:f>
        <x:v>0.8638147300315352</x:v>
      </x:c>
      <x:c r="D395" s="128" t="n">
        <x:f>'Итоги'!$B$8*AVERAGE($C$2:C395)</x:f>
        <x:v>1.293401916596467</x:v>
      </x:c>
      <x:c r="E395" s="128" t="n">
        <x:f>'Итоги'!$B$9</x:f>
        <x:v>1.2958368660043291</x:v>
      </x:c>
      <x:c r="F395" s="129" t="n">
        <x:f>ABS(D395-E395)</x:f>
        <x:v>0.0024349494078621525</x:v>
      </x:c>
    </x:row>
    <x:row r="396">
      <x:c r="A396" s="107" t="n">
        <x:v>395</x:v>
      </x:c>
      <x:c r="B396" s="128" t="n">
        <x:v>1.0246053717772057</x:v>
      </x:c>
      <x:c r="C396" s="128" t="n">
        <x:f>LN(B396)</x:f>
        <x:v>0.024307535313443228</x:v>
      </x:c>
      <x:c r="D396" s="128" t="n">
        <x:f>'Итоги'!$B$8*AVERAGE($C$2:C396)</x:f>
        <x:v>1.2902505574927465</x:v>
      </x:c>
      <x:c r="E396" s="128" t="n">
        <x:f>'Итоги'!$B$9</x:f>
        <x:v>1.2958368660043291</x:v>
      </x:c>
      <x:c r="F396" s="129" t="n">
        <x:f>ABS(D396-E396)</x:f>
        <x:v>0.005586308511582594</x:v>
      </x:c>
    </x:row>
    <x:row r="397">
      <x:c r="A397" s="107" t="n">
        <x:v>396</x:v>
      </x:c>
      <x:c r="B397" s="128" t="n">
        <x:v>1.908635923683493</x:v>
      </x:c>
      <x:c r="C397" s="128" t="n">
        <x:f>LN(B397)</x:f>
        <x:v>0.6463888108313735</x:v>
      </x:c>
      <x:c r="D397" s="128" t="n">
        <x:f>'Итоги'!$B$8*AVERAGE($C$2:C397)</x:f>
        <x:v>1.2902569389679233</x:v>
      </x:c>
      <x:c r="E397" s="128" t="n">
        <x:f>'Итоги'!$B$9</x:f>
        <x:v>1.2958368660043291</x:v>
      </x:c>
      <x:c r="F397" s="129" t="n">
        <x:f>ABS(D397-E397)</x:f>
        <x:v>0.005579927036405863</x:v>
      </x:c>
    </x:row>
    <x:row r="398">
      <x:c r="A398" s="107" t="n">
        <x:v>397</x:v>
      </x:c>
      <x:c r="B398" s="128" t="n">
        <x:v>2.6507990223926425</x:v>
      </x:c>
      <x:c r="C398" s="128" t="n">
        <x:f>LN(B398)</x:f>
        <x:v>0.9748611124347649</x:v>
      </x:c>
      <x:c r="D398" s="128" t="n">
        <x:f>'Итоги'!$B$8*AVERAGE($C$2:C398)</x:f>
        <x:v>1.2919180605948795</x:v>
      </x:c>
      <x:c r="E398" s="128" t="n">
        <x:f>'Итоги'!$B$9</x:f>
        <x:v>1.2958368660043291</x:v>
      </x:c>
      <x:c r="F398" s="129" t="n">
        <x:f>ABS(D398-E398)</x:f>
        <x:v>0.003918805409449666</x:v>
      </x:c>
    </x:row>
    <x:row r="399">
      <x:c r="A399" s="107" t="n">
        <x:v>398</x:v>
      </x:c>
      <x:c r="B399" s="128" t="n">
        <x:v>1.5907180506881797</x:v>
      </x:c>
      <x:c r="C399" s="128" t="n">
        <x:f>LN(B399)</x:f>
        <x:v>0.4641855184960535</x:v>
      </x:c>
      <x:c r="D399" s="128" t="n">
        <x:f>'Итоги'!$B$8*AVERAGE($C$2:C399)</x:f>
        <x:v>1.291004625862209</x:v>
      </x:c>
      <x:c r="E399" s="128" t="n">
        <x:f>'Итоги'!$B$9</x:f>
        <x:v>1.2958368660043291</x:v>
      </x:c>
      <x:c r="F399" s="129" t="n">
        <x:f>ABS(D399-E399)</x:f>
        <x:v>0.004832240142120137</x:v>
      </x:c>
    </x:row>
    <x:row r="400">
      <x:c r="A400" s="107" t="n">
        <x:v>399</x:v>
      </x:c>
      <x:c r="B400" s="128" t="n">
        <x:v>1.9170961635971022</x:v>
      </x:c>
      <x:c r="C400" s="128" t="n">
        <x:f>LN(B400)</x:f>
        <x:v>0.6508116263927862</x:v>
      </x:c>
      <x:c r="D400" s="128" t="n">
        <x:f>'Итоги'!$B$8*AVERAGE($C$2:C400)</x:f>
        <x:v>1.2910312389622676</x:v>
      </x:c>
      <x:c r="E400" s="128" t="n">
        <x:f>'Итоги'!$B$9</x:f>
        <x:v>1.2958368660043291</x:v>
      </x:c>
      <x:c r="F400" s="129" t="n">
        <x:f>ABS(D400-E400)</x:f>
        <x:v>0.0048056270420615554</x:v>
      </x:c>
    </x:row>
    <x:row r="401">
      <x:c r="A401" s="107" t="n">
        <x:v>400</x:v>
      </x:c>
      <x:c r="B401" s="128" t="n">
        <x:v>1.8846282541357864</x:v>
      </x:c>
      <x:c r="C401" s="128" t="n">
        <x:f>LN(B401)</x:f>
        <x:v>0.63373058879094</x:v>
      </x:c>
      <x:c r="D401" s="128" t="n">
        <x:f>'Итоги'!$B$8*AVERAGE($C$2:C401)</x:f>
        <x:v>1.2909723138088167</x:v>
      </x:c>
      <x:c r="E401" s="128" t="n">
        <x:f>'Итоги'!$B$9</x:f>
        <x:v>1.2958368660043291</x:v>
      </x:c>
      <x:c r="F401" s="129" t="n">
        <x:f>ABS(D401-E401)</x:f>
        <x:v>0.004864552195512406</x:v>
      </x:c>
    </x:row>
    <x:row r="402">
      <x:c r="A402" s="107" t="n">
        <x:v>401</x:v>
      </x:c>
      <x:c r="B402" s="128" t="n">
        <x:v>1.6038547828849832</x:v>
      </x:c>
      <x:c r="C402" s="128" t="n">
        <x:f>LN(B402)</x:f>
        <x:v>0.47240997098485704</x:v>
      </x:c>
      <x:c r="D402" s="128" t="n">
        <x:f>'Итоги'!$B$8*AVERAGE($C$2:C402)</x:f>
        <x:v>1.2901090909364001</x:v>
      </x:c>
      <x:c r="E402" s="128" t="n">
        <x:f>'Итоги'!$B$9</x:f>
        <x:v>1.2958368660043291</x:v>
      </x:c>
      <x:c r="F402" s="129" t="n">
        <x:f>ABS(D402-E402)</x:f>
        <x:v>0.005727775067928986</x:v>
      </x:c>
    </x:row>
    <x:row r="403">
      <x:c r="A403" s="107" t="n">
        <x:v>402</x:v>
      </x:c>
      <x:c r="B403" s="128" t="n">
        <x:v>2.8368837910311084</x:v>
      </x:c>
      <x:c r="C403" s="128" t="n">
        <x:f>LN(B403)</x:f>
        <x:v>1.0427061930670993</x:v>
      </x:c>
      <x:c r="D403" s="128" t="n">
        <x:f>'Итоги'!$B$8*AVERAGE($C$2:C403)</x:f>
        <x:v>1.2920874573423649</x:v>
      </x:c>
      <x:c r="E403" s="128" t="n">
        <x:f>'Итоги'!$B$9</x:f>
        <x:v>1.2958368660043291</x:v>
      </x:c>
      <x:c r="F403" s="129" t="n">
        <x:f>ABS(D403-E403)</x:f>
        <x:v>0.003749408661964271</x:v>
      </x:c>
    </x:row>
    <x:row r="404">
      <x:c r="A404" s="107" t="n">
        <x:v>403</x:v>
      </x:c>
      <x:c r="B404" s="128" t="n">
        <x:v>2.5625880708630318</x:v>
      </x:c>
      <x:c r="C404" s="128" t="n">
        <x:f>LN(B404)</x:f>
        <x:v>0.9410177129912026</x:v>
      </x:c>
      <x:c r="D404" s="128" t="n">
        <x:f>'Итоги'!$B$8*AVERAGE($C$2:C404)</x:f>
        <x:v>1.293551348083407</x:v>
      </x:c>
      <x:c r="E404" s="128" t="n">
        <x:f>'Итоги'!$B$9</x:f>
        <x:v>1.2958368660043291</x:v>
      </x:c>
      <x:c r="F404" s="129" t="n">
        <x:f>ABS(D404-E404)</x:f>
        <x:v>0.00228551792092202</x:v>
      </x:c>
    </x:row>
    <x:row r="405">
      <x:c r="A405" s="107" t="n">
        <x:v>404</x:v>
      </x:c>
      <x:c r="B405" s="128" t="n">
        <x:v>1.221176821992221</x:v>
      </x:c>
      <x:c r="C405" s="128" t="n">
        <x:f>LN(B405)</x:f>
        <x:v>0.1998150019999929</x:v>
      </x:c>
      <x:c r="D405" s="128" t="n">
        <x:f>'Итоги'!$B$8*AVERAGE($C$2:C405)</x:f>
        <x:v>1.291338671489141</x:v>
      </x:c>
      <x:c r="E405" s="128" t="n">
        <x:f>'Итоги'!$B$9</x:f>
        <x:v>1.2958368660043291</x:v>
      </x:c>
      <x:c r="F405" s="129" t="n">
        <x:f>ABS(D405-E405)</x:f>
        <x:v>0.00449819451518807</x:v>
      </x:c>
    </x:row>
    <x:row r="406">
      <x:c r="A406" s="107" t="n">
        <x:v>405</x:v>
      </x:c>
      <x:c r="B406" s="128" t="n">
        <x:v>2.994069315675146</x:v>
      </x:c>
      <x:c r="C406" s="128" t="n">
        <x:f>LN(B406)</x:f>
        <x:v>1.096633437257549</x:v>
      </x:c>
      <x:c r="D406" s="128" t="n">
        <x:f>'Итоги'!$B$8*AVERAGE($C$2:C406)</x:f>
        <x:v>1.293565654706489</x:v>
      </x:c>
      <x:c r="E406" s="128" t="n">
        <x:f>'Итоги'!$B$9</x:f>
        <x:v>1.2958368660043291</x:v>
      </x:c>
      <x:c r="F406" s="129" t="n">
        <x:f>ABS(D406-E406)</x:f>
        <x:v>0.0022712112978400256</x:v>
      </x:c>
    </x:row>
    <x:row r="407">
      <x:c r="A407" s="107" t="n">
        <x:v>406</x:v>
      </x:c>
      <x:c r="B407" s="128" t="n">
        <x:v>2.7584000486154903</x:v>
      </x:c>
      <x:c r="C407" s="128" t="n">
        <x:f>LN(B407)</x:f>
        <x:v>1.014650819111762</x:v>
      </x:c>
      <x:c r="D407" s="128" t="n">
        <x:f>'Итоги'!$B$8*AVERAGE($C$2:C407)</x:f>
        <x:v>1.2953778123013586</x:v>
      </x:c>
      <x:c r="E407" s="128" t="n">
        <x:f>'Итоги'!$B$9</x:f>
        <x:v>1.2958368660043291</x:v>
      </x:c>
      <x:c r="F407" s="129" t="n">
        <x:f>ABS(D407-E407)</x:f>
        <x:v>0.0004590537029705022</x:v>
      </x:c>
    </x:row>
    <x:row r="408">
      <x:c r="A408" s="107" t="n">
        <x:v>407</x:v>
      </x:c>
      <x:c r="B408" s="128" t="n">
        <x:v>1.567816875728078</x:v>
      </x:c>
      <x:c r="C408" s="128" t="n">
        <x:f>LN(B408)</x:f>
        <x:v>0.44968412666918955</x:v>
      </x:c>
      <x:c r="D408" s="128" t="n">
        <x:f>'Итоги'!$B$8*AVERAGE($C$2:C408)</x:f>
        <x:v>1.29440481584199</x:v>
      </x:c>
      <x:c r="E408" s="128" t="n">
        <x:f>'Итоги'!$B$9</x:f>
        <x:v>1.2958368660043291</x:v>
      </x:c>
      <x:c r="F408" s="129" t="n">
        <x:f>ABS(D408-E408)</x:f>
        <x:v>0.0014320501623390491</x:v>
      </x:c>
    </x:row>
    <x:row r="409">
      <x:c r="A409" s="107" t="n">
        <x:v>408</x:v>
      </x:c>
      <x:c r="B409" s="128" t="n">
        <x:v>2.6737931593218764</x:v>
      </x:c>
      <x:c r="C409" s="128" t="n">
        <x:f>LN(B409)</x:f>
        <x:v>0.9834981231530643</x:v>
      </x:c>
      <x:c r="D409" s="128" t="n">
        <x:f>'Итоги'!$B$8*AVERAGE($C$2:C409)</x:f>
        <x:v>1.2960533242499905</x:v>
      </x:c>
      <x:c r="E409" s="128" t="n">
        <x:f>'Итоги'!$B$9</x:f>
        <x:v>1.2958368660043291</x:v>
      </x:c>
      <x:c r="F409" s="129" t="n">
        <x:f>ABS(D409-E409)</x:f>
        <x:v>0.0002164582456614106</x:v>
      </x:c>
    </x:row>
    <x:row r="410">
      <x:c r="A410" s="107" t="n">
        <x:v>409</x:v>
      </x:c>
      <x:c r="B410" s="128" t="n">
        <x:v>1.2128390637427657</x:v>
      </x:c>
      <x:c r="C410" s="128" t="n">
        <x:f>LN(B410)</x:f>
        <x:v>0.1929639449376872</x:v>
      </x:c>
      <x:c r="D410" s="128" t="n">
        <x:f>'Итоги'!$B$8*AVERAGE($C$2:C410)</x:f>
        <x:v>1.2938280786891723</x:v>
      </x:c>
      <x:c r="E410" s="128" t="n">
        <x:f>'Итоги'!$B$9</x:f>
        <x:v>1.2958368660043291</x:v>
      </x:c>
      <x:c r="F410" s="129" t="n">
        <x:f>ABS(D410-E410)</x:f>
        <x:v>0.002008787315156857</x:v>
      </x:c>
    </x:row>
    <x:row r="411">
      <x:c r="A411" s="107" t="n">
        <x:v>410</x:v>
      </x:c>
      <x:c r="B411" s="128" t="n">
        <x:v>2.9982094609484773</x:v>
      </x:c>
      <x:c r="C411" s="128" t="n">
        <x:f>LN(B411)</x:f>
        <x:v>1.0980152641339167</x:v>
      </x:c>
      <x:c r="D411" s="128" t="n">
        <x:f>'Итоги'!$B$8*AVERAGE($C$2:C411)</x:f>
        <x:v>1.2960285724686322</x:v>
      </x:c>
      <x:c r="E411" s="128" t="n">
        <x:f>'Итоги'!$B$9</x:f>
        <x:v>1.2958368660043291</x:v>
      </x:c>
      <x:c r="F411" s="129" t="n">
        <x:f>ABS(D411-E411)</x:f>
        <x:v>0.00019170646430310967</x:v>
      </x:c>
    </x:row>
    <x:row r="412">
      <x:c r="A412" s="107" t="n">
        <x:v>411</x:v>
      </x:c>
      <x:c r="B412" s="128" t="n">
        <x:v>2.3313694722130736</x:v>
      </x:c>
      <x:c r="C412" s="128" t="n">
        <x:f>LN(B412)</x:f>
        <x:v>0.8464558512311421</x:v>
      </x:c>
      <x:c r="D412" s="128" t="n">
        <x:f>'Итоги'!$B$8*AVERAGE($C$2:C412)</x:f>
        <x:v>1.296994224853045</x:v>
      </x:c>
      <x:c r="E412" s="128" t="n">
        <x:f>'Итоги'!$B$9</x:f>
        <x:v>1.2958368660043291</x:v>
      </x:c>
      <x:c r="F412" s="129" t="n">
        <x:f>ABS(D412-E412)</x:f>
        <x:v>0.001157358848715928</x:v>
      </x:c>
    </x:row>
    <x:row r="413">
      <x:c r="A413" s="107" t="n">
        <x:v>412</x:v>
      </x:c>
      <x:c r="B413" s="128" t="n">
        <x:v>2.300250031117594</x:v>
      </x:c>
      <x:c r="C413" s="128" t="n">
        <x:f>LN(B413)</x:f>
        <x:v>0.8330178262082517</x:v>
      </x:c>
      <x:c r="D413" s="128" t="n">
        <x:f>'Итоги'!$B$8*AVERAGE($C$2:C413)</x:f>
        <x:v>1.2978899564733448</x:v>
      </x:c>
      <x:c r="E413" s="128" t="n">
        <x:f>'Итоги'!$B$9</x:f>
        <x:v>1.2958368660043291</x:v>
      </x:c>
      <x:c r="F413" s="129" t="n">
        <x:f>ABS(D413-E413)</x:f>
        <x:v>0.002053090469015695</x:v>
      </x:c>
    </x:row>
    <x:row r="414">
      <x:c r="A414" s="107" t="n">
        <x:v>413</x:v>
      </x:c>
      <x:c r="B414" s="128" t="n">
        <x:v>1.1808814539682655</x:v>
      </x:c>
      <x:c r="C414" s="128" t="n">
        <x:f>LN(B414)</x:f>
        <x:v>0.16626115450411597</x:v>
      </x:c>
      <x:c r="D414" s="128" t="n">
        <x:f>'Итоги'!$B$8*AVERAGE($C$2:C414)</x:f>
        <x:v>1.2955525045424368</x:v>
      </x:c>
      <x:c r="E414" s="128" t="n">
        <x:f>'Итоги'!$B$9</x:f>
        <x:v>1.2958368660043291</x:v>
      </x:c>
      <x:c r="F414" s="129" t="n">
        <x:f>ABS(D414-E414)</x:f>
        <x:v>0.00028436146189236844</x:v>
      </x:c>
    </x:row>
    <x:row r="415">
      <x:c r="A415" s="107" t="n">
        <x:v>414</x:v>
      </x:c>
      <x:c r="B415" s="128" t="n">
        <x:v>2.7940667977932505</x:v>
      </x:c>
      <x:c r="C415" s="128" t="n">
        <x:f>LN(B415)</x:f>
        <x:v>1.0274981681342605</x:v>
      </x:c>
      <x:c r="D415" s="128" t="n">
        <x:f>'Итоги'!$B$8*AVERAGE($C$2:C415)</x:f>
        <x:v>1.2973869099330795</x:v>
      </x:c>
      <x:c r="E415" s="128" t="n">
        <x:f>'Итоги'!$B$9</x:f>
        <x:v>1.2958368660043291</x:v>
      </x:c>
      <x:c r="F415" s="129" t="n">
        <x:f>ABS(D415-E415)</x:f>
        <x:v>0.0015500439287503553</x:v>
      </x:c>
    </x:row>
    <x:row r="416">
      <x:c r="A416" s="107" t="n">
        <x:v>415</x:v>
      </x:c>
      <x:c r="B416" s="128" t="n">
        <x:v>1.0579990064089388</x:v>
      </x:c>
      <x:c r="C416" s="128" t="n">
        <x:f>LN(B416)</x:f>
        <x:v>0.0563793943136807</x:v>
      </x:c>
      <x:c r="D416" s="128" t="n">
        <x:f>'Итоги'!$B$8*AVERAGE($C$2:C416)</x:f>
        <x:v>1.2945323843395717</x:v>
      </x:c>
      <x:c r="E416" s="128" t="n">
        <x:f>'Итоги'!$B$9</x:f>
        <x:v>1.2958368660043291</x:v>
      </x:c>
      <x:c r="F416" s="129" t="n">
        <x:f>ABS(D416-E416)</x:f>
        <x:v>0.0013044816647573843</x:v>
      </x:c>
    </x:row>
    <x:row r="417">
      <x:c r="A417" s="107" t="n">
        <x:v>416</x:v>
      </x:c>
      <x:c r="B417" s="128" t="n">
        <x:v>1.481656116082294</x:v>
      </x:c>
      <x:c r="C417" s="128" t="n">
        <x:f>LN(B417)</x:f>
        <x:v>0.39316045951804834</x:v>
      </x:c>
      <x:c r="D417" s="128" t="n">
        <x:f>'Итоги'!$B$8*AVERAGE($C$2:C417)</x:f>
        <x:v>1.2933107221633617</x:v>
      </x:c>
      <x:c r="E417" s="128" t="n">
        <x:f>'Итоги'!$B$9</x:f>
        <x:v>1.2958368660043291</x:v>
      </x:c>
      <x:c r="F417" s="129" t="n">
        <x:f>ABS(D417-E417)</x:f>
        <x:v>0.0025261438409673875</x:v>
      </x:c>
    </x:row>
    <x:row r="418">
      <x:c r="A418" s="107" t="n">
        <x:v>417</x:v>
      </x:c>
      <x:c r="B418" s="128" t="n">
        <x:v>1.28604375033327</x:v>
      </x:c>
      <x:c r="C418" s="128" t="n">
        <x:f>LN(B418)</x:f>
        <x:v>0.25157064571362614</x:v>
      </x:c>
      <x:c r="D418" s="128" t="n">
        <x:f>'Итоги'!$B$8*AVERAGE($C$2:C418)</x:f>
        <x:v>1.291415831442172</x:v>
      </x:c>
      <x:c r="E418" s="128" t="n">
        <x:f>'Итоги'!$B$9</x:f>
        <x:v>1.2958368660043291</x:v>
      </x:c>
      <x:c r="F418" s="129" t="n">
        <x:f>ABS(D418-E418)</x:f>
        <x:v>0.0044210345621571445</x:v>
      </x:c>
    </x:row>
    <x:row r="419">
      <x:c r="A419" s="107" t="n">
        <x:v>418</x:v>
      </x:c>
      <x:c r="B419" s="128" t="n">
        <x:v>2.553535881384437</x:v>
      </x:c>
      <x:c r="C419" s="128" t="n">
        <x:f>LN(B419)</x:f>
        <x:v>0.9374790188511419</x:v>
      </x:c>
      <x:c r="D419" s="128" t="n">
        <x:f>'Итоги'!$B$8*AVERAGE($C$2:C419)</x:f>
        <x:v>1.2928118654284402</x:v>
      </x:c>
      <x:c r="E419" s="128" t="n">
        <x:f>'Итоги'!$B$9</x:f>
        <x:v>1.2958368660043291</x:v>
      </x:c>
      <x:c r="F419" s="129" t="n">
        <x:f>ABS(D419-E419)</x:f>
        <x:v>0.0030250005758889476</x:v>
      </x:c>
    </x:row>
    <x:row r="420">
      <x:c r="A420" s="107" t="n">
        <x:v>419</x:v>
      </x:c>
      <x:c r="B420" s="128" t="n">
        <x:v>1.3964084544257958</x:v>
      </x:c>
      <x:c r="C420" s="128" t="n">
        <x:f>LN(B420)</x:f>
        <x:v>0.3339035506745549</x:v>
      </x:c>
      <x:c r="D420" s="128" t="n">
        <x:f>'Итоги'!$B$8*AVERAGE($C$2:C420)</x:f>
        <x:v>1.2913202072802796</x:v>
      </x:c>
      <x:c r="E420" s="128" t="n">
        <x:f>'Итоги'!$B$9</x:f>
        <x:v>1.2958368660043291</x:v>
      </x:c>
      <x:c r="F420" s="129" t="n">
        <x:f>ABS(D420-E420)</x:f>
        <x:v>0.004516658724049494</x:v>
      </x:c>
    </x:row>
    <x:row r="421">
      <x:c r="A421" s="107" t="n">
        <x:v>420</x:v>
      </x:c>
      <x:c r="B421" s="128" t="n">
        <x:v>2.8212764542617705</x:v>
      </x:c>
      <x:c r="C421" s="128" t="n">
        <x:f>LN(B421)</x:f>
        <x:v>1.0371894258931593</x:v>
      </x:c>
      <x:c r="D421" s="128" t="n">
        <x:f>'Итоги'!$B$8*AVERAGE($C$2:C421)</x:f>
        <x:v>1.2931846326243415</x:v>
      </x:c>
      <x:c r="E421" s="128" t="n">
        <x:f>'Итоги'!$B$9</x:f>
        <x:v>1.2958368660043291</x:v>
      </x:c>
      <x:c r="F421" s="129" t="n">
        <x:f>ABS(D421-E421)</x:f>
        <x:v>0.0026522333799876563</x:v>
      </x:c>
    </x:row>
    <x:row r="422">
      <x:c r="A422" s="107" t="n">
        <x:v>421</x:v>
      </x:c>
      <x:c r="B422" s="128" t="n">
        <x:v>2.3125380786549803</x:v>
      </x:c>
      <x:c r="C422" s="128" t="n">
        <x:f>LN(B422)</x:f>
        <x:v>0.8383456567142696</x:v>
      </x:c>
      <x:c r="D422" s="128" t="n">
        <x:f>'Итоги'!$B$8*AVERAGE($C$2:C422)</x:f>
        <x:v>1.2940955748590308</x:v>
      </x:c>
      <x:c r="E422" s="128" t="n">
        <x:f>'Итоги'!$B$9</x:f>
        <x:v>1.2958368660043291</x:v>
      </x:c>
      <x:c r="F422" s="129" t="n">
        <x:f>ABS(D422-E422)</x:f>
        <x:v>0.001741291145298307</x:v>
      </x:c>
    </x:row>
    <x:row r="423">
      <x:c r="A423" s="107" t="n">
        <x:v>422</x:v>
      </x:c>
      <x:c r="B423" s="128" t="n">
        <x:v>1.0723254209893924</x:v>
      </x:c>
      <x:c r="C423" s="128" t="n">
        <x:f>LN(B423)</x:f>
        <x:v>0.06982958093805021</x:v>
      </x:c>
      <x:c r="D423" s="128" t="n">
        <x:f>'Итоги'!$B$8*AVERAGE($C$2:C423)</x:f>
        <x:v>1.291359943548645</x:v>
      </x:c>
      <x:c r="E423" s="128" t="n">
        <x:f>'Итоги'!$B$9</x:f>
        <x:v>1.2958368660043291</x:v>
      </x:c>
      <x:c r="F423" s="129" t="n">
        <x:f>ABS(D423-E423)</x:f>
        <x:v>0.004476922455684207</x:v>
      </x:c>
    </x:row>
    <x:row r="424">
      <x:c r="A424" s="107" t="n">
        <x:v>423</x:v>
      </x:c>
      <x:c r="B424" s="128" t="n">
        <x:v>1.010859668257401</x:v>
      </x:c>
      <x:c r="C424" s="128" t="n">
        <x:f>LN(B424)</x:f>
        <x:v>0.010801125515222214</x:v>
      </x:c>
      <x:c r="D424" s="128" t="n">
        <x:f>'Итоги'!$B$8*AVERAGE($C$2:C424)</x:f>
        <x:v>1.2883581523133774</x:v>
      </x:c>
      <x:c r="E424" s="128" t="n">
        <x:f>'Итоги'!$B$9</x:f>
        <x:v>1.2958368660043291</x:v>
      </x:c>
      <x:c r="F424" s="129" t="n">
        <x:f>ABS(D424-E424)</x:f>
        <x:v>0.007478713690951766</x:v>
      </x:c>
    </x:row>
    <x:row r="425">
      <x:c r="A425" s="107" t="n">
        <x:v>424</x:v>
      </x:c>
      <x:c r="B425" s="128" t="n">
        <x:v>1.1033158340287978</x:v>
      </x:c>
      <x:c r="C425" s="128" t="n">
        <x:f>LN(B425)</x:f>
        <x:v>0.09832004019822446</x:v>
      </x:c>
      <x:c r="D425" s="128" t="n">
        <x:f>'Итоги'!$B$8*AVERAGE($C$2:C425)</x:f>
        <x:v>1.2857833455399883</x:v>
      </x:c>
      <x:c r="E425" s="128" t="n">
        <x:f>'Итоги'!$B$9</x:f>
        <x:v>1.2958368660043291</x:v>
      </x:c>
      <x:c r="F425" s="129" t="n">
        <x:f>ABS(D425-E425)</x:f>
        <x:v>0.010053520464340826</x:v>
      </x:c>
    </x:row>
    <x:row r="426">
      <x:c r="A426" s="107" t="n">
        <x:v>425</x:v>
      </x:c>
      <x:c r="B426" s="128" t="n">
        <x:v>2.2118503552954554</x:v>
      </x:c>
      <x:c r="C426" s="128" t="n">
        <x:f>LN(B426)</x:f>
        <x:v>0.7938294300585498</x:v>
      </x:c>
      <x:c r="D426" s="128" t="n">
        <x:f>'Итоги'!$B$8*AVERAGE($C$2:C426)</x:f>
        <x:v>1.2864936408684051</x:v>
      </x:c>
      <x:c r="E426" s="128" t="n">
        <x:f>'Итоги'!$B$9</x:f>
        <x:v>1.2958368660043291</x:v>
      </x:c>
      <x:c r="F426" s="129" t="n">
        <x:f>ABS(D426-E426)</x:f>
        <x:v>0.009343225135924005</x:v>
      </x:c>
    </x:row>
    <x:row r="427">
      <x:c r="A427" s="107" t="n">
        <x:v>426</x:v>
      </x:c>
      <x:c r="B427" s="128" t="n">
        <x:v>2.6029636217188306</x:v>
      </x:c>
      <x:c r="C427" s="128" t="n">
        <x:f>LN(B427)</x:f>
        <x:v>0.9566506503937674</x:v>
      </x:c>
      <x:c r="D427" s="128" t="n">
        <x:f>'Итоги'!$B$8*AVERAGE($C$2:C427)</x:f>
        <x:v>1.2879650203517834</x:v>
      </x:c>
      <x:c r="E427" s="128" t="n">
        <x:f>'Итоги'!$B$9</x:f>
        <x:v>1.2958368660043291</x:v>
      </x:c>
      <x:c r="F427" s="129" t="n">
        <x:f>ABS(D427-E427)</x:f>
        <x:v>0.007871845652545728</x:v>
      </x:c>
    </x:row>
    <x:row r="428">
      <x:c r="A428" s="107" t="n">
        <x:v>427</x:v>
      </x:c>
      <x:c r="B428" s="128" t="n">
        <x:v>1.477105641254777</x:v>
      </x:c>
      <x:c r="C428" s="128" t="n">
        <x:f>LN(B428)</x:f>
        <x:v>0.39008452519921133</x:v>
      </x:c>
      <x:c r="D428" s="128" t="n">
        <x:f>'Итоги'!$B$8*AVERAGE($C$2:C428)</x:f>
        <x:v>1.2867758026235554</x:v>
      </x:c>
      <x:c r="E428" s="128" t="n">
        <x:f>'Итоги'!$B$9</x:f>
        <x:v>1.2958368660043291</x:v>
      </x:c>
      <x:c r="F428" s="129" t="n">
        <x:f>ABS(D428-E428)</x:f>
        <x:v>0.009061063380773726</x:v>
      </x:c>
    </x:row>
    <x:row r="429">
      <x:c r="A429" s="107" t="n">
        <x:v>428</x:v>
      </x:c>
      <x:c r="B429" s="128" t="n">
        <x:v>2.698817685846146</x:v>
      </x:c>
      <x:c r="C429" s="128" t="n">
        <x:f>LN(B429)</x:f>
        <x:v>0.9928137829755933</x:v>
      </x:c>
      <x:c r="D429" s="128" t="n">
        <x:f>'Итоги'!$B$8*AVERAGE($C$2:C429)</x:f>
        <x:v>1.2884086338462835</x:v>
      </x:c>
      <x:c r="E429" s="128" t="n">
        <x:f>'Итоги'!$B$9</x:f>
        <x:v>1.2958368660043291</x:v>
      </x:c>
      <x:c r="F429" s="129" t="n">
        <x:f>ABS(D429-E429)</x:f>
        <x:v>0.007428232158045667</x:v>
      </x:c>
    </x:row>
    <x:row r="430">
      <x:c r="A430" s="107" t="n">
        <x:v>429</x:v>
      </x:c>
      <x:c r="B430" s="128" t="n">
        <x:v>1.1144638803065208</x:v>
      </x:c>
      <x:c r="C430" s="128" t="n">
        <x:f>LN(B430)</x:f>
        <x:v>0.1083734644415512</x:v>
      </x:c>
      <x:c r="D430" s="128" t="n">
        <x:f>'Итоги'!$B$8*AVERAGE($C$2:C430)</x:f>
        <x:v>1.2859105879139685</x:v>
      </x:c>
      <x:c r="E430" s="128" t="n">
        <x:f>'Итоги'!$B$9</x:f>
        <x:v>1.2958368660043291</x:v>
      </x:c>
      <x:c r="F430" s="129" t="n">
        <x:f>ABS(D430-E430)</x:f>
        <x:v>0.009926278090360618</x:v>
      </x:c>
    </x:row>
    <x:row r="431">
      <x:c r="A431" s="107" t="n">
        <x:v>430</x:v>
      </x:c>
      <x:c r="B431" s="128" t="n">
        <x:v>2.6019277072833527</x:v>
      </x:c>
      <x:c r="C431" s="128" t="n">
        <x:f>LN(B431)</x:f>
        <x:v>0.9562525961852639</x:v>
      </x:c>
      <x:c r="D431" s="128" t="n">
        <x:f>'Итоги'!$B$8*AVERAGE($C$2:C431)</x:f>
        <x:v>1.2873677846685185</x:v>
      </x:c>
      <x:c r="E431" s="128" t="n">
        <x:f>'Итоги'!$B$9</x:f>
        <x:v>1.2958368660043291</x:v>
      </x:c>
      <x:c r="F431" s="129" t="n">
        <x:f>ABS(D431-E431)</x:f>
        <x:v>0.008469081335810591</x:v>
      </x:c>
    </x:row>
    <x:row r="432">
      <x:c r="A432" s="107" t="n">
        <x:v>431</x:v>
      </x:c>
      <x:c r="B432" s="128" t="n">
        <x:v>2.8555908603445608</x:v>
      </x:c>
      <x:c r="C432" s="128" t="n">
        <x:f>LN(B432)</x:f>
        <x:v>1.0492787780333146</x:v>
      </x:c>
      <x:c r="D432" s="128" t="n">
        <x:f>'Итоги'!$B$8*AVERAGE($C$2:C432)</x:f>
        <x:v>1.2892498955070295</x:v>
      </x:c>
      <x:c r="E432" s="128" t="n">
        <x:f>'Итоги'!$B$9</x:f>
        <x:v>1.2958368660043291</x:v>
      </x:c>
      <x:c r="F432" s="129" t="n">
        <x:f>ABS(D432-E432)</x:f>
        <x:v>0.006586970497299616</x:v>
      </x:c>
    </x:row>
    <x:row r="433">
      <x:c r="A433" s="107" t="n">
        <x:v>432</x:v>
      </x:c>
      <x:c r="B433" s="128" t="n">
        <x:v>2.544216798208761</x:v>
      </x:c>
      <x:c r="C433" s="128" t="n">
        <x:f>LN(B433)</x:f>
        <x:v>0.9338228612685898</x:v>
      </x:c>
      <x:c r="D433" s="128" t="n">
        <x:f>'Итоги'!$B$8*AVERAGE($C$2:C433)</x:f>
        <x:v>1.2905887747362659</x:v>
      </x:c>
      <x:c r="E433" s="128" t="n">
        <x:f>'Итоги'!$B$9</x:f>
        <x:v>1.2958368660043291</x:v>
      </x:c>
      <x:c r="F433" s="129" t="n">
        <x:f>ABS(D433-E433)</x:f>
        <x:v>0.0052480912680632485</x:v>
      </x:c>
    </x:row>
    <x:row r="434">
      <x:c r="A434" s="107" t="n">
        <x:v>433</x:v>
      </x:c>
      <x:c r="B434" s="128" t="n">
        <x:v>2.3962415679572744</x:v>
      </x:c>
      <x:c r="C434" s="128" t="n">
        <x:f>LN(B434)</x:f>
        <x:v>0.8739014965221883</x:v>
      </x:c>
      <x:c r="D434" s="128" t="n">
        <x:f>'Итоги'!$B$8*AVERAGE($C$2:C434)</x:f>
        <x:v>1.2916446967185018</x:v>
      </x:c>
      <x:c r="E434" s="128" t="n">
        <x:f>'Итоги'!$B$9</x:f>
        <x:v>1.2958368660043291</x:v>
      </x:c>
      <x:c r="F434" s="129" t="n">
        <x:f>ABS(D434-E434)</x:f>
        <x:v>0.00419216928582733</x:v>
      </x:c>
    </x:row>
    <x:row r="435">
      <x:c r="A435" s="107" t="n">
        <x:v>434</x:v>
      </x:c>
      <x:c r="B435" s="128" t="n">
        <x:v>2.675960437310766</x:v>
      </x:c>
      <x:c r="C435" s="128" t="n">
        <x:f>LN(B435)</x:f>
        <x:v>0.9843083578931534</x:v>
      </x:c>
      <x:c r="D435" s="128" t="n">
        <x:f>'Итоги'!$B$8*AVERAGE($C$2:C435)</x:f>
        <x:v>1.293204540080409</x:v>
      </x:c>
      <x:c r="E435" s="128" t="n">
        <x:f>'Итоги'!$B$9</x:f>
        <x:v>1.2958368660043291</x:v>
      </x:c>
      <x:c r="F435" s="129" t="n">
        <x:f>ABS(D435-E435)</x:f>
        <x:v>0.0026323259239200425</x:v>
      </x:c>
    </x:row>
    <x:row r="436">
      <x:c r="A436" s="107" t="n">
        <x:v>435</x:v>
      </x:c>
      <x:c r="B436" s="128" t="n">
        <x:v>1.0803025990941328</x:v>
      </x:c>
      <x:c r="C436" s="128" t="n">
        <x:f>LN(B436)</x:f>
        <x:v>0.07724118623824389</x:v>
      </x:c>
      <x:c r="D436" s="128" t="n">
        <x:f>'Итоги'!$B$8*AVERAGE($C$2:C436)</x:f>
        <x:v>1.290586787970975</x:v>
      </x:c>
      <x:c r="E436" s="128" t="n">
        <x:f>'Итоги'!$B$9</x:f>
        <x:v>1.2958368660043291</x:v>
      </x:c>
      <x:c r="F436" s="129" t="n">
        <x:f>ABS(D436-E436)</x:f>
        <x:v>0.0052500780333542</x:v>
      </x:c>
    </x:row>
    <x:row r="437">
      <x:c r="A437" s="107" t="n">
        <x:v>436</x:v>
      </x:c>
      <x:c r="B437" s="128" t="n">
        <x:v>1.4035642214381108</x:v>
      </x:c>
      <x:c r="C437" s="128" t="n">
        <x:f>LN(B437)</x:f>
        <x:v>0.3390148738335738</x:v>
      </x:c>
      <x:c r="D437" s="128" t="n">
        <x:f>'Итоги'!$B$8*AVERAGE($C$2:C437)</x:f>
        <x:v>1.2891818406308284</x:v>
      </x:c>
      <x:c r="E437" s="128" t="n">
        <x:f>'Итоги'!$B$9</x:f>
        <x:v>1.2958368660043291</x:v>
      </x:c>
      <x:c r="F437" s="129" t="n">
        <x:f>ABS(D437-E437)</x:f>
        <x:v>0.0066550253735007114</x:v>
      </x:c>
    </x:row>
    <x:row r="438">
      <x:c r="A438" s="107" t="n">
        <x:v>437</x:v>
      </x:c>
      <x:c r="B438" s="128" t="n">
        <x:v>1.2498473586112862</x:v>
      </x:c>
      <x:c r="C438" s="128" t="n">
        <x:f>LN(B438)</x:f>
        <x:v>0.2230214307468257</x:v>
      </x:c>
      <x:c r="D438" s="128" t="n">
        <x:f>'Итоги'!$B$8*AVERAGE($C$2:C438)</x:f>
        <x:v>1.2872524608158693</x:v>
      </x:c>
      <x:c r="E438" s="128" t="n">
        <x:f>'Итоги'!$B$9</x:f>
        <x:v>1.2958368660043291</x:v>
      </x:c>
      <x:c r="F438" s="129" t="n">
        <x:f>ABS(D438-E438)</x:f>
        <x:v>0.00858440518845982</x:v>
      </x:c>
    </x:row>
    <x:row r="439">
      <x:c r="A439" s="107" t="n">
        <x:v>438</x:v>
      </x:c>
      <x:c r="B439" s="128" t="n">
        <x:v>2.0090619803859733</x:v>
      </x:c>
      <x:c r="C439" s="128" t="n">
        <x:f>LN(B439)</x:f>
        <x:v>0.6976679367187621</x:v>
      </x:c>
      <x:c r="D439" s="128" t="n">
        <x:f>'Итоги'!$B$8*AVERAGE($C$2:C439)</x:f>
        <x:v>1.2874992265981104</x:v>
      </x:c>
      <x:c r="E439" s="128" t="n">
        <x:f>'Итоги'!$B$9</x:f>
        <x:v>1.2958368660043291</x:v>
      </x:c>
      <x:c r="F439" s="129" t="n">
        <x:f>ABS(D439-E439)</x:f>
        <x:v>0.008337639406218678</x:v>
      </x:c>
    </x:row>
    <x:row r="440">
      <x:c r="A440" s="107" t="n">
        <x:v>439</x:v>
      </x:c>
      <x:c r="B440" s="128" t="n">
        <x:v>2.4903762566576892</x:v>
      </x:c>
      <x:c r="C440" s="128" t="n">
        <x:f>LN(B440)</x:f>
        <x:v>0.9124338061525311</x:v>
      </x:c>
      <x:c r="D440" s="128" t="n">
        <x:f>'Итоги'!$B$8*AVERAGE($C$2:C440)</x:f>
        <x:v>1.2887233003696525</x:v>
      </x:c>
      <x:c r="E440" s="128" t="n">
        <x:f>'Итоги'!$B$9</x:f>
        <x:v>1.2958368660043291</x:v>
      </x:c>
      <x:c r="F440" s="129" t="n">
        <x:f>ABS(D440-E440)</x:f>
        <x:v>0.007113565634676577</x:v>
      </x:c>
    </x:row>
    <x:row r="441">
      <x:c r="A441" s="107" t="n">
        <x:v>440</x:v>
      </x:c>
      <x:c r="B441" s="128" t="n">
        <x:v>2.2600236891527974</x:v>
      </x:c>
      <x:c r="C441" s="128" t="n">
        <x:f>LN(B441)</x:f>
        <x:v>0.8153752951552761</x:v>
      </x:c>
      <x:c r="D441" s="128" t="n">
        <x:f>'Итоги'!$B$8*AVERAGE($C$2:C441)</x:f>
        <x:v>1.2895006351195182</x:v>
      </x:c>
      <x:c r="E441" s="128" t="n">
        <x:f>'Итоги'!$B$9</x:f>
        <x:v>1.2958368660043291</x:v>
      </x:c>
      <x:c r="F441" s="129" t="n">
        <x:f>ABS(D441-E441)</x:f>
        <x:v>0.006336230884810945</x:v>
      </x:c>
    </x:row>
    <x:row r="442">
      <x:c r="A442" s="107" t="n">
        <x:v>441</x:v>
      </x:c>
      <x:c r="B442" s="128" t="n">
        <x:v>2.70226219952387</x:v>
      </x:c>
      <x:c r="C442" s="128" t="n">
        <x:f>LN(B442)</x:f>
        <x:v>0.9940892738840086</x:v>
      </x:c>
      <x:c r="D442" s="128" t="n">
        <x:f>'Итоги'!$B$8*AVERAGE($C$2:C442)</x:f>
        <x:v>1.2910849387763175</x:v>
      </x:c>
      <x:c r="E442" s="128" t="n">
        <x:f>'Итоги'!$B$9</x:f>
        <x:v>1.2958368660043291</x:v>
      </x:c>
      <x:c r="F442" s="129" t="n">
        <x:f>ABS(D442-E442)</x:f>
        <x:v>0.004751927228011654</x:v>
      </x:c>
    </x:row>
    <x:row r="443">
      <x:c r="A443" s="107" t="n">
        <x:v>442</x:v>
      </x:c>
      <x:c r="B443" s="128" t="n">
        <x:v>1.3104259848821818</x:v>
      </x:c>
      <x:c r="C443" s="128" t="n">
        <x:f>LN(B443)</x:f>
        <x:v>0.27035226365310605</x:v>
      </x:c>
      <x:c r="D443" s="128" t="n">
        <x:f>'Итоги'!$B$8*AVERAGE($C$2:C443)</x:f>
        <x:v>1.2893872455376971</x:v>
      </x:c>
      <x:c r="E443" s="128" t="n">
        <x:f>'Итоги'!$B$9</x:f>
        <x:v>1.2958368660043291</x:v>
      </x:c>
      <x:c r="F443" s="129" t="n">
        <x:f>ABS(D443-E443)</x:f>
        <x:v>0.006449620466632</x:v>
      </x:c>
    </x:row>
    <x:row r="444">
      <x:c r="A444" s="107" t="n">
        <x:v>443</x:v>
      </x:c>
      <x:c r="B444" s="128" t="n">
        <x:v>2.469242183870323</x:v>
      </x:c>
      <x:c r="C444" s="128" t="n">
        <x:f>LN(B444)</x:f>
        <x:v>0.9039112954149697</x:v>
      </x:c>
      <x:c r="D444" s="128" t="n">
        <x:f>'Итоги'!$B$8*AVERAGE($C$2:C444)</x:f>
        <x:v>1.2905575284841808</x:v>
      </x:c>
      <x:c r="E444" s="128" t="n">
        <x:f>'Итоги'!$B$9</x:f>
        <x:v>1.2958368660043291</x:v>
      </x:c>
      <x:c r="F444" s="129" t="n">
        <x:f>ABS(D444-E444)</x:f>
        <x:v>0.005279337520148308</x:v>
      </x:c>
    </x:row>
    <x:row r="445">
      <x:c r="A445" s="107" t="n">
        <x:v>444</x:v>
      </x:c>
      <x:c r="B445" s="128" t="n">
        <x:v>1.3860829817378082</x:v>
      </x:c>
      <x:c r="C445" s="128" t="n">
        <x:f>LN(B445)</x:f>
        <x:v>0.32648177035919174</x:v>
      </x:c>
      <x:c r="D445" s="128" t="n">
        <x:f>'Итоги'!$B$8*AVERAGE($C$2:C445)</x:f>
        <x:v>1.2891215059892127</x:v>
      </x:c>
      <x:c r="E445" s="128" t="n">
        <x:f>'Итоги'!$B$9</x:f>
        <x:v>1.2958368660043291</x:v>
      </x:c>
      <x:c r="F445" s="129" t="n">
        <x:f>ABS(D445-E445)</x:f>
        <x:v>0.006715360015116412</x:v>
      </x:c>
    </x:row>
    <x:row r="446">
      <x:c r="A446" s="107" t="n">
        <x:v>445</x:v>
      </x:c>
      <x:c r="B446" s="128" t="n">
        <x:v>1.5415175026356005</x:v>
      </x:c>
      <x:c r="C446" s="128" t="n">
        <x:f>LN(B446)</x:f>
        <x:v>0.43276732256802924</x:v>
      </x:c>
      <x:c r="D446" s="128" t="n">
        <x:f>'Итоги'!$B$8*AVERAGE($C$2:C446)</x:f>
        <x:v>1.288169625403026</x:v>
      </x:c>
      <x:c r="E446" s="128" t="n">
        <x:f>'Итоги'!$B$9</x:f>
        <x:v>1.2958368660043291</x:v>
      </x:c>
      <x:c r="F446" s="129" t="n">
        <x:f>ABS(D446-E446)</x:f>
        <x:v>0.0076672406013031935</x:v>
      </x:c>
    </x:row>
    <x:row r="447">
      <x:c r="A447" s="107" t="n">
        <x:v>446</x:v>
      </x:c>
      <x:c r="B447" s="128" t="n">
        <x:v>2.419809394562608</x:v>
      </x:c>
      <x:c r="C447" s="128" t="n">
        <x:f>LN(B447)</x:f>
        <x:v>0.8836887744892256</x:v>
      </x:c>
      <x:c r="D447" s="128" t="n">
        <x:f>'Итоги'!$B$8*AVERAGE($C$2:C447)</x:f>
        <x:v>1.2892440826307734</x:v>
      </x:c>
      <x:c r="E447" s="128" t="n">
        <x:f>'Итоги'!$B$9</x:f>
        <x:v>1.2958368660043291</x:v>
      </x:c>
      <x:c r="F447" s="129" t="n">
        <x:f>ABS(D447-E447)</x:f>
        <x:v>0.006592783373555733</x:v>
      </x:c>
    </x:row>
    <x:row r="448">
      <x:c r="A448" s="107" t="n">
        <x:v>447</x:v>
      </x:c>
      <x:c r="B448" s="128" t="n">
        <x:v>2.9604095697973634</x:v>
      </x:c>
      <x:c r="C448" s="128" t="n">
        <x:f>LN(B448)</x:f>
        <x:v>1.085327626938761</x:v>
      </x:c>
      <x:c r="D448" s="128" t="n">
        <x:f>'Итоги'!$B$8*AVERAGE($C$2:C448)</x:f>
        <x:v>1.2912159197029136</x:v>
      </x:c>
      <x:c r="E448" s="128" t="n">
        <x:f>'Итоги'!$B$9</x:f>
        <x:v>1.2958368660043291</x:v>
      </x:c>
      <x:c r="F448" s="129" t="n">
        <x:f>ABS(D448-E448)</x:f>
        <x:v>0.004620946301415518</x:v>
      </x:c>
    </x:row>
    <x:row r="449">
      <x:c r="A449" s="107" t="n">
        <x:v>448</x:v>
      </x:c>
      <x:c r="B449" s="128" t="n">
        <x:v>2.223087211954139</x:v>
      </x:c>
      <x:c r="C449" s="128" t="n">
        <x:f>LN(B449)</x:f>
        <x:v>0.7988968658608042</x:v>
      </x:c>
      <x:c r="D449" s="128" t="n">
        <x:f>'Итоги'!$B$8*AVERAGE($C$2:C449)</x:f>
        <x:v>1.2919002451761696</x:v>
      </x:c>
      <x:c r="E449" s="128" t="n">
        <x:f>'Итоги'!$B$9</x:f>
        <x:v>1.2958368660043291</x:v>
      </x:c>
      <x:c r="F449" s="129" t="n">
        <x:f>ABS(D449-E449)</x:f>
        <x:v>0.003936620828159487</x:v>
      </x:c>
    </x:row>
    <x:row r="450">
      <x:c r="A450" s="107" t="n">
        <x:v>449</x:v>
      </x:c>
      <x:c r="B450" s="128" t="n">
        <x:v>1.1090006299825912</x:v>
      </x:c>
      <x:c r="C450" s="128" t="n">
        <x:f>LN(B450)</x:f>
        <x:v>0.10345927643172165</x:v>
      </x:c>
      <x:c r="D450" s="128" t="n">
        <x:f>'Итоги'!$B$8*AVERAGE($C$2:C450)</x:f>
        <x:v>1.2894838048814867</x:v>
      </x:c>
      <x:c r="E450" s="128" t="n">
        <x:f>'Итоги'!$B$9</x:f>
        <x:v>1.2958368660043291</x:v>
      </x:c>
      <x:c r="F450" s="129" t="n">
        <x:f>ABS(D450-E450)</x:f>
        <x:v>0.006353061122842396</x:v>
      </x:c>
    </x:row>
    <x:row r="451">
      <x:c r="A451" s="107" t="n">
        <x:v>450</x:v>
      </x:c>
      <x:c r="B451" s="128" t="n">
        <x:v>2.2326179398550656</x:v>
      </x:c>
      <x:c r="C451" s="128" t="n">
        <x:f>LN(B451)</x:f>
        <x:v>0.8031748609756286</x:v>
      </x:c>
      <x:c r="D451" s="128" t="n">
        <x:f>'Итоги'!$B$8*AVERAGE($C$2:C451)</x:f>
        <x:v>1.2901879513638639</x:v>
      </x:c>
      <x:c r="E451" s="128" t="n">
        <x:f>'Итоги'!$B$9</x:f>
        <x:v>1.2958368660043291</x:v>
      </x:c>
      <x:c r="F451" s="129" t="n">
        <x:f>ABS(D451-E451)</x:f>
        <x:v>0.005648914640465241</x:v>
      </x:c>
    </x:row>
    <x:row r="452">
      <x:c r="A452" s="107" t="n">
        <x:v>451</x:v>
      </x:c>
      <x:c r="B452" s="128" t="n">
        <x:v>1.0847011031603342</x:v>
      </x:c>
      <x:c r="C452" s="128" t="n">
        <x:f>LN(B452)</x:f>
        <x:v>0.0813044680823562</x:v>
      </x:c>
      <x:c r="D452" s="128" t="n">
        <x:f>'Итоги'!$B$8*AVERAGE($C$2:C452)</x:f>
        <x:v>1.2876877761638659</x:v>
      </x:c>
      <x:c r="E452" s="128" t="n">
        <x:f>'Итоги'!$B$9</x:f>
        <x:v>1.2958368660043291</x:v>
      </x:c>
      <x:c r="F452" s="129" t="n">
        <x:f>ABS(D452-E452)</x:f>
        <x:v>0.008149089840463253</x:v>
      </x:c>
    </x:row>
    <x:row r="453">
      <x:c r="A453" s="107" t="n">
        <x:v>452</x:v>
      </x:c>
      <x:c r="B453" s="128" t="n">
        <x:v>2.7682914227336344</x:v>
      </x:c>
      <x:c r="C453" s="128" t="n">
        <x:f>LN(B453)</x:f>
        <x:v>1.0182303149930725</x:v>
      </x:c>
      <x:c r="D453" s="128" t="n">
        <x:f>'Итоги'!$B$8*AVERAGE($C$2:C453)</x:f>
        <x:v>1.289344353274092</x:v>
      </x:c>
      <x:c r="E453" s="128" t="n">
        <x:f>'Итоги'!$B$9</x:f>
        <x:v>1.2958368660043291</x:v>
      </x:c>
      <x:c r="F453" s="129" t="n">
        <x:f>ABS(D453-E453)</x:f>
        <x:v>0.006492512730237099</x:v>
      </x:c>
    </x:row>
    <x:row r="454">
      <x:c r="A454" s="107" t="n">
        <x:v>453</x:v>
      </x:c>
      <x:c r="B454" s="128" t="n">
        <x:v>2.4191565702012414</x:v>
      </x:c>
      <x:c r="C454" s="128" t="n">
        <x:f>LN(B454)</x:f>
        <x:v>0.883418954709512</x:v>
      </x:c>
      <x:c r="D454" s="128" t="n">
        <x:f>'Итоги'!$B$8*AVERAGE($C$2:C454)</x:f>
        <x:v>1.290398422934456</x:v>
      </x:c>
      <x:c r="E454" s="128" t="n">
        <x:f>'Итоги'!$B$9</x:f>
        <x:v>1.2958368660043291</x:v>
      </x:c>
      <x:c r="F454" s="129" t="n">
        <x:f>ABS(D454-E454)</x:f>
        <x:v>0.005438443069873067</x:v>
      </x:c>
    </x:row>
    <x:row r="455">
      <x:c r="A455" s="107" t="n">
        <x:v>454</x:v>
      </x:c>
      <x:c r="B455" s="128" t="n">
        <x:v>1.3462556928450065</x:v>
      </x:c>
      <x:c r="C455" s="128" t="n">
        <x:f>LN(B455)</x:f>
        <x:v>0.29732717814804893</x:v>
      </x:c>
      <x:c r="D455" s="128" t="n">
        <x:f>'Итоги'!$B$8*AVERAGE($C$2:C455)</x:f>
        <x:v>1.2888659470167505</x:v>
      </x:c>
      <x:c r="E455" s="128" t="n">
        <x:f>'Итоги'!$B$9</x:f>
        <x:v>1.2958368660043291</x:v>
      </x:c>
      <x:c r="F455" s="129" t="n">
        <x:f>ABS(D455-E455)</x:f>
        <x:v>0.006970918987578623</x:v>
      </x:c>
    </x:row>
    <x:row r="456">
      <x:c r="A456" s="107" t="n">
        <x:v>455</x:v>
      </x:c>
      <x:c r="B456" s="128" t="n">
        <x:v>1.1834420116483961</x:v>
      </x:c>
      <x:c r="C456" s="128" t="n">
        <x:f>LN(B456)</x:f>
        <x:v>0.16842715143173448</x:v>
      </x:c>
      <x:c r="D456" s="128" t="n">
        <x:f>'Итоги'!$B$8*AVERAGE($C$2:C456)</x:f>
        <x:v>1.2867736137328971</x:v>
      </x:c>
      <x:c r="E456" s="128" t="n">
        <x:f>'Итоги'!$B$9</x:f>
        <x:v>1.2958368660043291</x:v>
      </x:c>
      <x:c r="F456" s="129" t="n">
        <x:f>ABS(D456-E456)</x:f>
        <x:v>0.00906325227143201</x:v>
      </x:c>
    </x:row>
    <x:row r="457">
      <x:c r="A457" s="107" t="n">
        <x:v>456</x:v>
      </x:c>
      <x:c r="B457" s="128" t="n">
        <x:v>1.367066457760638</x:v>
      </x:c>
      <x:c r="C457" s="128" t="n">
        <x:f>LN(B457)</x:f>
        <x:v>0.3126671723323338</x:v>
      </x:c>
      <x:c r="D457" s="128" t="n">
        <x:f>'Итоги'!$B$8*AVERAGE($C$2:C457)</x:f>
        <x:v>1.285323089020028</x:v>
      </x:c>
      <x:c r="E457" s="128" t="n">
        <x:f>'Итоги'!$B$9</x:f>
        <x:v>1.2958368660043291</x:v>
      </x:c>
      <x:c r="F457" s="129" t="n">
        <x:f>ABS(D457-E457)</x:f>
        <x:v>0.010513776984301115</x:v>
      </x:c>
    </x:row>
    <x:row r="458">
      <x:c r="A458" s="107" t="n">
        <x:v>457</x:v>
      </x:c>
      <x:c r="B458" s="128" t="n">
        <x:v>2.960054359108385</x:v>
      </x:c>
      <x:c r="C458" s="128" t="n">
        <x:f>LN(B458)</x:f>
        <x:v>1.085207632730986</x:v>
      </x:c>
      <x:c r="D458" s="128" t="n">
        <x:f>'Итоги'!$B$8*AVERAGE($C$2:C458)</x:f>
        <x:v>1.28725983338861</x:v>
      </x:c>
      <x:c r="E458" s="128" t="n">
        <x:f>'Итоги'!$B$9</x:f>
        <x:v>1.2958368660043291</x:v>
      </x:c>
      <x:c r="F458" s="129" t="n">
        <x:f>ABS(D458-E458)</x:f>
        <x:v>0.008577032615719071</x:v>
      </x:c>
    </x:row>
    <x:row r="459">
      <x:c r="A459" s="107" t="n">
        <x:v>458</x:v>
      </x:c>
      <x:c r="B459" s="128" t="n">
        <x:v>1.9171212849169796</x:v>
      </x:c>
      <x:c r="C459" s="128" t="n">
        <x:f>LN(B459)</x:f>
        <x:v>0.6508247301461414</x:v>
      </x:c>
      <x:c r="D459" s="128" t="n">
        <x:f>'Итоги'!$B$8*AVERAGE($C$2:C459)</x:f>
        <x:v>1.287291251787963</x:v>
      </x:c>
      <x:c r="E459" s="128" t="n">
        <x:f>'Итоги'!$B$9</x:f>
        <x:v>1.2958368660043291</x:v>
      </x:c>
      <x:c r="F459" s="129" t="n">
        <x:f>ABS(D459-E459)</x:f>
        <x:v>0.008545614216366015</x:v>
      </x:c>
    </x:row>
    <x:row r="460">
      <x:c r="A460" s="107" t="n">
        <x:v>459</x:v>
      </x:c>
      <x:c r="B460" s="128" t="n">
        <x:v>2.568161896682816</x:v>
      </x:c>
      <x:c r="C460" s="128" t="n">
        <x:f>LN(B460)</x:f>
        <x:v>0.9431904277201341</x:v>
      </x:c>
      <x:c r="D460" s="128" t="n">
        <x:f>'Итоги'!$B$8*AVERAGE($C$2:C460)</x:f>
        <x:v>1.2885964578961382</x:v>
      </x:c>
      <x:c r="E460" s="128" t="n">
        <x:f>'Итоги'!$B$9</x:f>
        <x:v>1.2958368660043291</x:v>
      </x:c>
      <x:c r="F460" s="129" t="n">
        <x:f>ABS(D460-E460)</x:f>
        <x:v>0.007240408108190932</x:v>
      </x:c>
    </x:row>
    <x:row r="461">
      <x:c r="A461" s="107" t="n">
        <x:v>460</x:v>
      </x:c>
      <x:c r="B461" s="128" t="n">
        <x:v>2.2728166842155537</x:v>
      </x:c>
      <x:c r="C461" s="128" t="n">
        <x:f>LN(B461)</x:f>
        <x:v>0.8210198923508348</x:v>
      </x:c>
      <x:c r="D461" s="128" t="n">
        <x:f>'Итоги'!$B$8*AVERAGE($C$2:C461)</x:f>
        <x:v>1.289364812954411</x:v>
      </x:c>
      <x:c r="E461" s="128" t="n">
        <x:f>'Итоги'!$B$9</x:f>
        <x:v>1.2958368660043291</x:v>
      </x:c>
      <x:c r="F461" s="129" t="n">
        <x:f>ABS(D461-E461)</x:f>
        <x:v>0.006472053049918047</x:v>
      </x:c>
    </x:row>
    <x:row r="462">
      <x:c r="A462" s="107" t="n">
        <x:v>461</x:v>
      </x:c>
      <x:c r="B462" s="128" t="n">
        <x:v>2.1448262999172747</x:v>
      </x:c>
      <x:c r="C462" s="128" t="n">
        <x:f>LN(B462)</x:f>
        <x:v>0.7630585700414536</x:v>
      </x:c>
      <x:c r="D462" s="128" t="n">
        <x:f>'Итоги'!$B$8*AVERAGE($C$2:C462)</x:f>
        <x:v>1.289878375486143</x:v>
      </x:c>
      <x:c r="E462" s="128" t="n">
        <x:f>'Итоги'!$B$9</x:f>
        <x:v>1.2958368660043291</x:v>
      </x:c>
      <x:c r="F462" s="129" t="n">
        <x:f>ABS(D462-E462)</x:f>
        <x:v>0.005958490518186199</x:v>
      </x:c>
    </x:row>
    <x:row r="463">
      <x:c r="A463" s="107" t="n">
        <x:v>462</x:v>
      </x:c>
      <x:c r="B463" s="128" t="n">
        <x:v>1.2902605093300994</x:v>
      </x:c>
      <x:c r="C463" s="128" t="n">
        <x:f>LN(B463)</x:f>
        <x:v>0.2548441432025215</x:v>
      </x:c>
      <x:c r="D463" s="128" t="n">
        <x:f>'Итоги'!$B$8*AVERAGE($C$2:C463)</x:f>
        <x:v>1.288189652349604</x:v>
      </x:c>
      <x:c r="E463" s="128" t="n">
        <x:f>'Итоги'!$B$9</x:f>
        <x:v>1.2958368660043291</x:v>
      </x:c>
      <x:c r="F463" s="129" t="n">
        <x:f>ABS(D463-E463)</x:f>
        <x:v>0.0076472136547252045</x:v>
      </x:c>
    </x:row>
    <x:row r="464">
      <x:c r="A464" s="107" t="n">
        <x:v>463</x:v>
      </x:c>
      <x:c r="B464" s="128" t="n">
        <x:v>2.89204890711619</x:v>
      </x:c>
      <x:c r="C464" s="128" t="n">
        <x:f>LN(B464)</x:f>
        <x:v>1.0619652153278656</x:v>
      </x:c>
      <x:c r="D464" s="128" t="n">
        <x:f>'Итоги'!$B$8*AVERAGE($C$2:C464)</x:f>
        <x:v>1.289994708026291</x:v>
      </x:c>
      <x:c r="E464" s="128" t="n">
        <x:f>'Итоги'!$B$9</x:f>
        <x:v>1.2958368660043291</x:v>
      </x:c>
      <x:c r="F464" s="129" t="n">
        <x:f>ABS(D464-E464)</x:f>
        <x:v>0.0058421579780381094</x:v>
      </x:c>
    </x:row>
    <x:row r="465">
      <x:c r="A465" s="107" t="n">
        <x:v>464</x:v>
      </x:c>
      <x:c r="B465" s="128" t="n">
        <x:v>1.6026852650294359</x:v>
      </x:c>
      <x:c r="C465" s="128" t="n">
        <x:f>LN(B465)</x:f>
        <x:v>0.4716805131331348</x:v>
      </x:c>
      <x:c r="D465" s="128" t="n">
        <x:f>'Итоги'!$B$8*AVERAGE($C$2:C465)</x:f>
        <x:v>1.2892476526776704</x:v>
      </x:c>
      <x:c r="E465" s="128" t="n">
        <x:f>'Итоги'!$B$9</x:f>
        <x:v>1.2958368660043291</x:v>
      </x:c>
      <x:c r="F465" s="129" t="n">
        <x:f>ABS(D465-E465)</x:f>
        <x:v>0.006589213326658738</x:v>
      </x:c>
    </x:row>
    <x:row r="466">
      <x:c r="A466" s="107" t="n">
        <x:v>465</x:v>
      </x:c>
      <x:c r="B466" s="128" t="n">
        <x:v>2.156034431615084</x:v>
      </x:c>
      <x:c r="C466" s="128" t="n">
        <x:f>LN(B466)</x:f>
        <x:v>0.768270623056096</x:v>
      </x:c>
      <x:c r="D466" s="128" t="n">
        <x:f>'Итоги'!$B$8*AVERAGE($C$2:C466)</x:f>
        <x:v>1.2897794668570994</x:v>
      </x:c>
      <x:c r="E466" s="128" t="n">
        <x:f>'Итоги'!$B$9</x:f>
        <x:v>1.2958368660043291</x:v>
      </x:c>
      <x:c r="F466" s="129" t="n">
        <x:f>ABS(D466-E466)</x:f>
        <x:v>0.006057399147229692</x:v>
      </x:c>
    </x:row>
    <x:row r="467">
      <x:c r="A467" s="107" t="n">
        <x:v>466</x:v>
      </x:c>
      <x:c r="B467" s="128" t="n">
        <x:v>2.3995518891781322</x:v>
      </x:c>
      <x:c r="C467" s="128" t="n">
        <x:f>LN(B467)</x:f>
        <x:v>0.8752820070784423</x:v>
      </x:c>
      <x:c r="D467" s="128" t="n">
        <x:f>'Итоги'!$B$8*AVERAGE($C$2:C467)</x:f>
        <x:v>1.2907682748985152</x:v>
      </x:c>
      <x:c r="E467" s="128" t="n">
        <x:f>'Итоги'!$B$9</x:f>
        <x:v>1.2958368660043291</x:v>
      </x:c>
      <x:c r="F467" s="129" t="n">
        <x:f>ABS(D467-E467)</x:f>
        <x:v>0.005068591105813924</x:v>
      </x:c>
    </x:row>
    <x:row r="468">
      <x:c r="A468" s="107" t="n">
        <x:v>467</x:v>
      </x:c>
      <x:c r="B468" s="128" t="n">
        <x:v>2.2984663104906176</x:v>
      </x:c>
      <x:c r="C468" s="128" t="n">
        <x:f>LN(B468)</x:f>
        <x:v>0.8322420789849282</x:v>
      </x:c>
      <x:c r="D468" s="128" t="n">
        <x:f>'Итоги'!$B$8*AVERAGE($C$2:C468)</x:f>
        <x:v>1.2915685230421368</x:v>
      </x:c>
      <x:c r="E468" s="128" t="n">
        <x:f>'Итоги'!$B$9</x:f>
        <x:v>1.2958368660043291</x:v>
      </x:c>
      <x:c r="F468" s="129" t="n">
        <x:f>ABS(D468-E468)</x:f>
        <x:v>0.004268342962192362</x:v>
      </x:c>
    </x:row>
    <x:row r="469">
      <x:c r="A469" s="107" t="n">
        <x:v>468</x:v>
      </x:c>
      <x:c r="B469" s="128" t="n">
        <x:v>2.8811888193910367</x:v>
      </x:c>
      <x:c r="C469" s="128" t="n">
        <x:f>LN(B469)</x:f>
        <x:v>1.0582029934865427</x:v>
      </x:c>
      <x:c r="D469" s="128" t="n">
        <x:f>'Итоги'!$B$8*AVERAGE($C$2:C469)</x:f>
        <x:v>1.2933309962556645</x:v>
      </x:c>
      <x:c r="E469" s="128" t="n">
        <x:f>'Итоги'!$B$9</x:f>
        <x:v>1.2958368660043291</x:v>
      </x:c>
      <x:c r="F469" s="129" t="n">
        <x:f>ABS(D469-E469)</x:f>
        <x:v>0.002505869748664624</x:v>
      </x:c>
    </x:row>
    <x:row r="470">
      <x:c r="A470" s="107" t="n">
        <x:v>469</x:v>
      </x:c>
      <x:c r="B470" s="128" t="n">
        <x:v>1.296877979840116</x:v>
      </x:c>
      <x:c r="C470" s="128" t="n">
        <x:f>LN(B470)</x:f>
        <x:v>0.2599598221423276</x:v>
      </x:c>
      <x:c r="D470" s="128" t="n">
        <x:f>'Итоги'!$B$8*AVERAGE($C$2:C470)</x:f>
        <x:v>1.2916819315393084</x:v>
      </x:c>
      <x:c r="E470" s="128" t="n">
        <x:f>'Итоги'!$B$9</x:f>
        <x:v>1.2958368660043291</x:v>
      </x:c>
      <x:c r="F470" s="129" t="n">
        <x:f>ABS(D470-E470)</x:f>
        <x:v>0.004154934465020688</x:v>
      </x:c>
    </x:row>
    <x:row r="471">
      <x:c r="A471" s="107" t="n">
        <x:v>470</x:v>
      </x:c>
      <x:c r="B471" s="128" t="n">
        <x:v>2.0167054768938844</x:v>
      </x:c>
      <x:c r="C471" s="128" t="n">
        <x:f>LN(B471)</x:f>
        <x:v>0.7014652279302318</x:v>
      </x:c>
      <x:c r="D471" s="128" t="n">
        <x:f>'Итоги'!$B$8*AVERAGE($C$2:C471)</x:f>
        <x:v>1.2919186305272257</x:v>
      </x:c>
      <x:c r="E471" s="128" t="n">
        <x:f>'Итоги'!$B$9</x:f>
        <x:v>1.2958368660043291</x:v>
      </x:c>
      <x:c r="F471" s="129" t="n">
        <x:f>ABS(D471-E471)</x:f>
        <x:v>0.00391823547710346</x:v>
      </x:c>
    </x:row>
    <x:row r="472">
      <x:c r="A472" s="107" t="n">
        <x:v>471</x:v>
      </x:c>
      <x:c r="B472" s="128" t="n">
        <x:v>1.808068781481532</x:v>
      </x:c>
      <x:c r="C472" s="128" t="n">
        <x:f>LN(B472)</x:f>
        <x:v>0.5922593041012033</x:v>
      </x:c>
      <x:c r="D472" s="128" t="n">
        <x:f>'Итоги'!$B$8*AVERAGE($C$2:C472)</x:f>
        <x:v>1.29169060500212</x:v>
      </x:c>
      <x:c r="E472" s="128" t="n">
        <x:f>'Итоги'!$B$9</x:f>
        <x:v>1.2958368660043291</x:v>
      </x:c>
      <x:c r="F472" s="129" t="n">
        <x:f>ABS(D472-E472)</x:f>
        <x:v>0.004146261002209162</x:v>
      </x:c>
    </x:row>
    <x:row r="473">
      <x:c r="A473" s="107" t="n">
        <x:v>472</x:v>
      </x:c>
      <x:c r="B473" s="128" t="n">
        <x:v>1.9483374589652362</x:v>
      </x:c>
      <x:c r="C473" s="128" t="n">
        <x:f>LN(B473)</x:f>
        <x:v>0.6669764237721931</x:v>
      </x:c>
      <x:c r="D473" s="128" t="n">
        <x:f>'Итоги'!$B$8*AVERAGE($C$2:C473)</x:f>
        <x:v>1.291780143651574</x:v>
      </x:c>
      <x:c r="E473" s="128" t="n">
        <x:f>'Итоги'!$B$9</x:f>
        <x:v>1.2958368660043291</x:v>
      </x:c>
      <x:c r="F473" s="129" t="n">
        <x:f>ABS(D473-E473)</x:f>
        <x:v>0.0040567223527552265</x:v>
      </x:c>
    </x:row>
    <x:row r="474">
      <x:c r="A474" s="107" t="n">
        <x:v>473</x:v>
      </x:c>
      <x:c r="B474" s="128" t="n">
        <x:v>1.2384350523954892</x:v>
      </x:c>
      <x:c r="C474" s="128" t="n">
        <x:f>LN(B474)</x:f>
        <x:v>0.21384852803567936</x:v>
      </x:c>
      <x:c r="D474" s="128" t="n">
        <x:f>'Итоги'!$B$8*AVERAGE($C$2:C474)</x:f>
        <x:v>1.2899533295129266</x:v>
      </x:c>
      <x:c r="E474" s="128" t="n">
        <x:f>'Итоги'!$B$9</x:f>
        <x:v>1.2958368660043291</x:v>
      </x:c>
      <x:c r="F474" s="129" t="n">
        <x:f>ABS(D474-E474)</x:f>
        <x:v>0.005883536491402497</x:v>
      </x:c>
    </x:row>
    <x:row r="475">
      <x:c r="A475" s="107" t="n">
        <x:v>474</x:v>
      </x:c>
      <x:c r="B475" s="128" t="n">
        <x:v>1.2681892197455307</x:v>
      </x:c>
      <x:c r="C475" s="128" t="n">
        <x:f>LN(B475)</x:f>
        <x:v>0.23759007181045558</x:v>
      </x:c>
      <x:c r="D475" s="128" t="n">
        <x:f>'Итоги'!$B$8*AVERAGE($C$2:C475)</x:f>
        <x:v>1.2882343987410025</x:v>
      </x:c>
      <x:c r="E475" s="128" t="n">
        <x:f>'Итоги'!$B$9</x:f>
        <x:v>1.2958368660043291</x:v>
      </x:c>
      <x:c r="F475" s="129" t="n">
        <x:f>ABS(D475-E475)</x:f>
        <x:v>0.007602467263326584</x:v>
      </x:c>
    </x:row>
    <x:row r="476">
      <x:c r="A476" s="107" t="n">
        <x:v>475</x:v>
      </x:c>
      <x:c r="B476" s="128" t="n">
        <x:v>1.5561510915625147</x:v>
      </x:c>
      <x:c r="C476" s="128" t="n">
        <x:f>LN(B476)</x:f>
        <x:v>0.44221552358865607</x:v>
      </x:c>
      <x:c r="D476" s="128" t="n">
        <x:f>'Итоги'!$B$8*AVERAGE($C$2:C476)</x:f>
        <x:v>1.287384286421921</x:v>
      </x:c>
      <x:c r="E476" s="128" t="n">
        <x:f>'Итоги'!$B$9</x:f>
        <x:v>1.2958368660043291</x:v>
      </x:c>
      <x:c r="F476" s="129" t="n">
        <x:f>ABS(D476-E476)</x:f>
        <x:v>0.008452579582408193</x:v>
      </x:c>
    </x:row>
    <x:row r="477">
      <x:c r="A477" s="107" t="n">
        <x:v>476</x:v>
      </x:c>
      <x:c r="B477" s="128" t="n">
        <x:v>1.6094092075216626</x:v>
      </x:c>
      <x:c r="C477" s="128" t="n">
        <x:f>LN(B477)</x:f>
        <x:v>0.47586715980316757</x:v>
      </x:c>
      <x:c r="D477" s="128" t="n">
        <x:f>'Итоги'!$B$8*AVERAGE($C$2:C477)</x:f>
        <x:v>1.2866791394328125</x:v>
      </x:c>
      <x:c r="E477" s="128" t="n">
        <x:f>'Итоги'!$B$9</x:f>
        <x:v>1.2958368660043291</x:v>
      </x:c>
      <x:c r="F477" s="129" t="n">
        <x:f>ABS(D477-E477)</x:f>
        <x:v>0.009157726571516589</x:v>
      </x:c>
    </x:row>
    <x:row r="478">
      <x:c r="A478" s="107" t="n">
        <x:v>477</x:v>
      </x:c>
      <x:c r="B478" s="128" t="n">
        <x:v>1.8558064273627</x:v>
      </x:c>
      <x:c r="C478" s="128" t="n">
        <x:f>LN(B478)</x:f>
        <x:v>0.6183193333228508</x:v>
      </x:c>
      <x:c r="D478" s="128" t="n">
        <x:f>'Итоги'!$B$8*AVERAGE($C$2:C478)</x:f>
        <x:v>1.2865742327812673</x:v>
      </x:c>
      <x:c r="E478" s="128" t="n">
        <x:f>'Итоги'!$B$9</x:f>
        <x:v>1.2958368660043291</x:v>
      </x:c>
      <x:c r="F478" s="129" t="n">
        <x:f>ABS(D478-E478)</x:f>
        <x:v>0.009262633223061867</x:v>
      </x:c>
    </x:row>
    <x:row r="479">
      <x:c r="A479" s="107" t="n">
        <x:v>478</x:v>
      </x:c>
      <x:c r="B479" s="128" t="n">
        <x:v>2.2219750940732563</x:v>
      </x:c>
      <x:c r="C479" s="128" t="n">
        <x:f>LN(B479)</x:f>
        <x:v>0.7983964823667059</x:v>
      </x:c>
      <x:c r="D479" s="128" t="n">
        <x:f>'Итоги'!$B$8*AVERAGE($C$2:C479)</x:f>
        <x:v>1.287223225944347</x:v>
      </x:c>
      <x:c r="E479" s="128" t="n">
        <x:f>'Итоги'!$B$9</x:f>
        <x:v>1.2958368660043291</x:v>
      </x:c>
      <x:c r="F479" s="129" t="n">
        <x:f>ABS(D479-E479)</x:f>
        <x:v>0.008613640059982108</x:v>
      </x:c>
    </x:row>
    <x:row r="480">
      <x:c r="A480" s="107" t="n">
        <x:v>479</x:v>
      </x:c>
      <x:c r="B480" s="128" t="n">
        <x:v>2.269258234836526</x:v>
      </x:c>
      <x:c r="C480" s="128" t="n">
        <x:f>LN(B480)</x:f>
        <x:v>0.8194530092982735</x:v>
      </x:c>
      <x:c r="D480" s="128" t="n">
        <x:f>'Итоги'!$B$8*AVERAGE($C$2:C480)</x:f>
        <x:v>1.2879574280166899</x:v>
      </x:c>
      <x:c r="E480" s="128" t="n">
        <x:f>'Итоги'!$B$9</x:f>
        <x:v>1.2958368660043291</x:v>
      </x:c>
      <x:c r="F480" s="129" t="n">
        <x:f>ABS(D480-E480)</x:f>
        <x:v>0.007879437987639237</x:v>
      </x:c>
    </x:row>
    <x:row r="481">
      <x:c r="A481" s="107" t="n">
        <x:v>480</x:v>
      </x:c>
      <x:c r="B481" s="128" t="n">
        <x:v>1.8236217931711405</x:v>
      </x:c>
      <x:c r="C481" s="128" t="n">
        <x:f>LN(B481)</x:f>
        <x:v>0.6008245199169873</x:v>
      </x:c>
      <x:c r="D481" s="128" t="n">
        <x:f>'Итоги'!$B$8*AVERAGE($C$2:C481)</x:f>
        <x:v>1.2877776188746426</x:v>
      </x:c>
      <x:c r="E481" s="128" t="n">
        <x:f>'Итоги'!$B$9</x:f>
        <x:v>1.2958368660043291</x:v>
      </x:c>
      <x:c r="F481" s="129" t="n">
        <x:f>ABS(D481-E481)</x:f>
        <x:v>0.008059247129686531</x:v>
      </x:c>
    </x:row>
    <x:row r="482">
      <x:c r="A482" s="107" t="n">
        <x:v>481</x:v>
      </x:c>
      <x:c r="B482" s="128" t="n">
        <x:v>1.8175662188573942</x:v>
      </x:c>
      <x:c r="C482" s="128" t="n">
        <x:f>LN(B482)</x:f>
        <x:v>0.5974983637961637</x:v>
      </x:c>
      <x:c r="D482" s="128" t="n">
        <x:f>'Итоги'!$B$8*AVERAGE($C$2:C482)</x:f>
        <x:v>1.287584727208775</x:v>
      </x:c>
      <x:c r="E482" s="128" t="n">
        <x:f>'Итоги'!$B$9</x:f>
        <x:v>1.2958368660043291</x:v>
      </x:c>
      <x:c r="F482" s="129" t="n">
        <x:f>ABS(D482-E482)</x:f>
        <x:v>0.008252138795554087</x:v>
      </x:c>
    </x:row>
    <x:row r="483">
      <x:c r="A483" s="107" t="n">
        <x:v>482</x:v>
      </x:c>
      <x:c r="B483" s="128" t="n">
        <x:v>1.435257053393924</x:v>
      </x:c>
      <x:c r="C483" s="128" t="n">
        <x:f>LN(B483)</x:f>
        <x:v>0.361343964454456</x:v>
      </x:c>
      <x:c r="D483" s="128" t="n">
        <x:f>'Итоги'!$B$8*AVERAGE($C$2:C483)</x:f>
        <x:v>1.2864127421500615</x:v>
      </x:c>
      <x:c r="E483" s="128" t="n">
        <x:f>'Итоги'!$B$9</x:f>
        <x:v>1.2958368660043291</x:v>
      </x:c>
      <x:c r="F483" s="129" t="n">
        <x:f>ABS(D483-E483)</x:f>
        <x:v>0.009424123854267608</x:v>
      </x:c>
    </x:row>
    <x:row r="484">
      <x:c r="A484" s="107" t="n">
        <x:v>483</x:v>
      </x:c>
      <x:c r="B484" s="128" t="n">
        <x:v>2.1766124968180165</x:v>
      </x:c>
      <x:c r="C484" s="128" t="n">
        <x:f>LN(B484)</x:f>
        <x:v>0.7777697677032102</x:v>
      </x:c>
      <x:c r="D484" s="128" t="n">
        <x:f>'Итоги'!$B$8*AVERAGE($C$2:C484)</x:f>
        <x:v>1.286969940479785</x:v>
      </x:c>
      <x:c r="E484" s="128" t="n">
        <x:f>'Итоги'!$B$9</x:f>
        <x:v>1.2958368660043291</x:v>
      </x:c>
      <x:c r="F484" s="129" t="n">
        <x:f>ABS(D484-E484)</x:f>
        <x:v>0.008866925524544156</x:v>
      </x:c>
    </x:row>
    <x:row r="485">
      <x:c r="A485" s="107" t="n">
        <x:v>484</x:v>
      </x:c>
      <x:c r="B485" s="128" t="n">
        <x:v>1.6340818226344758</x:v>
      </x:c>
      <x:c r="C485" s="128" t="n">
        <x:f>LN(B485)</x:f>
        <x:v>0.49108107023579634</x:v>
      </x:c>
      <x:c r="D485" s="128" t="n">
        <x:f>'Итоги'!$B$8*AVERAGE($C$2:C485)</x:f>
        <x:v>1.2863401722979497</x:v>
      </x:c>
      <x:c r="E485" s="128" t="n">
        <x:f>'Итоги'!$B$9</x:f>
        <x:v>1.2958368660043291</x:v>
      </x:c>
      <x:c r="F485" s="129" t="n">
        <x:f>ABS(D485-E485)</x:f>
        <x:v>0.0094966937063794</x:v>
      </x:c>
    </x:row>
    <x:row r="486">
      <x:c r="A486" s="107" t="n">
        <x:v>485</x:v>
      </x:c>
      <x:c r="B486" s="128" t="n">
        <x:v>1.0721196685547274</x:v>
      </x:c>
      <x:c r="C486" s="128" t="n">
        <x:f>LN(B486)</x:f>
        <x:v>0.06963768753280555</x:v>
      </x:c>
      <x:c r="D486" s="128" t="n">
        <x:f>'Итоги'!$B$8*AVERAGE($C$2:C486)</x:f>
        <x:v>1.2839750902418006</x:v>
      </x:c>
      <x:c r="E486" s="128" t="n">
        <x:f>'Итоги'!$B$9</x:f>
        <x:v>1.2958368660043291</x:v>
      </x:c>
      <x:c r="F486" s="129" t="n">
        <x:f>ABS(D486-E486)</x:f>
        <x:v>0.01186177576252856</x:v>
      </x:c>
    </x:row>
    <x:row r="487">
      <x:c r="A487" s="107" t="n">
        <x:v>486</x:v>
      </x:c>
      <x:c r="B487" s="128" t="n">
        <x:v>1.8368000883137208</x:v>
      </x:c>
      <x:c r="C487" s="128" t="n">
        <x:f>LN(B487)</x:f>
        <x:v>0.6080249752233142</x:v>
      </x:c>
      <x:c r="D487" s="128" t="n">
        <x:f>'Итоги'!$B$8*AVERAGE($C$2:C487)</x:f>
        <x:v>1.2838353265796707</x:v>
      </x:c>
      <x:c r="E487" s="128" t="n">
        <x:f>'Итоги'!$B$9</x:f>
        <x:v>1.2958368660043291</x:v>
      </x:c>
      <x:c r="F487" s="129" t="n">
        <x:f>ABS(D487-E487)</x:f>
        <x:v>0.012001539424658425</x:v>
      </x:c>
    </x:row>
    <x:row r="488">
      <x:c r="A488" s="107" t="n">
        <x:v>487</x:v>
      </x:c>
      <x:c r="B488" s="128" t="n">
        <x:v>1.9482653501803406</x:v>
      </x:c>
      <x:c r="C488" s="128" t="n">
        <x:f>LN(B488)</x:f>
        <x:v>0.6669394126687086</x:v>
      </x:c>
      <x:c r="D488" s="128" t="n">
        <x:f>'Итоги'!$B$8*AVERAGE($C$2:C488)</x:f>
        <x:v>1.2839380853040192</x:v>
      </x:c>
      <x:c r="E488" s="128" t="n">
        <x:f>'Итоги'!$B$9</x:f>
        <x:v>1.2958368660043291</x:v>
      </x:c>
      <x:c r="F488" s="129" t="n">
        <x:f>ABS(D488-E488)</x:f>
        <x:v>0.011898780700309919</x:v>
      </x:c>
    </x:row>
    <x:row r="489">
      <x:c r="A489" s="107" t="n">
        <x:v>488</x:v>
      </x:c>
      <x:c r="B489" s="128" t="n">
        <x:v>1.451185736408422</x:v>
      </x:c>
      <x:c r="C489" s="128" t="n">
        <x:f>LN(B489)</x:f>
        <x:v>0.37238097150492333</x:v>
      </x:c>
      <x:c r="D489" s="128" t="n">
        <x:f>'Итоги'!$B$8*AVERAGE($C$2:C489)</x:f>
        <x:v>1.2828332161599736</x:v>
      </x:c>
      <x:c r="E489" s="128" t="n">
        <x:f>'Итоги'!$B$9</x:f>
        <x:v>1.2958368660043291</x:v>
      </x:c>
      <x:c r="F489" s="129" t="n">
        <x:f>ABS(D489-E489)</x:f>
        <x:v>0.013003649844355536</x:v>
      </x:c>
    </x:row>
    <x:row r="490">
      <x:c r="A490" s="107" t="n">
        <x:v>489</x:v>
      </x:c>
      <x:c r="B490" s="128" t="n">
        <x:v>2.144915866244231</x:v>
      </x:c>
      <x:c r="C490" s="128" t="n">
        <x:f>LN(B490)</x:f>
        <x:v>0.763100328414568</x:v>
      </x:c>
      <x:c r="D490" s="128" t="n">
        <x:f>'Итоги'!$B$8*AVERAGE($C$2:C490)</x:f>
        <x:v>1.2833309000877224</x:v>
      </x:c>
      <x:c r="E490" s="128" t="n">
        <x:f>'Итоги'!$B$9</x:f>
        <x:v>1.2958368660043291</x:v>
      </x:c>
      <x:c r="F490" s="129" t="n">
        <x:f>ABS(D490-E490)</x:f>
        <x:v>0.012505965916606687</x:v>
      </x:c>
    </x:row>
    <x:row r="491">
      <x:c r="A491" s="107" t="n">
        <x:v>490</x:v>
      </x:c>
      <x:c r="B491" s="128" t="n">
        <x:v>2.1315438008638417</x:v>
      </x:c>
      <x:c r="C491" s="128" t="n">
        <x:f>LN(B491)</x:f>
        <x:v>0.7568465063264866</x:v>
      </x:c>
      <x:c r="D491" s="128" t="n">
        <x:f>'Итоги'!$B$8*AVERAGE($C$2:C491)</x:f>
        <x:v>1.2838010268480597</x:v>
      </x:c>
      <x:c r="E491" s="128" t="n">
        <x:f>'Итоги'!$B$9</x:f>
        <x:v>1.2958368660043291</x:v>
      </x:c>
      <x:c r="F491" s="129" t="n">
        <x:f>ABS(D491-E491)</x:f>
        <x:v>0.012035839156269379</x:v>
      </x:c>
    </x:row>
    <x:row r="492">
      <x:c r="A492" s="107" t="n">
        <x:v>491</x:v>
      </x:c>
      <x:c r="B492" s="128" t="n">
        <x:v>2.4040043622207428</x:v>
      </x:c>
      <x:c r="C492" s="128" t="n">
        <x:f>LN(B492)</x:f>
        <x:v>0.8771358312390115</x:v>
      </x:c>
      <x:c r="D492" s="128" t="n">
        <x:f>'Итоги'!$B$8*AVERAGE($C$2:C492)</x:f>
        <x:v>1.2847592155153305</x:v>
      </x:c>
      <x:c r="E492" s="128" t="n">
        <x:f>'Итоги'!$B$9</x:f>
        <x:v>1.2958368660043291</x:v>
      </x:c>
      <x:c r="F492" s="129" t="n">
        <x:f>ABS(D492-E492)</x:f>
        <x:v>0.01107765048899867</x:v>
      </x:c>
    </x:row>
    <x:row r="493">
      <x:c r="A493" s="107" t="n">
        <x:v>492</x:v>
      </x:c>
      <x:c r="B493" s="128" t="n">
        <x:v>2.29589696440242</x:v>
      </x:c>
      <x:c r="C493" s="128" t="n">
        <x:f>LN(B493)</x:f>
        <x:v>0.8311236013190061</x:v>
      </x:c>
      <x:c r="D493" s="128" t="n">
        <x:f>'Итоги'!$B$8*AVERAGE($C$2:C493)</x:f>
        <x:v>1.2855264675216775</x:v>
      </x:c>
      <x:c r="E493" s="128" t="n">
        <x:f>'Итоги'!$B$9</x:f>
        <x:v>1.2958368660043291</x:v>
      </x:c>
      <x:c r="F493" s="129" t="n">
        <x:f>ABS(D493-E493)</x:f>
        <x:v>0.010310398482651584</x:v>
      </x:c>
    </x:row>
    <x:row r="494">
      <x:c r="A494" s="107" t="n">
        <x:v>493</x:v>
      </x:c>
      <x:c r="B494" s="128" t="n">
        <x:v>2.3048661130420633</x:v>
      </x:c>
      <x:c r="C494" s="128" t="n">
        <x:f>LN(B494)</x:f>
        <x:v>0.8350225893134582</x:v>
      </x:c>
      <x:c r="D494" s="128" t="n">
        <x:f>'Итоги'!$B$8*AVERAGE($C$2:C494)</x:f>
        <x:v>1.286306424339335</x:v>
      </x:c>
      <x:c r="E494" s="128" t="n">
        <x:f>'Итоги'!$B$9</x:f>
        <x:v>1.2958368660043291</x:v>
      </x:c>
      <x:c r="F494" s="129" t="n">
        <x:f>ABS(D494-E494)</x:f>
        <x:v>0.009530441664994171</x:v>
      </x:c>
    </x:row>
    <x:row r="495">
      <x:c r="A495" s="107" t="n">
        <x:v>494</x:v>
      </x:c>
      <x:c r="B495" s="128" t="n">
        <x:v>1.6324283036480862</x:v>
      </x:c>
      <x:c r="C495" s="128" t="n">
        <x:f>LN(B495)</x:f>
        <x:v>0.4900686630711475</x:v>
      </x:c>
      <x:c r="D495" s="128" t="n">
        <x:f>'Итоги'!$B$8*AVERAGE($C$2:C495)</x:f>
        <x:v>1.2856866488369119</x:v>
      </x:c>
      <x:c r="E495" s="128" t="n">
        <x:f>'Итоги'!$B$9</x:f>
        <x:v>1.2958368660043291</x:v>
      </x:c>
      <x:c r="F495" s="129" t="n">
        <x:f>ABS(D495-E495)</x:f>
        <x:v>0.010150217167417264</x:v>
      </x:c>
    </x:row>
    <x:row r="496">
      <x:c r="A496" s="107" t="n">
        <x:v>495</x:v>
      </x:c>
      <x:c r="B496" s="128" t="n">
        <x:v>2.574864443971908</x:v>
      </x:c>
      <x:c r="C496" s="128" t="n">
        <x:f>LN(B496)</x:f>
        <x:v>0.9457968896122962</x:v>
      </x:c>
      <x:c r="D496" s="128" t="n">
        <x:f>'Итоги'!$B$8*AVERAGE($C$2:C496)</x:f>
        <x:v>1.2869107036457759</x:v>
      </x:c>
      <x:c r="E496" s="128" t="n">
        <x:f>'Итоги'!$B$9</x:f>
        <x:v>1.2958368660043291</x:v>
      </x:c>
      <x:c r="F496" s="129" t="n">
        <x:f>ABS(D496-E496)</x:f>
        <x:v>0.008926162358553258</x:v>
      </x:c>
    </x:row>
    <x:row r="497">
      <x:c r="A497" s="107" t="n">
        <x:v>496</x:v>
      </x:c>
      <x:c r="B497" s="128" t="n">
        <x:v>2.098288767199359</x:v>
      </x:c>
      <x:c r="C497" s="128" t="n">
        <x:f>LN(B497)</x:f>
        <x:v>0.7411221397778843</x:v>
      </x:c>
      <x:c r="D497" s="128" t="n">
        <x:f>'Итоги'!$B$8*AVERAGE($C$2:C497)</x:f>
        <x:v>1.2873045213391427</x:v>
      </x:c>
      <x:c r="E497" s="128" t="n">
        <x:f>'Итоги'!$B$9</x:f>
        <x:v>1.2958368660043291</x:v>
      </x:c>
      <x:c r="F497" s="129" t="n">
        <x:f>ABS(D497-E497)</x:f>
        <x:v>0.008532344665186375</x:v>
      </x:c>
    </x:row>
    <x:row r="498">
      <x:c r="A498" s="107" t="n">
        <x:v>497</x:v>
      </x:c>
      <x:c r="B498" s="128" t="n">
        <x:v>1.8628363903597802</x:v>
      </x:c>
      <x:c r="C498" s="128" t="n">
        <x:f>LN(B498)</x:f>
        <x:v>0.622100267236852</x:v>
      </x:c>
      <x:c r="D498" s="128" t="n">
        <x:f>'Итоги'!$B$8*AVERAGE($C$2:C498)</x:f>
        <x:v>1.2872177929953492</x:v>
      </x:c>
      <x:c r="E498" s="128" t="n">
        <x:f>'Итоги'!$B$9</x:f>
        <x:v>1.2958368660043291</x:v>
      </x:c>
      <x:c r="F498" s="129" t="n">
        <x:f>ABS(D498-E498)</x:f>
        <x:v>0.008619073008979905</x:v>
      </x:c>
    </x:row>
    <x:row r="499">
      <x:c r="A499" s="107" t="n">
        <x:v>498</x:v>
      </x:c>
      <x:c r="B499" s="128" t="n">
        <x:v>2.252024961882114</x:v>
      </x:c>
      <x:c r="C499" s="128" t="n">
        <x:f>LN(B499)</x:f>
        <x:v>0.8118297945331154</x:v>
      </x:c>
      <x:c r="D499" s="128" t="n">
        <x:f>'Итоги'!$B$8*AVERAGE($C$2:C499)</x:f>
        <x:v>1.2878933789312346</x:v>
      </x:c>
      <x:c r="E499" s="128" t="n">
        <x:f>'Итоги'!$B$9</x:f>
        <x:v>1.2958368660043291</x:v>
      </x:c>
      <x:c r="F499" s="129" t="n">
        <x:f>ABS(D499-E499)</x:f>
        <x:v>0.007943487073094557</x:v>
      </x:c>
    </x:row>
    <x:row r="500">
      <x:c r="A500" s="107" t="n">
        <x:v>499</x:v>
      </x:c>
      <x:c r="B500" s="128" t="n">
        <x:v>1.7213146689005085</x:v>
      </x:c>
      <x:c r="C500" s="128" t="n">
        <x:f>LN(B500)</x:f>
        <x:v>0.5430883412485008</x:v>
      </x:c>
      <x:c r="D500" s="128" t="n">
        <x:f>'Итоги'!$B$8*AVERAGE($C$2:C500)</x:f>
        <x:v>1.2874891370546129</x:v>
      </x:c>
      <x:c r="E500" s="128" t="n">
        <x:f>'Итоги'!$B$9</x:f>
        <x:v>1.2958368660043291</x:v>
      </x:c>
      <x:c r="F500" s="129" t="n">
        <x:f>ABS(D500-E500)</x:f>
        <x:v>0.008347728949716249</x:v>
      </x:c>
    </x:row>
    <x:row r="501">
      <x:c r="A501" s="107" t="n">
        <x:v>500</x:v>
      </x:c>
      <x:c r="B501" s="128" t="n">
        <x:v>2.0254784892135165</x:v>
      </x:c>
      <x:c r="C501" s="128" t="n">
        <x:f>LN(B501)</x:f>
        <x:v>0.7058059636158259</x:v>
      </x:c>
      <x:c r="D501" s="128" t="n">
        <x:f>'Итоги'!$B$8*AVERAGE($C$2:C501)</x:f>
        <x:v>1.287737382634967</x:v>
      </x:c>
      <x:c r="E501" s="128" t="n">
        <x:f>'Итоги'!$B$9</x:f>
        <x:v>1.2958368660043291</x:v>
      </x:c>
      <x:c r="F501" s="129" t="n">
        <x:f>ABS(D501-E501)</x:f>
        <x:v>0.00809948336936217</x:v>
      </x:c>
    </x:row>
    <x:row r="502">
      <x:c r="A502" s="107" t="n">
        <x:v>501</x:v>
      </x:c>
      <x:c r="B502" s="128" t="n">
        <x:v>2.4734113769644406</x:v>
      </x:c>
      <x:c r="C502" s="128" t="n">
        <x:f>LN(B502)</x:f>
        <x:v>0.9055983220421111</x:v>
      </x:c>
      <x:c r="D502" s="128" t="n">
        <x:f>'Итоги'!$B$8*AVERAGE($C$2:C502)</x:f>
        <x:v>1.288782211500135</x:v>
      </x:c>
      <x:c r="E502" s="128" t="n">
        <x:f>'Итоги'!$B$9</x:f>
        <x:v>1.2958368660043291</x:v>
      </x:c>
      <x:c r="F502" s="129" t="n">
        <x:f>ABS(D502-E502)</x:f>
        <x:v>0.007054654504194069</x:v>
      </x:c>
    </x:row>
    <x:row r="503">
      <x:c r="A503" s="107" t="n">
        <x:v>502</x:v>
      </x:c>
      <x:c r="B503" s="128" t="n">
        <x:v>2.7728057734474154</x:v>
      </x:c>
      <x:c r="C503" s="128" t="n">
        <x:f>LN(B503)</x:f>
        <x:v>1.0198597221493593</x:v>
      </x:c>
      <x:c r="D503" s="128" t="n">
        <x:f>'Итоги'!$B$8*AVERAGE($C$2:C503)</x:f>
        <x:v>1.2902781024021244</x:v>
      </x:c>
      <x:c r="E503" s="128" t="n">
        <x:f>'Итоги'!$B$9</x:f>
        <x:v>1.2958368660043291</x:v>
      </x:c>
      <x:c r="F503" s="129" t="n">
        <x:f>ABS(D503-E503)</x:f>
        <x:v>0.005558763602204753</x:v>
      </x:c>
    </x:row>
    <x:row r="504">
      <x:c r="A504" s="107" t="n">
        <x:v>503</x:v>
      </x:c>
      <x:c r="B504" s="128" t="n">
        <x:v>2.842114394590383</x:v>
      </x:c>
      <x:c r="C504" s="128" t="n">
        <x:f>LN(B504)</x:f>
        <x:v>1.0445482803041035</x:v>
      </x:c>
      <x:c r="D504" s="128" t="n">
        <x:f>'Итоги'!$B$8*AVERAGE($C$2:C504)</x:f>
        <x:v>1.2918662106689358</x:v>
      </x:c>
      <x:c r="E504" s="128" t="n">
        <x:f>'Итоги'!$B$9</x:f>
        <x:v>1.2958368660043291</x:v>
      </x:c>
      <x:c r="F504" s="129" t="n">
        <x:f>ABS(D504-E504)</x:f>
        <x:v>0.003970655335393314</x:v>
      </x:c>
    </x:row>
    <x:row r="505">
      <x:c r="A505" s="107" t="n">
        <x:v>504</x:v>
      </x:c>
      <x:c r="B505" s="128" t="n">
        <x:v>2.007265850366198</x:v>
      </x:c>
      <x:c r="C505" s="128" t="n">
        <x:f>LN(B505)</x:f>
        <x:v>0.6967735226095547</x:v>
      </x:c>
      <x:c r="D505" s="128" t="n">
        <x:f>'Итоги'!$B$8*AVERAGE($C$2:C505)</x:f>
        <x:v>1.2920679583565353</x:v>
      </x:c>
      <x:c r="E505" s="128" t="n">
        <x:f>'Итоги'!$B$9</x:f>
        <x:v>1.2958368660043291</x:v>
      </x:c>
      <x:c r="F505" s="129" t="n">
        <x:f>ABS(D505-E505)</x:f>
        <x:v>0.0037689076477938066</x:v>
      </x:c>
    </x:row>
    <x:row r="506">
      <x:c r="A506" s="107" t="n">
        <x:v>505</x:v>
      </x:c>
      <x:c r="B506" s="128" t="n">
        <x:v>2.040550229481138</x:v>
      </x:c>
      <x:c r="C506" s="128" t="n">
        <x:f>LN(B506)</x:f>
        <x:v>0.7132194918220264</x:v>
      </x:c>
      <x:c r="D506" s="128" t="n">
        <x:f>'Итоги'!$B$8*AVERAGE($C$2:C506)</x:f>
        <x:v>1.2923340395947283</x:v>
      </x:c>
      <x:c r="E506" s="128" t="n">
        <x:f>'Итоги'!$B$9</x:f>
        <x:v>1.2958368660043291</x:v>
      </x:c>
      <x:c r="F506" s="129" t="n">
        <x:f>ABS(D506-E506)</x:f>
        <x:v>0.0035028264096008677</x:v>
      </x:c>
    </x:row>
    <x:row r="507">
      <x:c r="A507" s="107" t="n">
        <x:v>506</x:v>
      </x:c>
      <x:c r="B507" s="128" t="n">
        <x:v>2.599740821527673</x:v>
      </x:c>
      <x:c r="C507" s="128" t="n">
        <x:f>LN(B507)</x:f>
        <x:v>0.9554117560308354</x:v>
      </x:c>
      <x:c r="D507" s="128" t="n">
        <x:f>'Итоги'!$B$8*AVERAGE($C$2:C507)</x:f>
        <x:v>1.2935563508051373</x:v>
      </x:c>
      <x:c r="E507" s="128" t="n">
        <x:f>'Итоги'!$B$9</x:f>
        <x:v>1.2958368660043291</x:v>
      </x:c>
      <x:c r="F507" s="129" t="n">
        <x:f>ABS(D507-E507)</x:f>
        <x:v>0.0022805151991918127</x:v>
      </x:c>
    </x:row>
    <x:row r="508">
      <x:c r="A508" s="107" t="n">
        <x:v>507</x:v>
      </x:c>
      <x:c r="B508" s="128" t="n">
        <x:v>1.6289013834884025</x:v>
      </x:c>
      <x:c r="C508" s="128" t="n">
        <x:f>LN(B508)</x:f>
        <x:v>0.4879057897201263</x:v>
      </x:c>
      <x:c r="D508" s="128" t="n">
        <x:f>'Итоги'!$B$8*AVERAGE($C$2:C508)</x:f>
        <x:v>1.2929296352797628</x:v>
      </x:c>
      <x:c r="E508" s="128" t="n">
        <x:f>'Итоги'!$B$9</x:f>
        <x:v>1.2958368660043291</x:v>
      </x:c>
      <x:c r="F508" s="129" t="n">
        <x:f>ABS(D508-E508)</x:f>
        <x:v>0.0029072307245663342</x:v>
      </x:c>
    </x:row>
    <x:row r="509">
      <x:c r="A509" s="107" t="n">
        <x:v>508</x:v>
      </x:c>
      <x:c r="B509" s="128" t="n">
        <x:v>2.674764724690137</x:v>
      </x:c>
      <x:c r="C509" s="128" t="n">
        <x:f>LN(B509)</x:f>
        <x:v>0.9838614230929792</x:v>
      </x:c>
      <x:c r="D509" s="128" t="n">
        <x:f>'Итоги'!$B$8*AVERAGE($C$2:C509)</x:f>
        <x:v>1.294257968372098</x:v>
      </x:c>
      <x:c r="E509" s="128" t="n">
        <x:f>'Итоги'!$B$9</x:f>
        <x:v>1.2958368660043291</x:v>
      </x:c>
      <x:c r="F509" s="129" t="n">
        <x:f>ABS(D509-E509)</x:f>
        <x:v>0.0015788976322310688</x:v>
      </x:c>
    </x:row>
    <x:row r="510">
      <x:c r="A510" s="107" t="n">
        <x:v>509</x:v>
      </x:c>
      <x:c r="B510" s="128" t="n">
        <x:v>1.9882832930348469</x:v>
      </x:c>
      <x:c r="C510" s="128" t="n">
        <x:f>LN(B510)</x:f>
        <x:v>0.6872715996085872</x:v>
      </x:c>
      <x:c r="D510" s="128" t="n">
        <x:f>'Итоги'!$B$8*AVERAGE($C$2:C510)</x:f>
        <x:v>1.2944156996704184</x:v>
      </x:c>
      <x:c r="E510" s="128" t="n">
        <x:f>'Итоги'!$B$9</x:f>
        <x:v>1.2958368660043291</x:v>
      </x:c>
      <x:c r="F510" s="129" t="n">
        <x:f>ABS(D510-E510)</x:f>
        <x:v>0.0014211663339107616</x:v>
      </x:c>
    </x:row>
    <x:row r="511">
      <x:c r="A511" s="107" t="n">
        <x:v>510</x:v>
      </x:c>
      <x:c r="B511" s="128" t="n">
        <x:v>1.2317134486705368</x:v>
      </x:c>
      <x:c r="C511" s="128" t="n">
        <x:f>LN(B511)</x:f>
        <x:v>0.20840624769317012</x:v>
      </x:c>
      <x:c r="D511" s="128" t="n">
        <x:f>'Итоги'!$B$8*AVERAGE($C$2:C511)</x:f>
        <x:v>1.292694909073783</x:v>
      </x:c>
      <x:c r="E511" s="128" t="n">
        <x:f>'Итоги'!$B$9</x:f>
        <x:v>1.2958368660043291</x:v>
      </x:c>
      <x:c r="F511" s="129" t="n">
        <x:f>ABS(D511-E511)</x:f>
        <x:v>0.003141956930546197</x:v>
      </x:c>
    </x:row>
    <x:row r="512">
      <x:c r="A512" s="107" t="n">
        <x:v>511</x:v>
      </x:c>
      <x:c r="B512" s="128" t="n">
        <x:v>1.1441182941458874</x:v>
      </x:c>
      <x:c r="C512" s="128" t="n">
        <x:f>LN(B512)</x:f>
        <x:v>0.13463429158546159</x:v>
      </x:c>
      <x:c r="D512" s="128" t="n">
        <x:f>'Итоги'!$B$8*AVERAGE($C$2:C512)</x:f>
        <x:v>1.290692117829355</x:v>
      </x:c>
      <x:c r="E512" s="128" t="n">
        <x:f>'Итоги'!$B$9</x:f>
        <x:v>1.2958368660043291</x:v>
      </x:c>
      <x:c r="F512" s="129" t="n">
        <x:f>ABS(D512-E512)</x:f>
        <x:v>0.005144748174974234</x:v>
      </x:c>
    </x:row>
    <x:row r="513">
      <x:c r="A513" s="107" t="n">
        <x:v>512</x:v>
      </x:c>
      <x:c r="B513" s="128" t="n">
        <x:v>2.6839864220789265</x:v>
      </x:c>
      <x:c r="C513" s="128" t="n">
        <x:f>LN(B513)</x:f>
        <x:v>0.9873031602586835</x:v>
      </x:c>
      <x:c r="D513" s="128" t="n">
        <x:f>'Итоги'!$B$8*AVERAGE($C$2:C513)</x:f>
        <x:v>1.29202788775648</x:v>
      </x:c>
      <x:c r="E513" s="128" t="n">
        <x:f>'Итоги'!$B$9</x:f>
        <x:v>1.2958368660043291</x:v>
      </x:c>
      <x:c r="F513" s="129" t="n">
        <x:f>ABS(D513-E513)</x:f>
        <x:v>0.003808978247849204</x:v>
      </x:c>
    </x:row>
    <x:row r="514">
      <x:c r="A514" s="107" t="n">
        <x:v>513</x:v>
      </x:c>
      <x:c r="B514" s="128" t="n">
        <x:v>1.1111358338137558</x:v>
      </x:c>
      <x:c r="C514" s="128" t="n">
        <x:f>LN(B514)</x:f>
        <x:v>0.10538276584266933</x:v>
      </x:c>
      <x:c r="D514" s="128" t="n">
        <x:f>'Итоги'!$B$8*AVERAGE($C$2:C514)</x:f>
        <x:v>1.289920163865503</x:v>
      </x:c>
      <x:c r="E514" s="128" t="n">
        <x:f>'Итоги'!$B$9</x:f>
        <x:v>1.2958368660043291</x:v>
      </x:c>
      <x:c r="F514" s="129" t="n">
        <x:f>ABS(D514-E514)</x:f>
        <x:v>0.005916702138826224</x:v>
      </x:c>
    </x:row>
    <x:row r="515">
      <x:c r="A515" s="107" t="n">
        <x:v>514</x:v>
      </x:c>
      <x:c r="B515" s="128" t="n">
        <x:v>1.5612228722673118</x:v>
      </x:c>
      <x:c r="C515" s="128" t="n">
        <x:f>LN(B515)</x:f>
        <x:v>0.44546940665725204</x:v>
      </x:c>
      <x:c r="D515" s="128" t="n">
        <x:f>'Итоги'!$B$8*AVERAGE($C$2:C515)</x:f>
        <x:v>1.289143935557038</x:v>
      </x:c>
      <x:c r="E515" s="128" t="n">
        <x:f>'Итоги'!$B$9</x:f>
        <x:v>1.2958368660043291</x:v>
      </x:c>
      <x:c r="F515" s="129" t="n">
        <x:f>ABS(D515-E515)</x:f>
        <x:v>0.006692930447291134</x:v>
      </x:c>
    </x:row>
    <x:row r="516">
      <x:c r="A516" s="107" t="n">
        <x:v>515</x:v>
      </x:c>
      <x:c r="B516" s="128" t="n">
        <x:v>1.6682600810030916</x:v>
      </x:c>
      <x:c r="C516" s="128" t="n">
        <x:f>LN(B516)</x:f>
        <x:v>0.5117812156444578</x:v>
      </x:c>
      <x:c r="D516" s="128" t="n">
        <x:f>'Итоги'!$B$8*AVERAGE($C$2:C516)</x:f>
        <x:v>1.2886282433157408</x:v>
      </x:c>
      <x:c r="E516" s="128" t="n">
        <x:f>'Итоги'!$B$9</x:f>
        <x:v>1.2958368660043291</x:v>
      </x:c>
      <x:c r="F516" s="129" t="n">
        <x:f>ABS(D516-E516)</x:f>
        <x:v>0.007208622688588351</x:v>
      </x:c>
    </x:row>
    <x:row r="517">
      <x:c r="A517" s="107" t="n">
        <x:v>516</x:v>
      </x:c>
      <x:c r="B517" s="128" t="n">
        <x:v>1.3459888903831876</x:v>
      </x:c>
      <x:c r="C517" s="128" t="n">
        <x:f>LN(B517)</x:f>
        <x:v>0.29712897738697813</x:v>
      </x:c>
      <x:c r="D517" s="128" t="n">
        <x:f>'Итоги'!$B$8*AVERAGE($C$2:C517)</x:f>
        <x:v>1.2872825644619776</x:v>
      </x:c>
      <x:c r="E517" s="128" t="n">
        <x:f>'Итоги'!$B$9</x:f>
        <x:v>1.2958368660043291</x:v>
      </x:c>
      <x:c r="F517" s="129" t="n">
        <x:f>ABS(D517-E517)</x:f>
        <x:v>0.008554301542351483</x:v>
      </x:c>
    </x:row>
    <x:row r="518">
      <x:c r="A518" s="107" t="n">
        <x:v>517</x:v>
      </x:c>
      <x:c r="B518" s="128" t="n">
        <x:v>1.6277867396039785</x:v>
      </x:c>
      <x:c r="C518" s="128" t="n">
        <x:f>LN(B518)</x:f>
        <x:v>0.4872212636704595</x:v>
      </x:c>
      <x:c r="D518" s="128" t="n">
        <x:f>'Итоги'!$B$8*AVERAGE($C$2:C518)</x:f>
        <x:v>1.286677458007198</x:v>
      </x:c>
      <x:c r="E518" s="128" t="n">
        <x:f>'Итоги'!$B$9</x:f>
        <x:v>1.2958368660043291</x:v>
      </x:c>
      <x:c r="F518" s="129" t="n">
        <x:f>ABS(D518-E518)</x:f>
        <x:v>0.009159407997131108</x:v>
      </x:c>
    </x:row>
    <x:row r="519">
      <x:c r="A519" s="107" t="n">
        <x:v>518</x:v>
      </x:c>
      <x:c r="B519" s="128" t="n">
        <x:v>2.4853851334501713</x:v>
      </x:c>
      <x:c r="C519" s="128" t="n">
        <x:f>LN(B519)</x:f>
        <x:v>0.9104276308196713</x:v>
      </x:c>
      <x:c r="D519" s="128" t="n">
        <x:f>'Итоги'!$B$8*AVERAGE($C$2:C519)</x:f>
        <x:v>1.2877086892883411</x:v>
      </x:c>
      <x:c r="E519" s="128" t="n">
        <x:f>'Итоги'!$B$9</x:f>
        <x:v>1.2958368660043291</x:v>
      </x:c>
      <x:c r="F519" s="129" t="n">
        <x:f>ABS(D519-E519)</x:f>
        <x:v>0.008128176715987978</x:v>
      </x:c>
    </x:row>
    <x:row r="520">
      <x:c r="A520" s="107" t="n">
        <x:v>519</x:v>
      </x:c>
      <x:c r="B520" s="128" t="n">
        <x:v>1.0293656871201415</x:v>
      </x:c>
      <x:c r="C520" s="128" t="n">
        <x:f>LN(B520)</x:f>
        <x:v>0.02894277478815403</x:v>
      </x:c>
      <x:c r="D520" s="128" t="n">
        <x:f>'Итоги'!$B$8*AVERAGE($C$2:C520)</x:f>
        <x:v>1.2853390878630773</x:v>
      </x:c>
      <x:c r="E520" s="128" t="n">
        <x:f>'Итоги'!$B$9</x:f>
        <x:v>1.2958368660043291</x:v>
      </x:c>
      <x:c r="F520" s="129" t="n">
        <x:f>ABS(D520-E520)</x:f>
        <x:v>0.010497778141251857</x:v>
      </x:c>
    </x:row>
    <x:row r="521">
      <x:c r="A521" s="107" t="n">
        <x:v>520</x:v>
      </x:c>
      <x:c r="B521" s="128" t="n">
        <x:v>2.6543468490413726</x:v>
      </x:c>
      <x:c r="C521" s="128" t="n">
        <x:f>LN(B521)</x:f>
        <x:v>0.9761986165349749</x:v>
      </x:c>
      <x:c r="D521" s="128" t="n">
        <x:f>'Итоги'!$B$8*AVERAGE($C$2:C521)</x:f>
        <x:v>1.286621891988475</x:v>
      </x:c>
      <x:c r="E521" s="128" t="n">
        <x:f>'Итоги'!$B$9</x:f>
        <x:v>1.2958368660043291</x:v>
      </x:c>
      <x:c r="F521" s="129" t="n">
        <x:f>ABS(D521-E521)</x:f>
        <x:v>0.009214974015854027</x:v>
      </x:c>
    </x:row>
    <x:row r="522">
      <x:c r="A522" s="107" t="n">
        <x:v>521</x:v>
      </x:c>
      <x:c r="B522" s="128" t="n">
        <x:v>2.7130960471491163</x:v>
      </x:c>
      <x:c r="C522" s="128" t="n">
        <x:f>LN(B522)</x:f>
        <x:v>0.9980904356115529</x:v>
      </x:c>
      <x:c r="D522" s="128" t="n">
        <x:f>'Итоги'!$B$8*AVERAGE($C$2:C522)</x:f>
        <x:v>1.287983809415029</x:v>
      </x:c>
      <x:c r="E522" s="128" t="n">
        <x:f>'Итоги'!$B$9</x:f>
        <x:v>1.2958368660043291</x:v>
      </x:c>
      <x:c r="F522" s="129" t="n">
        <x:f>ABS(D522-E522)</x:f>
        <x:v>0.007853056589300023</x:v>
      </x:c>
    </x:row>
    <x:row r="523">
      <x:c r="A523" s="107" t="n">
        <x:v>522</x:v>
      </x:c>
      <x:c r="B523" s="128" t="n">
        <x:v>1.7445231463830964</x:v>
      </x:c>
      <x:c r="C523" s="128" t="n">
        <x:f>LN(B523)</x:f>
        <x:v>0.5564812497613683</x:v>
      </x:c>
      <x:c r="D523" s="128" t="n">
        <x:f>'Итоги'!$B$8*AVERAGE($C$2:C523)</x:f>
        <x:v>1.287648519549335</x:v>
      </x:c>
      <x:c r="E523" s="128" t="n">
        <x:f>'Итоги'!$B$9</x:f>
        <x:v>1.2958368660043291</x:v>
      </x:c>
      <x:c r="F523" s="129" t="n">
        <x:f>ABS(D523-E523)</x:f>
        <x:v>0.008188346454994111</x:v>
      </x:c>
    </x:row>
    <x:row r="524">
      <x:c r="A524" s="107" t="n">
        <x:v>523</x:v>
      </x:c>
      <x:c r="B524" s="128" t="n">
        <x:v>1.3072257981212696</x:v>
      </x:c>
      <x:c r="C524" s="128" t="n">
        <x:f>LN(B524)</x:f>
        <x:v>0.26790718033374883</x:v>
      </x:c>
      <x:c r="D524" s="128" t="n">
        <x:f>'Итоги'!$B$8*AVERAGE($C$2:C524)</x:f>
        <x:v>1.2862109781365592</x:v>
      </x:c>
      <x:c r="E524" s="128" t="n">
        <x:f>'Итоги'!$B$9</x:f>
        <x:v>1.2958368660043291</x:v>
      </x:c>
      <x:c r="F524" s="129" t="n">
        <x:f>ABS(D524-E524)</x:f>
        <x:v>0.009625887867769967</x:v>
      </x:c>
    </x:row>
    <x:row r="525">
      <x:c r="A525" s="107" t="n">
        <x:v>524</x:v>
      </x:c>
      <x:c r="B525" s="128" t="n">
        <x:v>2.2016808158901617</x:v>
      </x:c>
      <x:c r="C525" s="128" t="n">
        <x:f>LN(B525)</x:f>
        <x:v>0.7892210758821198</x:v>
      </x:c>
      <x:c r="D525" s="128" t="n">
        <x:f>'Итоги'!$B$8*AVERAGE($C$2:C525)</x:f>
        <x:v>1.2867686712160011</x:v>
      </x:c>
      <x:c r="E525" s="128" t="n">
        <x:f>'Итоги'!$B$9</x:f>
        <x:v>1.2958368660043291</x:v>
      </x:c>
      <x:c r="F525" s="129" t="n">
        <x:f>ABS(D525-E525)</x:f>
        <x:v>0.009068194788327988</x:v>
      </x:c>
    </x:row>
    <x:row r="526">
      <x:c r="A526" s="107" t="n">
        <x:v>525</x:v>
      </x:c>
      <x:c r="B526" s="128" t="n">
        <x:v>1.2393451117297887</x:v>
      </x:c>
      <x:c r="C526" s="128" t="n">
        <x:f>LN(B526)</x:f>
        <x:v>0.21458310440237913</x:v>
      </x:c>
      <x:c r="D526" s="128" t="n">
        <x:f>'Итоги'!$B$8*AVERAGE($C$2:C526)</x:f>
        <x:v>1.2851351427161701</x:v>
      </x:c>
      <x:c r="E526" s="128" t="n">
        <x:f>'Итоги'!$B$9</x:f>
        <x:v>1.2958368660043291</x:v>
      </x:c>
      <x:c r="F526" s="129" t="n">
        <x:f>ABS(D526-E526)</x:f>
        <x:v>0.010701723288158993</x:v>
      </x:c>
    </x:row>
    <x:row r="527">
      <x:c r="A527" s="107" t="n">
        <x:v>526</x:v>
      </x:c>
      <x:c r="B527" s="128" t="n">
        <x:v>1.729838722156505</x:v>
      </x:c>
      <x:c r="C527" s="128" t="n">
        <x:f>LN(B527)</x:f>
        <x:v>0.5480281799770517</x:v>
      </x:c>
      <x:c r="D527" s="128" t="n">
        <x:f>'Итоги'!$B$8*AVERAGE($C$2:C527)</x:f>
        <x:v>1.2847756773497023</x:v>
      </x:c>
      <x:c r="E527" s="128" t="n">
        <x:f>'Итоги'!$B$9</x:f>
        <x:v>1.2958368660043291</x:v>
      </x:c>
      <x:c r="F527" s="129" t="n">
        <x:f>ABS(D527-E527)</x:f>
        <x:v>0.011061188654626797</x:v>
      </x:c>
    </x:row>
    <x:row r="528">
      <x:c r="A528" s="107" t="n">
        <x:v>527</x:v>
      </x:c>
      <x:c r="B528" s="128" t="n">
        <x:v>2.916858361801945</x:v>
      </x:c>
      <x:c r="C528" s="128" t="n">
        <x:f>LN(B528)</x:f>
        <x:v>1.070507133588064</x:v>
      </x:c>
      <x:c r="D528" s="128" t="n">
        <x:f>'Итоги'!$B$8*AVERAGE($C$2:C528)</x:f>
        <x:v>1.2864004185068683</x:v>
      </x:c>
      <x:c r="E528" s="128" t="n">
        <x:f>'Итоги'!$B$9</x:f>
        <x:v>1.2958368660043291</x:v>
      </x:c>
      <x:c r="F528" s="129" t="n">
        <x:f>ABS(D528-E528)</x:f>
        <x:v>0.009436447497460865</x:v>
      </x:c>
    </x:row>
    <x:row r="529">
      <x:c r="A529" s="107" t="n">
        <x:v>528</x:v>
      </x:c>
      <x:c r="B529" s="128" t="n">
        <x:v>2.9909289451672745</x:v>
      </x:c>
      <x:c r="C529" s="128" t="n">
        <x:f>LN(B529)</x:f>
        <x:v>1.0955840231527472</x:v>
      </x:c>
      <x:c r="D529" s="128" t="n">
        <x:f>'Итоги'!$B$8*AVERAGE($C$2:C529)</x:f>
        <x:v>1.2881139935595172</x:v>
      </x:c>
      <x:c r="E529" s="128" t="n">
        <x:f>'Итоги'!$B$9</x:f>
        <x:v>1.2958368660043291</x:v>
      </x:c>
      <x:c r="F529" s="129" t="n">
        <x:f>ABS(D529-E529)</x:f>
        <x:v>0.007722872444811957</x:v>
      </x:c>
    </x:row>
    <x:row r="530">
      <x:c r="A530" s="107" t="n">
        <x:v>529</x:v>
      </x:c>
      <x:c r="B530" s="128" t="n">
        <x:v>2.544209782709171</x:v>
      </x:c>
      <x:c r="C530" s="128" t="n">
        <x:f>LN(B530)</x:f>
        <x:v>0.9338201038348416</x:v>
      </x:c>
      <x:c r="D530" s="128" t="n">
        <x:f>'Итоги'!$B$8*AVERAGE($C$2:C530)</x:f>
        <x:v>1.289209506251597</x:v>
      </x:c>
      <x:c r="E530" s="128" t="n">
        <x:f>'Итоги'!$B$9</x:f>
        <x:v>1.2958368660043291</x:v>
      </x:c>
      <x:c r="F530" s="129" t="n">
        <x:f>ABS(D530-E530)</x:f>
        <x:v>0.006627359752732209</x:v>
      </x:c>
    </x:row>
    <x:row r="531">
      <x:c r="A531" s="107" t="n">
        <x:v>530</x:v>
      </x:c>
      <x:c r="B531" s="128" t="n">
        <x:v>1.6219230198415324</x:v>
      </x:c>
      <x:c r="C531" s="128" t="n">
        <x:f>LN(B531)</x:f>
        <x:v>0.48361249454324245</x:v>
      </x:c>
      <x:c r="D531" s="128" t="n">
        <x:f>'Итоги'!$B$8*AVERAGE($C$2:C531)</x:f>
        <x:v>1.2886019882946815</x:v>
      </x:c>
      <x:c r="E531" s="128" t="n">
        <x:f>'Итоги'!$B$9</x:f>
        <x:v>1.2958368660043291</x:v>
      </x:c>
      <x:c r="F531" s="129" t="n">
        <x:f>ABS(D531-E531)</x:f>
        <x:v>0.007234877709647591</x:v>
      </x:c>
    </x:row>
    <x:row r="532">
      <x:c r="A532" s="107" t="n">
        <x:v>531</x:v>
      </x:c>
      <x:c r="B532" s="128" t="n">
        <x:v>2.375330098332185</x:v>
      </x:c>
      <x:c r="C532" s="128" t="n">
        <x:f>LN(B532)</x:f>
        <x:v>0.8651364166000064</x:v>
      </x:c>
      <x:c r="D532" s="128" t="n">
        <x:f>'Итоги'!$B$8*AVERAGE($C$2:C532)</x:f>
        <x:v>1.2894337601306616</x:v>
      </x:c>
      <x:c r="E532" s="128" t="n">
        <x:f>'Итоги'!$B$9</x:f>
        <x:v>1.2958368660043291</x:v>
      </x:c>
      <x:c r="F532" s="129" t="n">
        <x:f>ABS(D532-E532)</x:f>
        <x:v>0.006403105873667547</x:v>
      </x:c>
    </x:row>
    <x:row r="533">
      <x:c r="A533" s="107" t="n">
        <x:v>532</x:v>
      </x:c>
      <x:c r="B533" s="128" t="n">
        <x:v>2.4108127309680256</x:v>
      </x:c>
      <x:c r="C533" s="128" t="n">
        <x:f>LN(B533)</x:f>
        <x:v>0.8799639234191905</x:v>
      </x:c>
      <x:c r="D533" s="128" t="n">
        <x:f>'Итоги'!$B$8*AVERAGE($C$2:C533)</x:f>
        <x:v>1.2903181475116912</x:v>
      </x:c>
      <x:c r="E533" s="128" t="n">
        <x:f>'Итоги'!$B$9</x:f>
        <x:v>1.2958368660043291</x:v>
      </x:c>
      <x:c r="F533" s="129" t="n">
        <x:f>ABS(D533-E533)</x:f>
        <x:v>0.005518718492637964</x:v>
      </x:c>
    </x:row>
    <x:row r="534">
      <x:c r="A534" s="107" t="n">
        <x:v>533</x:v>
      </x:c>
      <x:c r="B534" s="128" t="n">
        <x:v>1.7756833903272995</x:v>
      </x:c>
      <x:c r="C534" s="128" t="n">
        <x:f>LN(B534)</x:f>
        <x:v>0.5741853574656709</x:v>
      </x:c>
      <x:c r="D534" s="128" t="n">
        <x:f>'Итоги'!$B$8*AVERAGE($C$2:C534)</x:f>
        <x:v>1.2900518296269252</x:v>
      </x:c>
      <x:c r="E534" s="128" t="n">
        <x:f>'Итоги'!$B$9</x:f>
        <x:v>1.2958368660043291</x:v>
      </x:c>
      <x:c r="F534" s="129" t="n">
        <x:f>ABS(D534-E534)</x:f>
        <x:v>0.005785036377403907</x:v>
      </x:c>
    </x:row>
    <x:row r="535">
      <x:c r="A535" s="107" t="n">
        <x:v>534</x:v>
      </x:c>
      <x:c r="B535" s="128" t="n">
        <x:v>2.281777269172319</x:v>
      </x:c>
      <x:c r="C535" s="128" t="n">
        <x:f>LN(B535)</x:f>
        <x:v>0.8249546433338256</x:v>
      </x:c>
      <x:c r="D535" s="128" t="n">
        <x:f>'Итоги'!$B$8*AVERAGE($C$2:C535)</x:f>
        <x:v>1.2907257199959155</x:v>
      </x:c>
      <x:c r="E535" s="128" t="n">
        <x:f>'Итоги'!$B$9</x:f>
        <x:v>1.2958368660043291</x:v>
      </x:c>
      <x:c r="F535" s="129" t="n">
        <x:f>ABS(D535-E535)</x:f>
        <x:v>0.0051111460084136695</x:v>
      </x:c>
    </x:row>
    <x:row r="536">
      <x:c r="A536" s="107" t="n">
        <x:v>535</x:v>
      </x:c>
      <x:c r="B536" s="128" t="n">
        <x:v>1.0214552899513525</x:v>
      </x:c>
      <x:c r="C536" s="128" t="n">
        <x:f>LN(B536)</x:f>
        <x:v>0.02122836530281972</x:v>
      </x:c>
      <x:c r="D536" s="128" t="n">
        <x:f>'Итоги'!$B$8*AVERAGE($C$2:C536)</x:f>
        <x:v>1.2883925069316344</x:v>
      </x:c>
      <x:c r="E536" s="128" t="n">
        <x:f>'Итоги'!$B$9</x:f>
        <x:v>1.2958368660043291</x:v>
      </x:c>
      <x:c r="F536" s="129" t="n">
        <x:f>ABS(D536-E536)</x:f>
        <x:v>0.007444359072694695</x:v>
      </x:c>
    </x:row>
    <x:row r="537">
      <x:c r="A537" s="107" t="n">
        <x:v>536</x:v>
      </x:c>
      <x:c r="B537" s="128" t="n">
        <x:v>1.418115317204483</x:v>
      </x:c>
      <x:c r="C537" s="128" t="n">
        <x:f>LN(B537)</x:f>
        <x:v>0.3493287486428823</x:v>
      </x:c>
      <x:c r="D537" s="128" t="n">
        <x:f>'Итоги'!$B$8*AVERAGE($C$2:C537)</x:f>
        <x:v>1.2872922550479668</x:v>
      </x:c>
      <x:c r="E537" s="128" t="n">
        <x:f>'Итоги'!$B$9</x:f>
        <x:v>1.2958368660043291</x:v>
      </x:c>
      <x:c r="F537" s="129" t="n">
        <x:f>ABS(D537-E537)</x:f>
        <x:v>0.008544610956362275</x:v>
      </x:c>
    </x:row>
    <x:row r="538">
      <x:c r="A538" s="107" t="n">
        <x:v>537</x:v>
      </x:c>
      <x:c r="B538" s="128" t="n">
        <x:v>2.0501766059345226</x:v>
      </x:c>
      <x:c r="C538" s="128" t="n">
        <x:f>LN(B538)</x:f>
        <x:v>0.7179259386760369</x:v>
      </x:c>
      <x:c r="D538" s="128" t="n">
        <x:f>'Итоги'!$B$8*AVERAGE($C$2:C538)</x:f>
        <x:v>1.2875689023893153</x:v>
      </x:c>
      <x:c r="E538" s="128" t="n">
        <x:f>'Итоги'!$B$9</x:f>
        <x:v>1.2958368660043291</x:v>
      </x:c>
      <x:c r="F538" s="129" t="n">
        <x:f>ABS(D538-E538)</x:f>
        <x:v>0.008267963615013807</x:v>
      </x:c>
    </x:row>
    <x:row r="539">
      <x:c r="A539" s="107" t="n">
        <x:v>538</x:v>
      </x:c>
      <x:c r="B539" s="128" t="n">
        <x:v>1.3275026085165917</x:v>
      </x:c>
      <x:c r="C539" s="128" t="n">
        <x:f>LN(B539)</x:f>
        <x:v>0.28329943911627614</x:v>
      </x:c>
      <x:c r="D539" s="128" t="n">
        <x:f>'Итоги'!$B$8*AVERAGE($C$2:C539)</x:f>
        <x:v>1.2862288094076113</x:v>
      </x:c>
      <x:c r="E539" s="128" t="n">
        <x:f>'Итоги'!$B$9</x:f>
        <x:v>1.2958368660043291</x:v>
      </x:c>
      <x:c r="F539" s="129" t="n">
        <x:f>ABS(D539-E539)</x:f>
        <x:v>0.009608056596717818</x:v>
      </x:c>
    </x:row>
    <x:row r="540">
      <x:c r="A540" s="107" t="n">
        <x:v>539</x:v>
      </x:c>
      <x:c r="B540" s="128" t="n">
        <x:v>1.3318137357530673</x:v>
      </x:c>
      <x:c r="C540" s="128" t="n">
        <x:f>LN(B540)</x:f>
        <x:v>0.28654172431672664</x:v>
      </x:c>
      <x:c r="D540" s="128" t="n">
        <x:f>'Итоги'!$B$8*AVERAGE($C$2:C540)</x:f>
        <x:v>1.2849057196844682</x:v>
      </x:c>
      <x:c r="E540" s="128" t="n">
        <x:f>'Итоги'!$B$9</x:f>
        <x:v>1.2958368660043291</x:v>
      </x:c>
      <x:c r="F540" s="129" t="n">
        <x:f>ABS(D540-E540)</x:f>
        <x:v>0.010931146319860918</x:v>
      </x:c>
    </x:row>
    <x:row r="541">
      <x:c r="A541" s="107" t="n">
        <x:v>540</x:v>
      </x:c>
      <x:c r="B541" s="128" t="n">
        <x:v>2.6726085811004756</x:v>
      </x:c>
      <x:c r="C541" s="128" t="n">
        <x:f>LN(B541)</x:f>
        <x:v>0.983054992128387</x:v>
      </x:c>
      <x:c r="D541" s="128" t="n">
        <x:f>'Итоги'!$B$8*AVERAGE($C$2:C541)</x:f>
        <x:v>1.2861672090633058</x:v>
      </x:c>
      <x:c r="E541" s="128" t="n">
        <x:f>'Итоги'!$B$9</x:f>
        <x:v>1.2958368660043291</x:v>
      </x:c>
      <x:c r="F541" s="129" t="n">
        <x:f>ABS(D541-E541)</x:f>
        <x:v>0.009669656941023286</x:v>
      </x:c>
    </x:row>
    <x:row r="542">
      <x:c r="A542" s="107" t="n">
        <x:v>541</x:v>
      </x:c>
      <x:c r="B542" s="128" t="n">
        <x:v>2.978266005367211</x:v>
      </x:c>
      <x:c r="C542" s="128" t="n">
        <x:f>LN(B542)</x:f>
        <x:v>1.0913412537674096</x:v>
      </x:c>
      <x:c r="D542" s="128" t="n">
        <x:f>'Итоги'!$B$8*AVERAGE($C$2:C542)</x:f>
        <x:v>1.287824353792458</x:v>
      </x:c>
      <x:c r="E542" s="128" t="n">
        <x:f>'Итоги'!$B$9</x:f>
        <x:v>1.2958368660043291</x:v>
      </x:c>
      <x:c r="F542" s="129" t="n">
        <x:f>ABS(D542-E542)</x:f>
        <x:v>0.008012512211871048</x:v>
      </x:c>
    </x:row>
    <x:row r="543">
      <x:c r="A543" s="107" t="n">
        <x:v>542</x:v>
      </x:c>
      <x:c r="B543" s="128" t="n">
        <x:v>2.111938856056897</x:v>
      </x:c>
      <x:c r="C543" s="128" t="n">
        <x:f>LN(B543)</x:f>
        <x:v>0.7476064146942986</x:v>
      </x:c>
      <x:c r="D543" s="128" t="n">
        <x:f>'Итоги'!$B$8*AVERAGE($C$2:C543)</x:f>
        <x:v>1.2882069893562886</x:v>
      </x:c>
      <x:c r="E543" s="128" t="n">
        <x:f>'Итоги'!$B$9</x:f>
        <x:v>1.2958368660043291</x:v>
      </x:c>
      <x:c r="F543" s="129" t="n">
        <x:f>ABS(D543-E543)</x:f>
        <x:v>0.00762987664804049</x:v>
      </x:c>
    </x:row>
    <x:row r="544">
      <x:c r="A544" s="107" t="n">
        <x:v>543</x:v>
      </x:c>
      <x:c r="B544" s="128" t="n">
        <x:v>2.678139461763427</x:v>
      </x:c>
      <x:c r="C544" s="128" t="n">
        <x:f>LN(B544)</x:f>
        <x:v>0.9851223227477669</x:v>
      </x:c>
      <x:c r="D544" s="128" t="n">
        <x:f>'Итоги'!$B$8*AVERAGE($C$2:C544)</x:f>
        <x:v>1.2894630439716463</x:v>
      </x:c>
      <x:c r="E544" s="128" t="n">
        <x:f>'Итоги'!$B$9</x:f>
        <x:v>1.2958368660043291</x:v>
      </x:c>
      <x:c r="F544" s="129" t="n">
        <x:f>ABS(D544-E544)</x:f>
        <x:v>0.006373822032682774</x:v>
      </x:c>
    </x:row>
    <x:row r="545">
      <x:c r="A545" s="107" t="n">
        <x:v>544</x:v>
      </x:c>
      <x:c r="B545" s="128" t="n">
        <x:v>2.980643328652545</x:v>
      </x:c>
      <x:c r="C545" s="128" t="n">
        <x:f>LN(B545)</x:f>
        <x:v>1.0921391593162955</x:v>
      </x:c>
      <x:c r="D545" s="128" t="n">
        <x:f>'Итоги'!$B$8*AVERAGE($C$2:C545)</x:f>
        <x:v>1.2911079249912436</x:v>
      </x:c>
      <x:c r="E545" s="128" t="n">
        <x:f>'Итоги'!$B$9</x:f>
        <x:v>1.2958368660043291</x:v>
      </x:c>
      <x:c r="F545" s="129" t="n">
        <x:f>ABS(D545-E545)</x:f>
        <x:v>0.004728941013085519</x:v>
      </x:c>
    </x:row>
    <x:row r="546">
      <x:c r="A546" s="107" t="n">
        <x:v>545</x:v>
      </x:c>
      <x:c r="B546" s="128" t="n">
        <x:v>1.2831917771375494</x:v>
      </x:c>
      <x:c r="C546" s="128" t="n">
        <x:f>LN(B546)</x:f>
        <x:v>0.24935055001851922</x:v>
      </x:c>
      <x:c r="D546" s="128" t="n">
        <x:f>'Итоги'!$B$8*AVERAGE($C$2:C546)</x:f>
        <x:v>1.2896539675142635</x:v>
      </x:c>
      <x:c r="E546" s="128" t="n">
        <x:f>'Итоги'!$B$9</x:f>
        <x:v>1.2958368660043291</x:v>
      </x:c>
      <x:c r="F546" s="129" t="n">
        <x:f>ABS(D546-E546)</x:f>
        <x:v>0.0061828984900655914</x:v>
      </x:c>
    </x:row>
    <x:row r="547">
      <x:c r="A547" s="107" t="n">
        <x:v>546</x:v>
      </x:c>
      <x:c r="B547" s="128" t="n">
        <x:v>1.8964912265087022</x:v>
      </x:c>
      <x:c r="C547" s="128" t="n">
        <x:f>LN(B547)</x:f>
        <x:v>0.6400054559872639</x:v>
      </x:c>
      <x:c r="D547" s="128" t="n">
        <x:f>'Итоги'!$B$8*AVERAGE($C$2:C547)</x:f>
        <x:v>1.289636306240381</x:v>
      </x:c>
      <x:c r="E547" s="128" t="n">
        <x:f>'Итоги'!$B$9</x:f>
        <x:v>1.2958368660043291</x:v>
      </x:c>
      <x:c r="F547" s="129" t="n">
        <x:f>ABS(D547-E547)</x:f>
        <x:v>0.006200559763948066</x:v>
      </x:c>
    </x:row>
    <x:row r="548">
      <x:c r="A548" s="107" t="n">
        <x:v>547</x:v>
      </x:c>
      <x:c r="B548" s="128" t="n">
        <x:v>1.7851454316838398</x:v>
      </x:c>
      <x:c r="C548" s="128" t="n">
        <x:f>LN(B548)</x:f>
        <x:v>0.5794998862454326</x:v>
      </x:c>
      <x:c r="D548" s="128" t="n">
        <x:f>'Итоги'!$B$8*AVERAGE($C$2:C548)</x:f>
        <x:v>1.2893974825955008</x:v>
      </x:c>
      <x:c r="E548" s="128" t="n">
        <x:f>'Итоги'!$B$9</x:f>
        <x:v>1.2958368660043291</x:v>
      </x:c>
      <x:c r="F548" s="129" t="n">
        <x:f>ABS(D548-E548)</x:f>
        <x:v>0.006439383408828325</x:v>
      </x:c>
    </x:row>
    <x:row r="549">
      <x:c r="A549" s="107" t="n">
        <x:v>548</x:v>
      </x:c>
      <x:c r="B549" s="128" t="n">
        <x:v>1.16009856729237</x:v>
      </x:c>
      <x:c r="C549" s="128" t="n">
        <x:f>LN(B549)</x:f>
        <x:v>0.14850497331214133</x:v>
      </x:c>
      <x:c r="D549" s="128" t="n">
        <x:f>'Итоги'!$B$8*AVERAGE($C$2:C549)</x:f>
        <x:v>1.2875865564349693</x:v>
      </x:c>
      <x:c r="E549" s="128" t="n">
        <x:f>'Итоги'!$B$9</x:f>
        <x:v>1.2958368660043291</x:v>
      </x:c>
      <x:c r="F549" s="129" t="n">
        <x:f>ABS(D549-E549)</x:f>
        <x:v>0.008250309569359793</x:v>
      </x:c>
    </x:row>
    <x:row r="550">
      <x:c r="A550" s="107" t="n">
        <x:v>549</x:v>
      </x:c>
      <x:c r="B550" s="128" t="n">
        <x:v>2.510660345589489</x:v>
      </x:c>
      <x:c r="C550" s="128" t="n">
        <x:f>LN(B550)</x:f>
        <x:v>0.9205458044348945</x:v>
      </x:c>
      <x:c r="D550" s="128" t="n">
        <x:f>'Итоги'!$B$8*AVERAGE($C$2:C550)</x:f>
        <x:v>1.2885947623592586</x:v>
      </x:c>
      <x:c r="E550" s="128" t="n">
        <x:f>'Итоги'!$B$9</x:f>
        <x:v>1.2958368660043291</x:v>
      </x:c>
      <x:c r="F550" s="129" t="n">
        <x:f>ABS(D550-E550)</x:f>
        <x:v>0.007242103645070497</x:v>
      </x:c>
    </x:row>
    <x:row r="551">
      <x:c r="A551" s="107" t="n">
        <x:v>550</x:v>
      </x:c>
      <x:c r="B551" s="128" t="n">
        <x:v>1.867558054645186</x:v>
      </x:c>
      <x:c r="C551" s="128" t="n">
        <x:f>LN(B551)</x:f>
        <x:v>0.6246317243663815</x:v>
      </x:c>
      <x:c r="D551" s="128" t="n">
        <x:f>'Итоги'!$B$8*AVERAGE($C$2:C551)</x:f>
        <x:v>1.2885232508799378</x:v>
      </x:c>
      <x:c r="E551" s="128" t="n">
        <x:f>'Итоги'!$B$9</x:f>
        <x:v>1.2958368660043291</x:v>
      </x:c>
      <x:c r="F551" s="129" t="n">
        <x:f>ABS(D551-E551)</x:f>
        <x:v>0.007313615124391326</x:v>
      </x:c>
    </x:row>
    <x:row r="552">
      <x:c r="A552" s="107" t="n">
        <x:v>551</x:v>
      </x:c>
      <x:c r="B552" s="128" t="n">
        <x:v>1.9386538683808026</x:v>
      </x:c>
      <x:c r="C552" s="128" t="n">
        <x:f>LN(B552)</x:f>
        <x:v>0.6619938499495723</x:v>
      </x:c>
      <x:c r="D552" s="128" t="n">
        <x:f>'Итоги'!$B$8*AVERAGE($C$2:C552)</x:f>
        <x:v>1.2885876146712612</x:v>
      </x:c>
      <x:c r="E552" s="128" t="n">
        <x:f>'Итоги'!$B$9</x:f>
        <x:v>1.2958368660043291</x:v>
      </x:c>
      <x:c r="F552" s="129" t="n">
        <x:f>ABS(D552-E552)</x:f>
        <x:v>0.007249251333067974</x:v>
      </x:c>
    </x:row>
    <x:row r="553">
      <x:c r="A553" s="107" t="n">
        <x:v>552</x:v>
      </x:c>
      <x:c r="B553" s="128" t="n">
        <x:v>1.3013459476264804</x:v>
      </x:c>
      <x:c r="C553" s="128" t="n">
        <x:f>LN(B553)</x:f>
        <x:v>0.26339907319626865</x:v>
      </x:c>
      <x:c r="D553" s="128" t="n">
        <x:f>'Итоги'!$B$8*AVERAGE($C$2:C553)</x:f>
        <x:v>1.2872075612866984</x:v>
      </x:c>
      <x:c r="E553" s="128" t="n">
        <x:f>'Итоги'!$B$9</x:f>
        <x:v>1.2958368660043291</x:v>
      </x:c>
      <x:c r="F553" s="129" t="n">
        <x:f>ABS(D553-E553)</x:f>
        <x:v>0.008629304717630681</x:v>
      </x:c>
    </x:row>
    <x:row r="554">
      <x:c r="A554" s="107" t="n">
        <x:v>553</x:v>
      </x:c>
      <x:c r="B554" s="128" t="n">
        <x:v>1.3618533044617362</x:v>
      </x:c>
      <x:c r="C554" s="128" t="n">
        <x:f>LN(B554)</x:f>
        <x:v>0.3088464959513852</x:v>
      </x:c>
      <x:c r="D554" s="128" t="n">
        <x:f>'Итоги'!$B$8*AVERAGE($C$2:C554)</x:f>
        <x:v>1.2859968658628578</x:v>
      </x:c>
      <x:c r="E554" s="128" t="n">
        <x:f>'Итоги'!$B$9</x:f>
        <x:v>1.2958368660043291</x:v>
      </x:c>
      <x:c r="F554" s="129" t="n">
        <x:f>ABS(D554-E554)</x:f>
        <x:v>0.00984000014147135</x:v>
      </x:c>
    </x:row>
    <x:row r="555">
      <x:c r="A555" s="107" t="n">
        <x:v>554</x:v>
      </x:c>
      <x:c r="B555" s="128" t="n">
        <x:v>2.81420724431243</x:v>
      </x:c>
      <x:c r="C555" s="128" t="n">
        <x:f>LN(B555)</x:f>
        <x:v>1.034680603568275</x:v>
      </x:c>
      <x:c r="D555" s="128" t="n">
        <x:f>'Итоги'!$B$8*AVERAGE($C$2:C555)</x:f>
        <x:v>1.2874108809193086</x:v>
      </x:c>
      <x:c r="E555" s="128" t="n">
        <x:f>'Итоги'!$B$9</x:f>
        <x:v>1.2958368660043291</x:v>
      </x:c>
      <x:c r="F555" s="129" t="n">
        <x:f>ABS(D555-E555)</x:f>
        <x:v>0.00842598508502057</x:v>
      </x:c>
    </x:row>
    <x:row r="556">
      <x:c r="A556" s="107" t="n">
        <x:v>555</x:v>
      </x:c>
      <x:c r="B556" s="128" t="n">
        <x:v>1.0892981779485578</x:v>
      </x:c>
      <x:c r="C556" s="128" t="n">
        <x:f>LN(B556)</x:f>
        <x:v>0.08553361542383725</x:v>
      </x:c>
      <x:c r="D556" s="128" t="n">
        <x:f>'Итоги'!$B$8*AVERAGE($C$2:C556)</x:f>
        <x:v>1.2853994509191795</x:v>
      </x:c>
      <x:c r="E556" s="128" t="n">
        <x:f>'Итоги'!$B$9</x:f>
        <x:v>1.2958368660043291</x:v>
      </x:c>
      <x:c r="F556" s="129" t="n">
        <x:f>ABS(D556-E556)</x:f>
        <x:v>0.010437415085149615</x:v>
      </x:c>
    </x:row>
    <x:row r="557">
      <x:c r="A557" s="107" t="n">
        <x:v>556</x:v>
      </x:c>
      <x:c r="B557" s="128" t="n">
        <x:v>1.4657045698874125</x:v>
      </x:c>
      <x:c r="C557" s="128" t="n">
        <x:f>LN(B557)</x:f>
        <x:v>0.3823360619335552</x:v>
      </x:c>
      <x:c r="D557" s="128" t="n">
        <x:f>'Итоги'!$B$8*AVERAGE($C$2:C557)</x:f>
        <x:v>1.2844628909784384</x:v>
      </x:c>
      <x:c r="E557" s="128" t="n">
        <x:f>'Итоги'!$B$9</x:f>
        <x:v>1.2958368660043291</x:v>
      </x:c>
      <x:c r="F557" s="129" t="n">
        <x:f>ABS(D557-E557)</x:f>
        <x:v>0.01137397502589077</x:v>
      </x:c>
    </x:row>
    <x:row r="558">
      <x:c r="A558" s="107" t="n">
        <x:v>557</x:v>
      </x:c>
      <x:c r="B558" s="128" t="n">
        <x:v>1.5841186606290567</x:v>
      </x:c>
      <x:c r="C558" s="128" t="n">
        <x:f>LN(B558)</x:f>
        <x:v>0.46002820259976274</x:v>
      </x:c>
      <x:c r="D558" s="128" t="n">
        <x:f>'Итоги'!$B$8*AVERAGE($C$2:C558)</x:f>
        <x:v>1.2838086603037902</x:v>
      </x:c>
      <x:c r="E558" s="128" t="n">
        <x:f>'Итоги'!$B$9</x:f>
        <x:v>1.2958368660043291</x:v>
      </x:c>
      <x:c r="F558" s="129" t="n">
        <x:f>ABS(D558-E558)</x:f>
        <x:v>0.012028205700538974</x:v>
      </x:c>
    </x:row>
    <x:row r="559">
      <x:c r="A559" s="107" t="n">
        <x:v>558</x:v>
      </x:c>
      <x:c r="B559" s="128" t="n">
        <x:v>1.9803950848031728</x:v>
      </x:c>
      <x:c r="C559" s="128" t="n">
        <x:f>LN(B559)</x:f>
        <x:v>0.6832963625808092</x:v>
      </x:c>
      <x:c r="D559" s="128" t="n">
        <x:f>'Итоги'!$B$8*AVERAGE($C$2:C559)</x:f>
        <x:v>1.2839570188429619</x:v>
      </x:c>
      <x:c r="E559" s="128" t="n">
        <x:f>'Итоги'!$B$9</x:f>
        <x:v>1.2958368660043291</x:v>
      </x:c>
      <x:c r="F559" s="129" t="n">
        <x:f>ABS(D559-E559)</x:f>
        <x:v>0.011879847161367252</x:v>
      </x:c>
    </x:row>
    <x:row r="560">
      <x:c r="A560" s="107" t="n">
        <x:v>559</x:v>
      </x:c>
      <x:c r="B560" s="128" t="n">
        <x:v>2.172890346029592</x:v>
      </x:c>
      <x:c r="C560" s="128" t="n">
        <x:f>LN(B560)</x:f>
        <x:v>0.7760582379806057</x:v>
      </x:c>
      <x:c r="D560" s="128" t="n">
        <x:f>'Итоги'!$B$8*AVERAGE($C$2:C560)</x:f>
        <x:v>1.2844367316463934</x:v>
      </x:c>
      <x:c r="E560" s="128" t="n">
        <x:f>'Итоги'!$B$9</x:f>
        <x:v>1.2958368660043291</x:v>
      </x:c>
      <x:c r="F560" s="129" t="n">
        <x:f>ABS(D560-E560)</x:f>
        <x:v>0.011400134357935743</x:v>
      </x:c>
    </x:row>
    <x:row r="561">
      <x:c r="A561" s="107" t="n">
        <x:v>560</x:v>
      </x:c>
      <x:c r="B561" s="128" t="n">
        <x:v>1.9865799517013332</x:v>
      </x:c>
      <x:c r="C561" s="128" t="n">
        <x:f>LN(B561)</x:f>
        <x:v>0.6864145429840431</x:v>
      </x:c>
      <x:c r="D561" s="128" t="n">
        <x:f>'Итоги'!$B$8*AVERAGE($C$2:C561)</x:f>
        <x:v>1.2845945751362535</x:v>
      </x:c>
      <x:c r="E561" s="128" t="n">
        <x:f>'Итоги'!$B$9</x:f>
        <x:v>1.2958368660043291</x:v>
      </x:c>
      <x:c r="F561" s="129" t="n">
        <x:f>ABS(D561-E561)</x:f>
        <x:v>0.0112422908680756</x:v>
      </x:c>
    </x:row>
    <x:row r="562">
      <x:c r="A562" s="107" t="n">
        <x:v>561</x:v>
      </x:c>
      <x:c r="B562" s="128" t="n">
        <x:v>1.168230669113764</x:v>
      </x:c>
      <x:c r="C562" s="128" t="n">
        <x:f>LN(B562)</x:f>
        <x:v>0.15549035558691074</x:v>
      </x:c>
      <x:c r="D562" s="128" t="n">
        <x:f>'Итоги'!$B$8*AVERAGE($C$2:C562)</x:f>
        <x:v>1.2828590780525415</x:v>
      </x:c>
      <x:c r="E562" s="128" t="n">
        <x:f>'Итоги'!$B$9</x:f>
        <x:v>1.2958368660043291</x:v>
      </x:c>
      <x:c r="F562" s="129" t="n">
        <x:f>ABS(D562-E562)</x:f>
        <x:v>0.012977787951787612</x:v>
      </x:c>
    </x:row>
    <x:row r="563">
      <x:c r="A563" s="107" t="n">
        <x:v>562</x:v>
      </x:c>
      <x:c r="B563" s="128" t="n">
        <x:v>1.487334908111427</x:v>
      </x:c>
      <x:c r="C563" s="128" t="n">
        <x:f>LN(B563)</x:f>
        <x:v>0.3969858661346516</x:v>
      </x:c>
      <x:c r="D563" s="128" t="n">
        <x:f>'Итоги'!$B$8*AVERAGE($C$2:C563)</x:f>
        <x:v>1.2819891717433185</x:v>
      </x:c>
      <x:c r="E563" s="128" t="n">
        <x:f>'Итоги'!$B$9</x:f>
        <x:v>1.2958368660043291</x:v>
      </x:c>
      <x:c r="F563" s="129" t="n">
        <x:f>ABS(D563-E563)</x:f>
        <x:v>0.013847694261010624</x:v>
      </x:c>
    </x:row>
    <x:row r="564">
      <x:c r="A564" s="107" t="n">
        <x:v>563</x:v>
      </x:c>
      <x:c r="B564" s="128" t="n">
        <x:v>2.6871767695250823</x:v>
      </x:c>
      <x:c r="C564" s="128" t="n">
        <x:f>LN(B564)</x:f>
        <x:v>0.9884911144159272</x:v>
      </x:c>
      <x:c r="D564" s="128" t="n">
        <x:f>'Итоги'!$B$8*AVERAGE($C$2:C564)</x:f>
        <x:v>1.2832236176706515</x:v>
      </x:c>
      <x:c r="E564" s="128" t="n">
        <x:f>'Итоги'!$B$9</x:f>
        <x:v>1.2958368660043291</x:v>
      </x:c>
      <x:c r="F564" s="129" t="n">
        <x:f>ABS(D564-E564)</x:f>
        <x:v>0.012613248333677607</x:v>
      </x:c>
    </x:row>
    <x:row r="565">
      <x:c r="A565" s="107" t="n">
        <x:v>564</x:v>
      </x:c>
      <x:c r="B565" s="128" t="n">
        <x:v>2.275177400956918</x:v>
      </x:c>
      <x:c r="C565" s="128" t="n">
        <x:f>LN(B565)</x:f>
        <x:v>0.8220580278053544</x:v>
      </x:c>
      <x:c r="D565" s="128" t="n">
        <x:f>'Итоги'!$B$8*AVERAGE($C$2:C565)</x:f>
        <x:v>1.2838634978797652</x:v>
      </x:c>
      <x:c r="E565" s="128" t="n">
        <x:f>'Итоги'!$B$9</x:f>
        <x:v>1.2958368660043291</x:v>
      </x:c>
      <x:c r="F565" s="129" t="n">
        <x:f>ABS(D565-E565)</x:f>
        <x:v>0.011973368124563954</x:v>
      </x:c>
    </x:row>
    <x:row r="566">
      <x:c r="A566" s="107" t="n">
        <x:v>565</x:v>
      </x:c>
      <x:c r="B566" s="128" t="n">
        <x:v>2.298298100268549</x:v>
      </x:c>
      <x:c r="C566" s="128" t="n">
        <x:f>LN(B566)</x:f>
        <x:v>0.8321688926272589</x:v>
      </x:c>
      <x:c r="D566" s="128" t="n">
        <x:f>'Итоги'!$B$8*AVERAGE($C$2:C566)</x:f>
        <x:v>1.2845369036981273</x:v>
      </x:c>
      <x:c r="E566" s="128" t="n">
        <x:f>'Итоги'!$B$9</x:f>
        <x:v>1.2958368660043291</x:v>
      </x:c>
      <x:c r="F566" s="129" t="n">
        <x:f>ABS(D566-E566)</x:f>
        <x:v>0.011299962306201783</x:v>
      </x:c>
    </x:row>
    <x:row r="567">
      <x:c r="A567" s="107" t="n">
        <x:v>566</x:v>
      </x:c>
      <x:c r="B567" s="128" t="n">
        <x:v>2.34040651070271</x:v>
      </x:c>
      <x:c r="C567" s="128" t="n">
        <x:f>LN(B567)</x:f>
        <x:v>0.8503246368041257</x:v>
      </x:c>
      <x:c r="D567" s="128" t="n">
        <x:f>'Итоги'!$B$8*AVERAGE($C$2:C567)</x:f>
        <x:v>1.2852720845636931</x:v>
      </x:c>
      <x:c r="E567" s="128" t="n">
        <x:f>'Итоги'!$B$9</x:f>
        <x:v>1.2958368660043291</x:v>
      </x:c>
      <x:c r="F567" s="129" t="n">
        <x:f>ABS(D567-E567)</x:f>
        <x:v>0.010564781440635995</x:v>
      </x:c>
    </x:row>
    <x:row r="568">
      <x:c r="A568" s="107" t="n">
        <x:v>567</x:v>
      </x:c>
      <x:c r="B568" s="128" t="n">
        <x:v>2.5258060380790583</x:v>
      </x:c>
      <x:c r="C568" s="128" t="n">
        <x:f>LN(B568)</x:f>
        <x:v>0.9265602347881088</x:v>
      </x:c>
      <x:c r="D568" s="128" t="n">
        <x:f>'Итоги'!$B$8*AVERAGE($C$2:C568)</x:f>
        <x:v>1.2862735808335564</x:v>
      </x:c>
      <x:c r="E568" s="128" t="n">
        <x:f>'Итоги'!$B$9</x:f>
        <x:v>1.2958368660043291</x:v>
      </x:c>
      <x:c r="F568" s="129" t="n">
        <x:f>ABS(D568-E568)</x:f>
        <x:v>0.009563285170772762</x:v>
      </x:c>
    </x:row>
    <x:row r="569">
      <x:c r="A569" s="107" t="n">
        <x:v>568</x:v>
      </x:c>
      <x:c r="B569" s="128" t="n">
        <x:v>1.1162169634428947</x:v>
      </x:c>
      <x:c r="C569" s="128" t="n">
        <x:f>LN(B569)</x:f>
        <x:v>0.1099452567507977</x:v>
      </x:c>
      <x:c r="D569" s="128" t="n">
        <x:f>'Итоги'!$B$8*AVERAGE($C$2:C569)</x:f>
        <x:v>1.2843961458558593</x:v>
      </x:c>
      <x:c r="E569" s="128" t="n">
        <x:f>'Итоги'!$B$9</x:f>
        <x:v>1.2958368660043291</x:v>
      </x:c>
      <x:c r="F569" s="129" t="n">
        <x:f>ABS(D569-E569)</x:f>
        <x:v>0.011440720148469863</x:v>
      </x:c>
    </x:row>
    <x:row r="570">
      <x:c r="A570" s="107" t="n">
        <x:v>569</x:v>
      </x:c>
      <x:c r="B570" s="128" t="n">
        <x:v>1.7332167698652248</x:v>
      </x:c>
      <x:c r="C570" s="128" t="n">
        <x:f>LN(B570)</x:f>
        <x:v>0.5499790865033354</x:v>
      </x:c>
      <x:c r="D570" s="128" t="n">
        <x:f>'Итоги'!$B$8*AVERAGE($C$2:C570)</x:f>
        <x:v>1.284072001791098</x:v>
      </x:c>
      <x:c r="E570" s="128" t="n">
        <x:f>'Итоги'!$B$9</x:f>
        <x:v>1.2958368660043291</x:v>
      </x:c>
      <x:c r="F570" s="129" t="n">
        <x:f>ABS(D570-E570)</x:f>
        <x:v>0.011764864213231085</x:v>
      </x:c>
    </x:row>
    <x:row r="571">
      <x:c r="A571" s="107" t="n">
        <x:v>570</x:v>
      </x:c>
      <x:c r="B571" s="128" t="n">
        <x:v>2.0790548705233576</x:v>
      </x:c>
      <x:c r="C571" s="128" t="n">
        <x:f>LN(B571)</x:f>
        <x:v>0.7319134012757211</x:v>
      </x:c>
      <x:c r="D571" s="128" t="n">
        <x:f>'Итоги'!$B$8*AVERAGE($C$2:C571)</x:f>
        <x:v>1.2843873610906775</x:v>
      </x:c>
      <x:c r="E571" s="128" t="n">
        <x:f>'Итоги'!$B$9</x:f>
        <x:v>1.2958368660043291</x:v>
      </x:c>
      <x:c r="F571" s="129" t="n">
        <x:f>ABS(D571-E571)</x:f>
        <x:v>0.011449504913651598</x:v>
      </x:c>
    </x:row>
    <x:row r="572">
      <x:c r="A572" s="107" t="n">
        <x:v>571</x:v>
      </x:c>
      <x:c r="B572" s="128" t="n">
        <x:v>1.676912966594652</x:v>
      </x:c>
      <x:c r="C572" s="128" t="n">
        <x:f>LN(B572)</x:f>
        <x:v>0.5169545832203992</x:v>
      </x:c>
      <x:c r="D572" s="128" t="n">
        <x:f>'Итоги'!$B$8*AVERAGE($C$2:C572)</x:f>
        <x:v>1.2839486952506602</x:v>
      </x:c>
      <x:c r="E572" s="128" t="n">
        <x:f>'Итоги'!$B$9</x:f>
        <x:v>1.2958368660043291</x:v>
      </x:c>
      <x:c r="F572" s="129" t="n">
        <x:f>ABS(D572-E572)</x:f>
        <x:v>0.01188817075366888</x:v>
      </x:c>
    </x:row>
    <x:row r="573">
      <x:c r="A573" s="107" t="n">
        <x:v>572</x:v>
      </x:c>
      <x:c r="B573" s="128" t="n">
        <x:v>2.6889577465743733</x:v>
      </x:c>
      <x:c r="C573" s="128" t="n">
        <x:f>LN(B573)</x:f>
        <x:v>0.989153663728675</x:v>
      </x:c>
      <x:c r="D573" s="128" t="n">
        <x:f>'Итоги'!$B$8*AVERAGE($C$2:C573)</x:f>
        <x:v>1.2851626089433295</x:v>
      </x:c>
      <x:c r="E573" s="128" t="n">
        <x:f>'Итоги'!$B$9</x:f>
        <x:v>1.2958368660043291</x:v>
      </x:c>
      <x:c r="F573" s="129" t="n">
        <x:f>ABS(D573-E573)</x:f>
        <x:v>0.01067425706099967</x:v>
      </x:c>
    </x:row>
    <x:row r="574">
      <x:c r="A574" s="107" t="n">
        <x:v>573</x:v>
      </x:c>
      <x:c r="B574" s="128" t="n">
        <x:v>1.965145017174588</x:v>
      </x:c>
      <x:c r="C574" s="128" t="n">
        <x:f>LN(B574)</x:f>
        <x:v>0.6755660426869807</x:v>
      </x:c>
      <x:c r="D574" s="128" t="n">
        <x:f>'Итоги'!$B$8*AVERAGE($C$2:C574)</x:f>
        <x:v>1.2852777389196481</x:v>
      </x:c>
      <x:c r="E574" s="128" t="n">
        <x:f>'Итоги'!$B$9</x:f>
        <x:v>1.2958368660043291</x:v>
      </x:c>
      <x:c r="F574" s="129" t="n">
        <x:f>ABS(D574-E574)</x:f>
        <x:v>0.010559127084680986</x:v>
      </x:c>
    </x:row>
    <x:row r="575">
      <x:c r="A575" s="107" t="n">
        <x:v>574</x:v>
      </x:c>
      <x:c r="B575" s="128" t="n">
        <x:v>2.537255178918758</x:v>
      </x:c>
      <x:c r="C575" s="128" t="n">
        <x:f>LN(B575)</x:f>
        <x:v>0.9310828584990114</x:v>
      </x:c>
      <x:c r="D575" s="128" t="n">
        <x:f>'Итоги'!$B$8*AVERAGE($C$2:C575)</x:f>
        <x:v>1.286282770240342</x:v>
      </x:c>
      <x:c r="E575" s="128" t="n">
        <x:f>'Итоги'!$B$9</x:f>
        <x:v>1.2958368660043291</x:v>
      </x:c>
      <x:c r="F575" s="129" t="n">
        <x:f>ABS(D575-E575)</x:f>
        <x:v>0.009554095763987025</x:v>
      </x:c>
    </x:row>
    <x:row r="576">
      <x:c r="A576" s="107" t="n">
        <x:v>575</x:v>
      </x:c>
      <x:c r="B576" s="128" t="n">
        <x:v>2.7040310337623383</x:v>
      </x:c>
      <x:c r="C576" s="128" t="n">
        <x:f>LN(B576)</x:f>
        <x:v>0.9947436350979709</x:v>
      </x:c>
      <x:c r="D576" s="128" t="n">
        <x:f>'Итоги'!$B$8*AVERAGE($C$2:C576)</x:f>
        <x:v>1.287505734588091</x:v>
      </x:c>
      <x:c r="E576" s="128" t="n">
        <x:f>'Итоги'!$B$9</x:f>
        <x:v>1.2958368660043291</x:v>
      </x:c>
      <x:c r="F576" s="129" t="n">
        <x:f>ABS(D576-E576)</x:f>
        <x:v>0.008331131416238202</x:v>
      </x:c>
    </x:row>
    <x:row r="577">
      <x:c r="A577" s="107" t="n">
        <x:v>576</x:v>
      </x:c>
      <x:c r="B577" s="128" t="n">
        <x:v>2.009582965806996</x:v>
      </x:c>
      <x:c r="C577" s="128" t="n">
        <x:f>LN(B577)</x:f>
        <x:v>0.6979272208460823</x:v>
      </x:c>
      <x:c r="D577" s="128" t="n">
        <x:f>'Итоги'!$B$8*AVERAGE($C$2:C577)</x:f>
        <x:v>1.2876938399823687</x:v>
      </x:c>
      <x:c r="E577" s="128" t="n">
        <x:f>'Итоги'!$B$9</x:f>
        <x:v>1.2958368660043291</x:v>
      </x:c>
      <x:c r="F577" s="129" t="n">
        <x:f>ABS(D577-E577)</x:f>
        <x:v>0.008143026021960376</x:v>
      </x:c>
    </x:row>
    <x:row r="578">
      <x:c r="A578" s="107" t="n">
        <x:v>577</x:v>
      </x:c>
      <x:c r="B578" s="128" t="n">
        <x:v>2.8191044877427</x:v>
      </x:c>
      <x:c r="C578" s="128" t="n">
        <x:f>LN(B578)</x:f>
        <x:v>1.0364192769799006</x:v>
      </x:c>
      <x:c r="D578" s="128" t="n">
        <x:f>'Итоги'!$B$8*AVERAGE($C$2:C578)</x:f>
        <x:v>1.28905457605512</x:v>
      </x:c>
      <x:c r="E578" s="128" t="n">
        <x:f>'Итоги'!$B$9</x:f>
        <x:v>1.2958368660043291</x:v>
      </x:c>
      <x:c r="F578" s="129" t="n">
        <x:f>ABS(D578-E578)</x:f>
        <x:v>0.006782289949209153</x:v>
      </x:c>
    </x:row>
    <x:row r="579">
      <x:c r="A579" s="107" t="n">
        <x:v>578</x:v>
      </x:c>
      <x:c r="B579" s="128" t="n">
        <x:v>2.174247881073961</x:v>
      </x:c>
      <x:c r="C579" s="128" t="n">
        <x:f>LN(B579)</x:f>
        <x:v>0.7766828029323408</x:v>
      </x:c>
      <x:c r="D579" s="128" t="n">
        <x:f>'Итоги'!$B$8*AVERAGE($C$2:C579)</x:f>
        <x:v>1.2895118615738217</x:v>
      </x:c>
      <x:c r="E579" s="128" t="n">
        <x:f>'Итоги'!$B$9</x:f>
        <x:v>1.2958368660043291</x:v>
      </x:c>
      <x:c r="F579" s="129" t="n">
        <x:f>ABS(D579-E579)</x:f>
        <x:v>0.0063250044305074304</x:v>
      </x:c>
    </x:row>
    <x:row r="580">
      <x:c r="A580" s="107" t="n">
        <x:v>579</x:v>
      </x:c>
      <x:c r="B580" s="128" t="n">
        <x:v>2.7005485976674435</x:v>
      </x:c>
      <x:c r="C580" s="128" t="n">
        <x:f>LN(B580)</x:f>
        <x:v>0.9934549366924202</x:v>
      </x:c>
      <x:c r="D580" s="128" t="n">
        <x:f>'Итоги'!$B$8*AVERAGE($C$2:C580)</x:f>
        <x:v>1.2907163486408528</x:v>
      </x:c>
      <x:c r="E580" s="128" t="n">
        <x:f>'Итоги'!$B$9</x:f>
        <x:v>1.2958368660043291</x:v>
      </x:c>
      <x:c r="F580" s="129" t="n">
        <x:f>ABS(D580-E580)</x:f>
        <x:v>0.005120517363476296</x:v>
      </x:c>
    </x:row>
    <x:row r="581">
      <x:c r="A581" s="107" t="n">
        <x:v>580</x:v>
      </x:c>
      <x:c r="B581" s="128" t="n">
        <x:v>1.6811815911830486</x:v>
      </x:c>
      <x:c r="C581" s="128" t="n">
        <x:f>LN(B581)</x:f>
        <x:v>0.5194968742810285</x:v>
      </x:c>
      <x:c r="D581" s="128" t="n">
        <x:f>'Итоги'!$B$8*AVERAGE($C$2:C581)</x:f>
        <x:v>1.2902823441579583</x:v>
      </x:c>
      <x:c r="E581" s="128" t="n">
        <x:f>'Итоги'!$B$9</x:f>
        <x:v>1.2958368660043291</x:v>
      </x:c>
      <x:c r="F581" s="129" t="n">
        <x:f>ABS(D581-E581)</x:f>
        <x:v>0.005554521846370841</x:v>
      </x:c>
    </x:row>
    <x:row r="582">
      <x:c r="A582" s="107" t="n">
        <x:v>581</x:v>
      </x:c>
      <x:c r="B582" s="128" t="n">
        <x:v>1.9976339170629704</x:v>
      </x:c>
      <x:c r="C582" s="128" t="n">
        <x:f>LN(B582)</x:f>
        <x:v>0.6919634387454591</x:v>
      </x:c>
      <x:c r="D582" s="128" t="n">
        <x:f>'Итоги'!$B$8*AVERAGE($C$2:C582)</x:f>
        <x:v>1.290443522356466</x:v>
      </x:c>
      <x:c r="E582" s="128" t="n">
        <x:f>'Итоги'!$B$9</x:f>
        <x:v>1.2958368660043291</x:v>
      </x:c>
      <x:c r="F582" s="129" t="n">
        <x:f>ABS(D582-E582)</x:f>
        <x:v>0.005393343647863036</x:v>
      </x:c>
    </x:row>
    <x:row r="583">
      <x:c r="A583" s="107" t="n">
        <x:v>582</x:v>
      </x:c>
      <x:c r="B583" s="128" t="n">
        <x:v>2.0628220820091556</x:v>
      </x:c>
      <x:c r="C583" s="128" t="n">
        <x:f>LN(B583)</x:f>
        <x:v>0.7240749880089794</x:v>
      </x:c>
      <x:c r="D583" s="128" t="n">
        <x:f>'Итоги'!$B$8*AVERAGE($C$2:C583)</x:f>
        <x:v>1.2907144956445442</x:v>
      </x:c>
      <x:c r="E583" s="128" t="n">
        <x:f>'Итоги'!$B$9</x:f>
        <x:v>1.2958368660043291</x:v>
      </x:c>
      <x:c r="F583" s="129" t="n">
        <x:f>ABS(D583-E583)</x:f>
        <x:v>0.005122370359784911</x:v>
      </x:c>
    </x:row>
    <x:row r="584">
      <x:c r="A584" s="107" t="n">
        <x:v>583</x:v>
      </x:c>
      <x:c r="B584" s="128" t="n">
        <x:v>1.2099594317921412</x:v>
      </x:c>
      <x:c r="C584" s="128" t="n">
        <x:f>LN(B584)</x:f>
        <x:v>0.19058683160208095</x:v>
      </x:c>
      <x:c r="D584" s="128" t="n">
        <x:f>'Итоги'!$B$8*AVERAGE($C$2:C584)</x:f>
        <x:v>1.2891543913007357</x:v>
      </x:c>
      <x:c r="E584" s="128" t="n">
        <x:f>'Итоги'!$B$9</x:f>
        <x:v>1.2958368660043291</x:v>
      </x:c>
      <x:c r="F584" s="129" t="n">
        <x:f>ABS(D584-E584)</x:f>
        <x:v>0.0066824747035934</x:v>
      </x:c>
    </x:row>
    <x:row r="585">
      <x:c r="A585" s="107" t="n">
        <x:v>584</x:v>
      </x:c>
      <x:c r="B585" s="128" t="n">
        <x:v>1.7971050134030813</x:v>
      </x:c>
      <x:c r="C585" s="128" t="n">
        <x:f>LN(B585)</x:f>
        <x:v>0.5861770442704286</x:v>
      </x:c>
      <x:c r="D585" s="128" t="n">
        <x:f>'Итоги'!$B$8*AVERAGE($C$2:C585)</x:f>
        <x:v>1.288954390782311</x:v>
      </x:c>
      <x:c r="E585" s="128" t="n">
        <x:f>'Итоги'!$B$9</x:f>
        <x:v>1.2958368660043291</x:v>
      </x:c>
      <x:c r="F585" s="129" t="n">
        <x:f>ABS(D585-E585)</x:f>
        <x:v>0.006882475222018014</x:v>
      </x:c>
    </x:row>
    <x:row r="586">
      <x:c r="A586" s="107" t="n">
        <x:v>585</x:v>
      </x:c>
      <x:c r="B586" s="128" t="n">
        <x:v>2.834675345103352</x:v>
      </x:c>
      <x:c r="C586" s="128" t="n">
        <x:f>LN(B586)</x:f>
        <x:v>1.041927413903781</x:v>
      </x:c>
      <x:c r="D586" s="128" t="n">
        <x:f>'Итоги'!$B$8*AVERAGE($C$2:C586)</x:f>
        <x:v>1.2903131949481663</x:v>
      </x:c>
      <x:c r="E586" s="128" t="n">
        <x:f>'Итоги'!$B$9</x:f>
        <x:v>1.2958368660043291</x:v>
      </x:c>
      <x:c r="F586" s="129" t="n">
        <x:f>ABS(D586-E586)</x:f>
        <x:v>0.005523671056162804</x:v>
      </x:c>
    </x:row>
    <x:row r="587">
      <x:c r="A587" s="107" t="n">
        <x:v>586</x:v>
      </x:c>
      <x:c r="B587" s="128" t="n">
        <x:v>2.261664480729485</x:v>
      </x:c>
      <x:c r="C587" s="128" t="n">
        <x:f>LN(B587)</x:f>
        <x:v>0.8161010381021842</x:v>
      </x:c>
      <x:c r="D587" s="128" t="n">
        <x:f>'Итоги'!$B$8*AVERAGE($C$2:C587)</x:f>
        <x:v>1.290896623073177</x:v>
      </x:c>
      <x:c r="E587" s="128" t="n">
        <x:f>'Итоги'!$B$9</x:f>
        <x:v>1.2958368660043291</x:v>
      </x:c>
      <x:c r="F587" s="129" t="n">
        <x:f>ABS(D587-E587)</x:f>
        <x:v>0.004940242931152028</x:v>
      </x:c>
    </x:row>
    <x:row r="588">
      <x:c r="A588" s="107" t="n">
        <x:v>587</x:v>
      </x:c>
      <x:c r="B588" s="128" t="n">
        <x:v>1.355013164873935</x:v>
      </x:c>
      <x:c r="C588" s="128" t="n">
        <x:f>LN(B588)</x:f>
        <x:v>0.30381117005858815</x:v>
      </x:c>
      <x:c r="D588" s="128" t="n">
        <x:f>'Итоги'!$B$8*AVERAGE($C$2:C588)</x:f>
        <x:v>1.2897326123696744</x:v>
      </x:c>
      <x:c r="E588" s="128" t="n">
        <x:f>'Итоги'!$B$9</x:f>
        <x:v>1.2958368660043291</x:v>
      </x:c>
      <x:c r="F588" s="129" t="n">
        <x:f>ABS(D588-E588)</x:f>
        <x:v>0.006104253634654722</x:v>
      </x:c>
    </x:row>
    <x:row r="589">
      <x:c r="A589" s="107" t="n">
        <x:v>588</x:v>
      </x:c>
      <x:c r="B589" s="128" t="n">
        <x:v>1.67771127121921</x:v>
      </x:c>
      <x:c r="C589" s="128" t="n">
        <x:f>LN(B589)</x:f>
        <x:v>0.5174305260283172</x:v>
      </x:c>
      <x:c r="D589" s="128" t="n">
        <x:f>'Итоги'!$B$8*AVERAGE($C$2:C589)</x:f>
        <x:v>1.2892991573351285</x:v>
      </x:c>
      <x:c r="E589" s="128" t="n">
        <x:f>'Итоги'!$B$9</x:f>
        <x:v>1.2958368660043291</x:v>
      </x:c>
      <x:c r="F589" s="129" t="n">
        <x:f>ABS(D589-E589)</x:f>
        <x:v>0.00653770866920067</x:v>
      </x:c>
    </x:row>
    <x:row r="590">
      <x:c r="A590" s="107" t="n">
        <x:v>589</x:v>
      </x:c>
      <x:c r="B590" s="128" t="n">
        <x:v>1.3832060193253997</x:v>
      </x:c>
      <x:c r="C590" s="128" t="n">
        <x:f>LN(B590)</x:f>
        <x:v>0.32440400711648565</x:v>
      </x:c>
      <x:c r="D590" s="128" t="n">
        <x:f>'Итоги'!$B$8*AVERAGE($C$2:C590)</x:f>
        <x:v>1.2882117360395389</x:v>
      </x:c>
      <x:c r="E590" s="128" t="n">
        <x:f>'Итоги'!$B$9</x:f>
        <x:v>1.2958368660043291</x:v>
      </x:c>
      <x:c r="F590" s="129" t="n">
        <x:f>ABS(D590-E590)</x:f>
        <x:v>0.007625129964790256</x:v>
      </x:c>
    </x:row>
    <x:row r="591">
      <x:c r="A591" s="107" t="n">
        <x:v>590</x:v>
      </x:c>
      <x:c r="B591" s="128" t="n">
        <x:v>1.049646263597145</x:v>
      </x:c>
      <x:c r="C591" s="128" t="n">
        <x:f>LN(B591)</x:f>
        <x:v>0.04845321559639412</x:v>
      </x:c>
      <x:c r="D591" s="128" t="n">
        <x:f>'Итоги'!$B$8*AVERAGE($C$2:C591)</x:f>
        <x:v>1.2861925745059004</x:v>
      </x:c>
      <x:c r="E591" s="128" t="n">
        <x:f>'Итоги'!$B$9</x:f>
        <x:v>1.2958368660043291</x:v>
      </x:c>
      <x:c r="F591" s="129" t="n">
        <x:f>ABS(D591-E591)</x:f>
        <x:v>0.009644291498428714</x:v>
      </x:c>
    </x:row>
    <x:row r="592">
      <x:c r="A592" s="107" t="n">
        <x:v>591</x:v>
      </x:c>
      <x:c r="B592" s="128" t="n">
        <x:v>2.8549209170080534</x:v>
      </x:c>
      <x:c r="C592" s="128" t="n">
        <x:f>LN(B592)</x:f>
        <x:v>1.0490441429022785</x:v>
      </x:c>
      <x:c r="D592" s="128" t="n">
        <x:f>'Итоги'!$B$8*AVERAGE($C$2:C592)</x:f>
        <x:v>1.287566340514866</x:v>
      </x:c>
      <x:c r="E592" s="128" t="n">
        <x:f>'Итоги'!$B$9</x:f>
        <x:v>1.2958368660043291</x:v>
      </x:c>
      <x:c r="F592" s="129" t="n">
        <x:f>ABS(D592-E592)</x:f>
        <x:v>0.008270525489463054</x:v>
      </x:c>
    </x:row>
    <x:row r="593">
      <x:c r="A593" s="107" t="n">
        <x:v>592</x:v>
      </x:c>
      <x:c r="B593" s="128" t="n">
        <x:v>1.896414656513743</x:v>
      </x:c>
      <x:c r="C593" s="128" t="n">
        <x:f>LN(B593)</x:f>
        <x:v>0.6399650806142222</x:v>
      </x:c>
      <x:c r="D593" s="128" t="n">
        <x:f>'Итоги'!$B$8*AVERAGE($C$2:C593)</x:f>
        <x:v>1.2875534415633687</x:v>
      </x:c>
      <x:c r="E593" s="128" t="n">
        <x:f>'Итоги'!$B$9</x:f>
        <x:v>1.2958368660043291</x:v>
      </x:c>
      <x:c r="F593" s="129" t="n">
        <x:f>ABS(D593-E593)</x:f>
        <x:v>0.008283424440960419</x:v>
      </x:c>
    </x:row>
    <x:row r="594">
      <x:c r="A594" s="107" t="n">
        <x:v>593</x:v>
      </x:c>
      <x:c r="B594" s="128" t="n">
        <x:v>1.6150701448415723</x:v>
      </x:c>
      <x:c r="C594" s="128" t="n">
        <x:f>LN(B594)</x:f>
        <x:v>0.4793783890698546</x:v>
      </x:c>
      <x:c r="D594" s="128" t="n">
        <x:f>'Итоги'!$B$8*AVERAGE($C$2:C594)</x:f>
        <x:v>1.2869989783872746</x:v>
      </x:c>
      <x:c r="E594" s="128" t="n">
        <x:f>'Итоги'!$B$9</x:f>
        <x:v>1.2958368660043291</x:v>
      </x:c>
      <x:c r="F594" s="129" t="n">
        <x:f>ABS(D594-E594)</x:f>
        <x:v>0.008837887617054507</x:v>
      </x:c>
    </x:row>
    <x:row r="595">
      <x:c r="A595" s="107" t="n">
        <x:v>594</x:v>
      </x:c>
      <x:c r="B595" s="128" t="n">
        <x:v>2.1969543831154734</x:v>
      </x:c>
      <x:c r="C595" s="128" t="n">
        <x:f>LN(B595)</x:f>
        <x:v>0.7870720299258638</x:v>
      </x:c>
      <x:c r="D595" s="128" t="n">
        <x:f>'Итоги'!$B$8*AVERAGE($C$2:C595)</x:f>
        <x:v>1.2874823876153294</x:v>
      </x:c>
      <x:c r="E595" s="128" t="n">
        <x:f>'Итоги'!$B$9</x:f>
        <x:v>1.2958368660043291</x:v>
      </x:c>
      <x:c r="F595" s="129" t="n">
        <x:f>ABS(D595-E595)</x:f>
        <x:v>0.00835447838899972</x:v>
      </x:c>
    </x:row>
    <x:row r="596">
      <x:c r="A596" s="107" t="n">
        <x:v>595</x:v>
      </x:c>
      <x:c r="B596" s="128" t="n">
        <x:v>1.0146289125860313</x:v>
      </x:c>
      <x:c r="C596" s="128" t="n">
        <x:f>LN(B596)</x:f>
        <x:v>0.014522942281030935</x:v>
      </x:c>
      <x:c r="D596" s="128" t="n">
        <x:f>'Итоги'!$B$8*AVERAGE($C$2:C596)</x:f>
        <x:v>1.2853673682824667</x:v>
      </x:c>
      <x:c r="E596" s="128" t="n">
        <x:f>'Итоги'!$B$9</x:f>
        <x:v>1.2958368660043291</x:v>
      </x:c>
      <x:c r="F596" s="129" t="n">
        <x:f>ABS(D596-E596)</x:f>
        <x:v>0.010469497721862453</x:v>
      </x:c>
    </x:row>
    <x:row r="597">
      <x:c r="A597" s="107" t="n">
        <x:v>596</x:v>
      </x:c>
      <x:c r="B597" s="128" t="n">
        <x:v>1.5560442132016277</x:v>
      </x:c>
      <x:c r="C597" s="128" t="n">
        <x:f>LN(B597)</x:f>
        <x:v>0.4421468400065136</x:v>
      </x:c>
      <x:c r="D597" s="128" t="n">
        <x:f>'Итоги'!$B$8*AVERAGE($C$2:C597)</x:f>
        <x:v>1.2846944258524844</x:v>
      </x:c>
      <x:c r="E597" s="128" t="n">
        <x:f>'Итоги'!$B$9</x:f>
        <x:v>1.2958368660043291</x:v>
      </x:c>
      <x:c r="F597" s="129" t="n">
        <x:f>ABS(D597-E597)</x:f>
        <x:v>0.011142440151844735</x:v>
      </x:c>
    </x:row>
    <x:row r="598">
      <x:c r="A598" s="107" t="n">
        <x:v>597</x:v>
      </x:c>
      <x:c r="B598" s="128" t="n">
        <x:v>2.406066931397785</x:v>
      </x:c>
      <x:c r="C598" s="128" t="n">
        <x:f>LN(B598)</x:f>
        <x:v>0.8779934357016291</x:v>
      </x:c>
      <x:c r="D598" s="128" t="n">
        <x:f>'Итоги'!$B$8*AVERAGE($C$2:C598)</x:f>
        <x:v>1.2854838604346464</x:v>
      </x:c>
      <x:c r="E598" s="128" t="n">
        <x:f>'Итоги'!$B$9</x:f>
        <x:v>1.2958368660043291</x:v>
      </x:c>
      <x:c r="F598" s="129" t="n">
        <x:f>ABS(D598-E598)</x:f>
        <x:v>0.010353005569682772</x:v>
      </x:c>
    </x:row>
    <x:row r="599">
      <x:c r="A599" s="107" t="n">
        <x:v>598</x:v>
      </x:c>
      <x:c r="B599" s="128" t="n">
        <x:v>2.2675395461385257</x:v>
      </x:c>
      <x:c r="C599" s="128" t="n">
        <x:f>LN(B599)</x:f>
        <x:v>0.8186953432689756</x:v>
      </x:c>
      <x:c r="D599" s="128" t="n">
        <x:f>'Итоги'!$B$8*AVERAGE($C$2:C599)</x:f>
        <x:v>1.2860723333879964</x:v>
      </x:c>
      <x:c r="E599" s="128" t="n">
        <x:f>'Итоги'!$B$9</x:f>
        <x:v>1.2958368660043291</x:v>
      </x:c>
      <x:c r="F599" s="129" t="n">
        <x:f>ABS(D599-E599)</x:f>
        <x:v>0.0097645326163327</x:v>
      </x:c>
    </x:row>
    <x:row r="600">
      <x:c r="A600" s="107" t="n">
        <x:v>599</x:v>
      </x:c>
      <x:c r="B600" s="128" t="n">
        <x:v>2.963611895085071</x:v>
      </x:c>
      <x:c r="C600" s="128" t="n">
        <x:f>LN(B600)</x:f>
        <x:v>1.0864087592805698</x:v>
      </x:c>
      <x:c r="D600" s="128" t="n">
        <x:f>'Итоги'!$B$8*AVERAGE($C$2:C600)</x:f>
        <x:v>1.2875527093231771</x:v>
      </x:c>
      <x:c r="E600" s="128" t="n">
        <x:f>'Итоги'!$B$9</x:f>
        <x:v>1.2958368660043291</x:v>
      </x:c>
      <x:c r="F600" s="129" t="n">
        <x:f>ABS(D600-E600)</x:f>
        <x:v>0.00828415668115201</x:v>
      </x:c>
    </x:row>
    <x:row r="601">
      <x:c r="A601" s="107" t="n">
        <x:v>600</x:v>
      </x:c>
      <x:c r="B601" s="128" t="n">
        <x:v>2.2407154193160883</x:v>
      </x:c>
      <x:c r="C601" s="128" t="n">
        <x:f>LN(B601)</x:f>
        <x:v>0.8067951984981099</x:v>
      </x:c>
      <x:c r="D601" s="128" t="n">
        <x:f>'Итоги'!$B$8*AVERAGE($C$2:C601)</x:f>
        <x:v>1.2880961054692988</x:v>
      </x:c>
      <x:c r="E601" s="128" t="n">
        <x:f>'Итоги'!$B$9</x:f>
        <x:v>1.2958368660043291</x:v>
      </x:c>
      <x:c r="F601" s="129" t="n">
        <x:f>ABS(D601-E601)</x:f>
        <x:v>0.0077407605350303665</x:v>
      </x:c>
    </x:row>
    <x:row r="602">
      <x:c r="A602" s="107" t="n">
        <x:v>601</x:v>
      </x:c>
      <x:c r="B602" s="128" t="n">
        <x:v>1.9550117472554656</x:v>
      </x:c>
      <x:c r="C602" s="128" t="n">
        <x:f>LN(B602)</x:f>
        <x:v>0.6703962022456013</x:v>
      </x:c>
      <x:c r="D602" s="128" t="n">
        <x:f>'Итоги'!$B$8*AVERAGE($C$2:C602)</x:f>
        <x:v>1.2881837864992853</x:v>
      </x:c>
      <x:c r="E602" s="128" t="n">
        <x:f>'Итоги'!$B$9</x:f>
        <x:v>1.2958368660043291</x:v>
      </x:c>
      <x:c r="F602" s="129" t="n">
        <x:f>ABS(D602-E602)</x:f>
        <x:v>0.007653079505043792</x:v>
      </x:c>
    </x:row>
    <x:row r="603">
      <x:c r="A603" s="107" t="n">
        <x:v>602</x:v>
      </x:c>
      <x:c r="B603" s="128" t="n">
        <x:v>2.522865126368015</x:v>
      </x:c>
      <x:c r="C603" s="128" t="n">
        <x:f>LN(B603)</x:f>
        <x:v>0.9253952105875268</x:v>
      </x:c>
      <x:c r="D603" s="128" t="n">
        <x:f>'Итоги'!$B$8*AVERAGE($C$2:C603)</x:f>
        <x:v>1.289118349015358</x:v>
      </x:c>
      <x:c r="E603" s="128" t="n">
        <x:f>'Итоги'!$B$9</x:f>
        <x:v>1.2958368660043291</x:v>
      </x:c>
      <x:c r="F603" s="129" t="n">
        <x:f>ABS(D603-E603)</x:f>
        <x:v>0.00671851698897119</x:v>
      </x:c>
    </x:row>
    <x:row r="604">
      <x:c r="A604" s="107" t="n">
        <x:v>603</x:v>
      </x:c>
      <x:c r="B604" s="128" t="n">
        <x:v>2.806655743928106</x:v>
      </x:c>
      <x:c r="C604" s="128" t="n">
        <x:f>LN(B604)</x:f>
        <x:v>1.0319936478664766</x:v>
      </x:c>
      <x:c r="D604" s="128" t="n">
        <x:f>'Итоги'!$B$8*AVERAGE($C$2:C604)</x:f>
        <x:v>1.290403372144243</x:v>
      </x:c>
      <x:c r="E604" s="128" t="n">
        <x:f>'Итоги'!$B$9</x:f>
        <x:v>1.2958368660043291</x:v>
      </x:c>
      <x:c r="F604" s="129" t="n">
        <x:f>ABS(D604-E604)</x:f>
        <x:v>0.00543349386008618</x:v>
      </x:c>
    </x:row>
    <x:row r="605">
      <x:c r="A605" s="107" t="n">
        <x:v>604</x:v>
      </x:c>
      <x:c r="B605" s="128" t="n">
        <x:v>2.441391893436703</x:v>
      </x:c>
      <x:c r="C605" s="128" t="n">
        <x:f>LN(B605)</x:f>
        <x:v>0.8925683247912227</x:v>
      </x:c>
      <x:c r="D605" s="128" t="n">
        <x:f>'Итоги'!$B$8*AVERAGE($C$2:C605)</x:f>
        <x:v>1.2912224669744388</x:v>
      </x:c>
      <x:c r="E605" s="128" t="n">
        <x:f>'Итоги'!$B$9</x:f>
        <x:v>1.2958368660043291</x:v>
      </x:c>
      <x:c r="F605" s="129" t="n">
        <x:f>ABS(D605-E605)</x:f>
        <x:v>0.004614399029890359</x:v>
      </x:c>
    </x:row>
    <x:row r="606">
      <x:c r="A606" s="107" t="n">
        <x:v>605</x:v>
      </x:c>
      <x:c r="B606" s="128" t="n">
        <x:v>2.9264224470987594</x:v>
      </x:c>
      <x:c r="C606" s="128" t="n">
        <x:f>LN(B606)</x:f>
        <x:v>1.0737806691754692</x:v>
      </x:c>
      <x:c r="D606" s="128" t="n">
        <x:f>'Итоги'!$B$8*AVERAGE($C$2:C606)</x:f>
        <x:v>1.2926379031254742</x:v>
      </x:c>
      <x:c r="E606" s="128" t="n">
        <x:f>'Итоги'!$B$9</x:f>
        <x:v>1.2958368660043291</x:v>
      </x:c>
      <x:c r="F606" s="129" t="n">
        <x:f>ABS(D606-E606)</x:f>
        <x:v>0.003198962878854905</x:v>
      </x:c>
    </x:row>
    <x:row r="607">
      <x:c r="A607" s="107" t="n">
        <x:v>606</x:v>
      </x:c>
      <x:c r="B607" s="128" t="n">
        <x:v>2.5640103414763544</x:v>
      </x:c>
      <x:c r="C607" s="128" t="n">
        <x:f>LN(B607)</x:f>
        <x:v>0.9415725723874014</x:v>
      </x:c>
      <x:c r="D607" s="128" t="n">
        <x:f>'Итоги'!$B$8*AVERAGE($C$2:C607)</x:f>
        <x:v>1.293612337517635</x:v>
      </x:c>
      <x:c r="E607" s="128" t="n">
        <x:f>'Итоги'!$B$9</x:f>
        <x:v>1.2958368660043291</x:v>
      </x:c>
      <x:c r="F607" s="129" t="n">
        <x:f>ABS(D607-E607)</x:f>
        <x:v>0.0022245284866941883</x:v>
      </x:c>
    </x:row>
    <x:row r="608">
      <x:c r="A608" s="107" t="n">
        <x:v>607</x:v>
      </x:c>
      <x:c r="B608" s="128" t="n">
        <x:v>2.733602876523853</x:v>
      </x:c>
      <x:c r="C608" s="128" t="n">
        <x:f>LN(B608)</x:f>
        <x:v>1.005620474102505</x:v>
      </x:c>
      <x:c r="D608" s="128" t="n">
        <x:f>'Итоги'!$B$8*AVERAGE($C$2:C608)</x:f>
        <x:v>1.294794592230464</x:v>
      </x:c>
      <x:c r="E608" s="128" t="n">
        <x:f>'Итоги'!$B$9</x:f>
        <x:v>1.2958368660043291</x:v>
      </x:c>
      <x:c r="F608" s="129" t="n">
        <x:f>ABS(D608-E608)</x:f>
        <x:v>0.001042273773865121</x:v>
      </x:c>
    </x:row>
    <x:row r="609">
      <x:c r="A609" s="107" t="n">
        <x:v>608</x:v>
      </x:c>
      <x:c r="B609" s="128" t="n">
        <x:v>1.2282081423672744</x:v>
      </x:c>
      <x:c r="C609" s="128" t="n">
        <x:f>LN(B609)</x:f>
        <x:v>0.20555631240370448</x:v>
      </x:c>
      <x:c r="D609" s="128" t="n">
        <x:f>'Итоги'!$B$8*AVERAGE($C$2:C609)</x:f>
        <x:v>1.2933411679419393</x:v>
      </x:c>
      <x:c r="E609" s="128" t="n">
        <x:f>'Итоги'!$B$9</x:f>
        <x:v>1.2958368660043291</x:v>
      </x:c>
      <x:c r="F609" s="129" t="n">
        <x:f>ABS(D609-E609)</x:f>
        <x:v>0.002495698062389806</x:v>
      </x:c>
    </x:row>
    <x:row r="610">
      <x:c r="A610" s="107" t="n">
        <x:v>609</x:v>
      </x:c>
      <x:c r="B610" s="128" t="n">
        <x:v>2.4648270059875754</x:v>
      </x:c>
      <x:c r="C610" s="128" t="n">
        <x:f>LN(B610)</x:f>
        <x:v>0.9021216249051689</x:v>
      </x:c>
      <x:c r="D610" s="128" t="n">
        <x:f>'Итоги'!$B$8*AVERAGE($C$2:C610)</x:f>
        <x:v>1.2941800876166</x:v>
      </x:c>
      <x:c r="E610" s="128" t="n">
        <x:f>'Итоги'!$B$9</x:f>
        <x:v>1.2958368660043291</x:v>
      </x:c>
      <x:c r="F610" s="129" t="n">
        <x:f>ABS(D610-E610)</x:f>
        <x:v>0.001656778387729041</x:v>
      </x:c>
    </x:row>
    <x:row r="611">
      <x:c r="A611" s="107" t="n">
        <x:v>610</x:v>
      </x:c>
      <x:c r="B611" s="128" t="n">
        <x:v>1.8801773990547372</x:v>
      </x:c>
      <x:c r="C611" s="128" t="n">
        <x:f>LN(B611)</x:f>
        <x:v>0.6313661335894483</x:v>
      </x:c>
      <x:c r="D611" s="128" t="n">
        <x:f>'Итоги'!$B$8*AVERAGE($C$2:C611)</x:f>
        <x:v>1.2941285338126038</x:v>
      </x:c>
      <x:c r="E611" s="128" t="n">
        <x:f>'Итоги'!$B$9</x:f>
        <x:v>1.2958368660043291</x:v>
      </x:c>
      <x:c r="F611" s="129" t="n">
        <x:f>ABS(D611-E611)</x:f>
        <x:v>0.0017083321917252814</x:v>
      </x:c>
    </x:row>
    <x:row r="612">
      <x:c r="A612" s="107" t="n">
        <x:v>611</x:v>
      </x:c>
      <x:c r="B612" s="128" t="n">
        <x:v>2.1062076048225506</x:v>
      </x:c>
      <x:c r="C612" s="128" t="n">
        <x:f>LN(B612)</x:f>
        <x:v>0.7448889866417985</x:v>
      </x:c>
      <x:c r="D612" s="128" t="n">
        <x:f>'Итоги'!$B$8*AVERAGE($C$2:C612)</x:f>
        <x:v>1.2944487456611653</x:v>
      </x:c>
      <x:c r="E612" s="128" t="n">
        <x:f>'Итоги'!$B$9</x:f>
        <x:v>1.2958368660043291</x:v>
      </x:c>
      <x:c r="F612" s="129" t="n">
        <x:f>ABS(D612-E612)</x:f>
        <x:v>0.0013881203431638234</x:v>
      </x:c>
    </x:row>
    <x:row r="613">
      <x:c r="A613" s="107" t="n">
        <x:v>612</x:v>
      </x:c>
      <x:c r="B613" s="128" t="n">
        <x:v>2.3082048189647137</x:v>
      </x:c>
      <x:c r="C613" s="128" t="n">
        <x:f>LN(B613)</x:f>
        <x:v>0.8364700877607237</x:v>
      </x:c>
      <x:c r="D613" s="128" t="n">
        <x:f>'Итоги'!$B$8*AVERAGE($C$2:C613)</x:f>
        <x:v>1.2950671957099567</x:v>
      </x:c>
      <x:c r="E613" s="128" t="n">
        <x:f>'Итоги'!$B$9</x:f>
        <x:v>1.2958368660043291</x:v>
      </x:c>
      <x:c r="F613" s="129" t="n">
        <x:f>ABS(D613-E613)</x:f>
        <x:v>0.0007696702943724709</x:v>
      </x:c>
    </x:row>
    <x:row r="614">
      <x:c r="A614" s="107" t="n">
        <x:v>613</x:v>
      </x:c>
      <x:c r="B614" s="128" t="n">
        <x:v>2.9396302334111386</x:v>
      </x:c>
      <x:c r="C614" s="128" t="n">
        <x:f>LN(B614)</x:f>
        <x:v>1.078283802492169</x:v>
      </x:c>
      <x:c r="D614" s="128" t="n">
        <x:f>'Итоги'!$B$8*AVERAGE($C$2:C614)</x:f>
        <x:v>1.2964725797381367</x:v>
      </x:c>
      <x:c r="E614" s="128" t="n">
        <x:f>'Итоги'!$B$9</x:f>
        <x:v>1.2958368660043291</x:v>
      </x:c>
      <x:c r="F614" s="129" t="n">
        <x:f>ABS(D614-E614)</x:f>
        <x:v>0.0006357137338075525</x:v>
      </x:c>
    </x:row>
    <x:row r="615">
      <x:c r="A615" s="107" t="n">
        <x:v>614</x:v>
      </x:c>
      <x:c r="B615" s="128" t="n">
        <x:v>2.969156162863249</x:v>
      </x:c>
      <x:c r="C615" s="128" t="n">
        <x:f>LN(B615)</x:f>
        <x:v>1.0882777921967395</x:v>
      </x:c>
      <x:c r="D615" s="128" t="n">
        <x:f>'Итоги'!$B$8*AVERAGE($C$2:C615)</x:f>
        <x:v>1.297905939680572</x:v>
      </x:c>
      <x:c r="E615" s="128" t="n">
        <x:f>'Итоги'!$B$9</x:f>
        <x:v>1.2958368660043291</x:v>
      </x:c>
      <x:c r="F615" s="129" t="n">
        <x:f>ABS(D615-E615)</x:f>
        <x:v>0.002069073676242983</x:v>
      </x:c>
    </x:row>
    <x:row r="616">
      <x:c r="A616" s="107" t="n">
        <x:v>615</x:v>
      </x:c>
      <x:c r="B616" s="128" t="n">
        <x:v>1.5764564909758105</x:v>
      </x:c>
      <x:c r="C616" s="128" t="n">
        <x:f>LN(B616)</x:f>
        <x:v>0.4551796011291489</x:v>
      </x:c>
      <x:c r="D616" s="128" t="n">
        <x:f>'Итоги'!$B$8*AVERAGE($C$2:C616)</x:f>
        <x:v>1.2972757823839505</x:v>
      </x:c>
      <x:c r="E616" s="128" t="n">
        <x:f>'Итоги'!$B$9</x:f>
        <x:v>1.2958368660043291</x:v>
      </x:c>
      <x:c r="F616" s="129" t="n">
        <x:f>ABS(D616-E616)</x:f>
        <x:v>0.0014389163796213467</x:v>
      </x:c>
    </x:row>
    <x:row r="617">
      <x:c r="A617" s="107" t="n">
        <x:v>616</x:v>
      </x:c>
      <x:c r="B617" s="128" t="n">
        <x:v>2.4675069948758326</x:v>
      </x:c>
      <x:c r="C617" s="128" t="n">
        <x:f>LN(B617)</x:f>
        <x:v>0.9032083271242506</x:v>
      </x:c>
      <x:c r="D617" s="128" t="n">
        <x:f>'Итоги'!$B$8*AVERAGE($C$2:C617)</x:f>
        <x:v>1.298102309773341</x:v>
      </x:c>
      <x:c r="E617" s="128" t="n">
        <x:f>'Итоги'!$B$9</x:f>
        <x:v>1.2958368660043291</x:v>
      </x:c>
      <x:c r="F617" s="129" t="n">
        <x:f>ABS(D617-E617)</x:f>
        <x:v>0.0022654437690119433</x:v>
      </x:c>
    </x:row>
    <x:row r="618">
      <x:c r="A618" s="107" t="n">
        <x:v>617</x:v>
      </x:c>
      <x:c r="B618" s="128" t="n">
        <x:v>2.4999670758705372</x:v>
      </x:c>
      <x:c r="C618" s="128" t="n">
        <x:f>LN(B618)</x:f>
        <x:v>0.9162775621356494</x:v>
      </x:c>
      <x:c r="D618" s="128" t="n">
        <x:f>'Итоги'!$B$8*AVERAGE($C$2:C618)</x:f>
        <x:v>1.2989685217903555</x:v>
      </x:c>
      <x:c r="E618" s="128" t="n">
        <x:f>'Итоги'!$B$9</x:f>
        <x:v>1.2958368660043291</x:v>
      </x:c>
      <x:c r="F618" s="129" t="n">
        <x:f>ABS(D618-E618)</x:f>
        <x:v>0.003131655786026366</x:v>
      </x:c>
    </x:row>
    <x:row r="619">
      <x:c r="A619" s="107" t="n">
        <x:v>618</x:v>
      </x:c>
      <x:c r="B619" s="128" t="n">
        <x:v>1.6929857226260976</x:v>
      </x:c>
      <x:c r="C619" s="128" t="n">
        <x:f>LN(B619)</x:f>
        <x:v>0.5264936699353429</x:v>
      </x:c>
      <x:c r="D619" s="128" t="n">
        <x:f>'Итоги'!$B$8*AVERAGE($C$2:C619)</x:f>
        <x:v>1.2985704939878966</x:v>
      </x:c>
      <x:c r="E619" s="128" t="n">
        <x:f>'Итоги'!$B$9</x:f>
        <x:v>1.2958368660043291</x:v>
      </x:c>
      <x:c r="F619" s="129" t="n">
        <x:f>ABS(D619-E619)</x:f>
        <x:v>0.002733627983567466</x:v>
      </x:c>
    </x:row>
    <x:row r="620">
      <x:c r="A620" s="107" t="n">
        <x:v>619</x:v>
      </x:c>
      <x:c r="B620" s="128" t="n">
        <x:v>1.247739549728442</x:v>
      </x:c>
      <x:c r="C620" s="128" t="n">
        <x:f>LN(B620)</x:f>
        <x:v>0.22133355403973523</x:v>
      </x:c>
      <x:c r="D620" s="128" t="n">
        <x:f>'Итоги'!$B$8*AVERAGE($C$2:C620)</x:f>
        <x:v>1.2971877744630043</x:v>
      </x:c>
      <x:c r="E620" s="128" t="n">
        <x:f>'Итоги'!$B$9</x:f>
        <x:v>1.2958368660043291</x:v>
      </x:c>
      <x:c r="F620" s="129" t="n">
        <x:f>ABS(D620-E620)</x:f>
        <x:v>0.0013509084586751374</x:v>
      </x:c>
    </x:row>
    <x:row r="621">
      <x:c r="A621" s="107" t="n">
        <x:v>620</x:v>
      </x:c>
      <x:c r="B621" s="128" t="n">
        <x:v>1.0818939205714395</x:v>
      </x:c>
      <x:c r="C621" s="128" t="n">
        <x:f>LN(B621)</x:f>
        <x:v>0.07871313548073963</x:v>
      </x:c>
      <x:c r="D621" s="128" t="n">
        <x:f>'Итоги'!$B$8*AVERAGE($C$2:C621)</x:f>
        <x:v>1.2953494494573565</x:v>
      </x:c>
      <x:c r="E621" s="128" t="n">
        <x:f>'Итоги'!$B$9</x:f>
        <x:v>1.2958368660043291</x:v>
      </x:c>
      <x:c r="F621" s="129" t="n">
        <x:f>ABS(D621-E621)</x:f>
        <x:v>0.0004874165469725966</x:v>
      </x:c>
    </x:row>
    <x:row r="622">
      <x:c r="A622" s="107" t="n">
        <x:v>621</x:v>
      </x:c>
      <x:c r="B622" s="128" t="n">
        <x:v>2.554686255058357</x:v>
      </x:c>
      <x:c r="C622" s="128" t="n">
        <x:f>LN(B622)</x:f>
        <x:v>0.937929419660911</x:v>
      </x:c>
      <x:c r="D622" s="128" t="n">
        <x:f>'Итоги'!$B$8*AVERAGE($C$2:C622)</x:f>
        <x:v>1.2962842471866067</x:v>
      </x:c>
      <x:c r="E622" s="128" t="n">
        <x:f>'Итоги'!$B$9</x:f>
        <x:v>1.2958368660043291</x:v>
      </x:c>
      <x:c r="F622" s="129" t="n">
        <x:f>ABS(D622-E622)</x:f>
        <x:v>0.00044738118227760637</x:v>
      </x:c>
    </x:row>
    <x:row r="623">
      <x:c r="A623" s="107" t="n">
        <x:v>622</x:v>
      </x:c>
      <x:c r="B623" s="128" t="n">
        <x:v>1.9793994836338118</x:v>
      </x:c>
      <x:c r="C623" s="128" t="n">
        <x:f>LN(B623)</x:f>
        <x:v>0.682793507610364</x:v>
      </x:c>
      <x:c r="D623" s="128" t="n">
        <x:f>'Итоги'!$B$8*AVERAGE($C$2:C623)</x:f>
        <x:v>1.2963956664278193</x:v>
      </x:c>
      <x:c r="E623" s="128" t="n">
        <x:f>'Итоги'!$B$9</x:f>
        <x:v>1.2958368660043291</x:v>
      </x:c>
      <x:c r="F623" s="129" t="n">
        <x:f>ABS(D623-E623)</x:f>
        <x:v>0.0005588004234902133</x:v>
      </x:c>
    </x:row>
    <x:row r="624">
      <x:c r="A624" s="107" t="n">
        <x:v>623</x:v>
      </x:c>
      <x:c r="B624" s="128" t="n">
        <x:v>2.9710803389898524</x:v>
      </x:c>
      <x:c r="C624" s="128" t="n">
        <x:f>LN(B624)</x:f>
        <x:v>1.088925637175067</x:v>
      </x:c>
      <x:c r="D624" s="128" t="n">
        <x:f>'Итоги'!$B$8*AVERAGE($C$2:C624)</x:f>
        <x:v>1.2978105229413381</x:v>
      </x:c>
      <x:c r="E624" s="128" t="n">
        <x:f>'Итоги'!$B$9</x:f>
        <x:v>1.2958368660043291</x:v>
      </x:c>
      <x:c r="F624" s="129" t="n">
        <x:f>ABS(D624-E624)</x:f>
        <x:v>0.0019736569370090162</x:v>
      </x:c>
    </x:row>
    <x:row r="625">
      <x:c r="A625" s="107" t="n">
        <x:v>624</x:v>
      </x:c>
      <x:c r="B625" s="128" t="n">
        <x:v>1.929946912387306</x:v>
      </x:c>
      <x:c r="C625" s="128" t="n">
        <x:f>LN(B625)</x:f>
        <x:v>0.657492496003408</x:v>
      </x:c>
      <x:c r="D625" s="128" t="n">
        <x:f>'Итоги'!$B$8*AVERAGE($C$2:C625)</x:f>
        <x:v>1.2978380461289432</x:v>
      </x:c>
      <x:c r="E625" s="128" t="n">
        <x:f>'Итоги'!$B$9</x:f>
        <x:v>1.2958368660043291</x:v>
      </x:c>
      <x:c r="F625" s="129" t="n">
        <x:f>ABS(D625-E625)</x:f>
        <x:v>0.0020011801246140326</x:v>
      </x:c>
    </x:row>
    <x:row r="626">
      <x:c r="A626" s="107" t="n">
        <x:v>625</x:v>
      </x:c>
      <x:c r="B626" s="128" t="n">
        <x:v>2.9558339581476805</x:v>
      </x:c>
      <x:c r="C626" s="128" t="n">
        <x:f>LN(B626)</x:f>
        <x:v>1.0837808303809915</x:v>
      </x:c>
      <x:c r="D626" s="128" t="n">
        <x:f>'Итоги'!$B$8*AVERAGE($C$2:C626)</x:f>
        <x:v>1.2992296039123559</x:v>
      </x:c>
      <x:c r="E626" s="128" t="n">
        <x:f>'Итоги'!$B$9</x:f>
        <x:v>1.2958368660043291</x:v>
      </x:c>
      <x:c r="F626" s="129" t="n">
        <x:f>ABS(D626-E626)</x:f>
        <x:v>0.003392737908026744</x:v>
      </x:c>
    </x:row>
    <x:row r="627">
      <x:c r="A627" s="107" t="n">
        <x:v>626</x:v>
      </x:c>
      <x:c r="B627" s="128" t="n">
        <x:v>1.8231520043881198</x:v>
      </x:c>
      <x:c r="C627" s="128" t="n">
        <x:f>LN(B627)</x:f>
        <x:v>0.6005668736731024</x:v>
      </x:c>
      <x:c r="D627" s="128" t="n">
        <x:f>'Итоги'!$B$8*AVERAGE($C$2:C627)</x:f>
        <x:v>1.299072901266084</x:v>
      </x:c>
      <x:c r="E627" s="128" t="n">
        <x:f>'Итоги'!$B$9</x:f>
        <x:v>1.2958368660043291</x:v>
      </x:c>
      <x:c r="F627" s="129" t="n">
        <x:f>ABS(D627-E627)</x:f>
        <x:v>0.003236035261754866</x:v>
      </x:c>
    </x:row>
    <x:row r="628">
      <x:c r="A628" s="107" t="n">
        <x:v>627</x:v>
      </x:c>
      <x:c r="B628" s="128" t="n">
        <x:v>2.587364301119945</x:v>
      </x:c>
      <x:c r="C628" s="128" t="n">
        <x:f>LN(B628)</x:f>
        <x:v>0.9506397132046367</x:v>
      </x:c>
      <x:c r="D628" s="128" t="n">
        <x:f>'Итоги'!$B$8*AVERAGE($C$2:C628)</x:f>
        <x:v>1.3000333582439838</x:v>
      </x:c>
      <x:c r="E628" s="128" t="n">
        <x:f>'Итоги'!$B$9</x:f>
        <x:v>1.2958368660043291</x:v>
      </x:c>
      <x:c r="F628" s="129" t="n">
        <x:f>ABS(D628-E628)</x:f>
        <x:v>0.004196492239654681</x:v>
      </x:c>
    </x:row>
    <x:row r="629">
      <x:c r="A629" s="107" t="n">
        <x:v>628</x:v>
      </x:c>
      <x:c r="B629" s="128" t="n">
        <x:v>1.1696385446236641</x:v>
      </x:c>
      <x:c r="C629" s="128" t="n">
        <x:f>LN(B629)</x:f>
        <x:v>0.1566947648599498</x:v>
      </x:c>
      <x:c r="D629" s="128" t="n">
        <x:f>'Итоги'!$B$8*AVERAGE($C$2:C629)</x:f>
        <x:v>1.29846226934506</x:v>
      </x:c>
      <x:c r="E629" s="128" t="n">
        <x:f>'Итоги'!$B$9</x:f>
        <x:v>1.2958368660043291</x:v>
      </x:c>
      <x:c r="F629" s="129" t="n">
        <x:f>ABS(D629-E629)</x:f>
        <x:v>0.002625403340730914</x:v>
      </x:c>
    </x:row>
    <x:row r="630">
      <x:c r="A630" s="107" t="n">
        <x:v>629</x:v>
      </x:c>
      <x:c r="B630" s="128" t="n">
        <x:v>2.110923420275528</x:v>
      </x:c>
      <x:c r="C630" s="128" t="n">
        <x:f>LN(B630)</x:f>
        <x:v>0.7471254916925556</x:v>
      </x:c>
      <x:c r="D630" s="128" t="n">
        <x:f>'Итоги'!$B$8*AVERAGE($C$2:C630)</x:f>
        <x:v>1.298773539160704</x:v>
      </x:c>
      <x:c r="E630" s="128" t="n">
        <x:f>'Итоги'!$B$9</x:f>
        <x:v>1.2958368660043291</x:v>
      </x:c>
      <x:c r="F630" s="129" t="n">
        <x:f>ABS(D630-E630)</x:f>
        <x:v>0.0029366731563749138</x:v>
      </x:c>
    </x:row>
    <x:row r="631">
      <x:c r="A631" s="107" t="n">
        <x:v>630</x:v>
      </x:c>
      <x:c r="B631" s="128" t="n">
        <x:v>2.6041195739714484</x:v>
      </x:c>
      <x:c r="C631" s="128" t="n">
        <x:f>LN(B631)</x:f>
        <x:v>0.9570946426359362</x:v>
      </x:c>
      <x:c r="D631" s="128" t="n">
        <x:f>'Итоги'!$B$8*AVERAGE($C$2:C631)</x:f>
        <x:v>1.2997503895513567</x:v>
      </x:c>
      <x:c r="E631" s="128" t="n">
        <x:f>'Итоги'!$B$9</x:f>
        <x:v>1.2958368660043291</x:v>
      </x:c>
      <x:c r="F631" s="129" t="n">
        <x:f>ABS(D631-E631)</x:f>
        <x:v>0.003913523547027564</x:v>
      </x:c>
    </x:row>
    <x:row r="632">
      <x:c r="A632" s="107" t="n">
        <x:v>631</x:v>
      </x:c>
      <x:c r="B632" s="128" t="n">
        <x:v>2.8494033344397773</x:v>
      </x:c>
      <x:c r="C632" s="128" t="n">
        <x:f>LN(B632)</x:f>
        <x:v>1.0471096160255418</x:v>
      </x:c>
      <x:c r="D632" s="128" t="n">
        <x:f>'Итоги'!$B$8*AVERAGE($C$2:C632)</x:f>
        <x:v>1.3010094526931943</x:v>
      </x:c>
      <x:c r="E632" s="128" t="n">
        <x:f>'Итоги'!$B$9</x:f>
        <x:v>1.2958368660043291</x:v>
      </x:c>
      <x:c r="F632" s="129" t="n">
        <x:f>ABS(D632-E632)</x:f>
        <x:v>0.005172586688865222</x:v>
      </x:c>
    </x:row>
    <x:row r="633">
      <x:c r="A633" s="107" t="n">
        <x:v>632</x:v>
      </x:c>
      <x:c r="B633" s="128" t="n">
        <x:v>2.6451661812348632</x:v>
      </x:c>
      <x:c r="C633" s="128" t="n">
        <x:f>LN(B633)</x:f>
        <x:v>0.9727338917808214</x:v>
      </x:c>
      <x:c r="D633" s="128" t="n">
        <x:f>'Итоги'!$B$8*AVERAGE($C$2:C633)</x:f>
        <x:v>1.3020291652420368</x:v>
      </x:c>
      <x:c r="E633" s="128" t="n">
        <x:f>'Итоги'!$B$9</x:f>
        <x:v>1.2958368660043291</x:v>
      </x:c>
      <x:c r="F633" s="129" t="n">
        <x:f>ABS(D633-E633)</x:f>
        <x:v>0.006192299237707699</x:v>
      </x:c>
    </x:row>
    <x:row r="634">
      <x:c r="A634" s="107" t="n">
        <x:v>633</x:v>
      </x:c>
      <x:c r="B634" s="128" t="n">
        <x:v>1.0739414544023484</x:v>
      </x:c>
      <x:c r="C634" s="128" t="n">
        <x:f>LN(B634)</x:f>
        <x:v>0.07133548287119768</x:v>
      </x:c>
      <x:c r="D634" s="128" t="n">
        <x:f>'Итоги'!$B$8*AVERAGE($C$2:C634)</x:f>
        <x:v>1.3001976357009633</x:v>
      </x:c>
      <x:c r="E634" s="128" t="n">
        <x:f>'Итоги'!$B$9</x:f>
        <x:v>1.2958368660043291</x:v>
      </x:c>
      <x:c r="F634" s="129" t="n">
        <x:f>ABS(D634-E634)</x:f>
        <x:v>0.004360769696634126</x:v>
      </x:c>
    </x:row>
    <x:row r="635">
      <x:c r="A635" s="107" t="n">
        <x:v>634</x:v>
      </x:c>
      <x:c r="B635" s="128" t="n">
        <x:v>1.7454046826134684</x:v>
      </x:c>
      <x:c r="C635" s="128" t="n">
        <x:f>LN(B635)</x:f>
        <x:v>0.5569864385746132</x:v>
      </x:c>
      <x:c r="D635" s="128" t="n">
        <x:f>'Итоги'!$B$8*AVERAGE($C$2:C635)</x:f>
        <x:v>1.2999039057978847</x:v>
      </x:c>
      <x:c r="E635" s="128" t="n">
        <x:f>'Итоги'!$B$9</x:f>
        <x:v>1.2958368660043291</x:v>
      </x:c>
      <x:c r="F635" s="129" t="n">
        <x:f>ABS(D635-E635)</x:f>
        <x:v>0.004067039793555605</x:v>
      </x:c>
    </x:row>
    <x:row r="636">
      <x:c r="A636" s="107" t="n">
        <x:v>635</x:v>
      </x:c>
      <x:c r="B636" s="128" t="n">
        <x:v>1.0973969446277025</x:v>
      </x:c>
      <x:c r="C636" s="128" t="n">
        <x:f>LN(B636)</x:f>
        <x:v>0.09294096144686513</x:v>
      </x:c>
      <x:c r="D636" s="128" t="n">
        <x:f>'Итоги'!$B$8*AVERAGE($C$2:C636)</x:f>
        <x:v>1.2981495404704766</x:v>
      </x:c>
      <x:c r="E636" s="128" t="n">
        <x:f>'Итоги'!$B$9</x:f>
        <x:v>1.2958368660043291</x:v>
      </x:c>
      <x:c r="F636" s="129" t="n">
        <x:f>ABS(D636-E636)</x:f>
        <x:v>0.0023126744661474685</x:v>
      </x:c>
    </x:row>
    <x:row r="637">
      <x:c r="A637" s="107" t="n">
        <x:v>636</x:v>
      </x:c>
      <x:c r="B637" s="128" t="n">
        <x:v>1.218564582229116</x:v>
      </x:c>
      <x:c r="C637" s="128" t="n">
        <x:f>LN(B637)</x:f>
        <x:v>0.19767359409765123</x:v>
      </x:c>
      <x:c r="D637" s="128" t="n">
        <x:f>'Итоги'!$B$8*AVERAGE($C$2:C637)</x:f>
        <x:v>1.2967300399165846</x:v>
      </x:c>
      <x:c r="E637" s="128" t="n">
        <x:f>'Итоги'!$B$9</x:f>
        <x:v>1.2958368660043291</x:v>
      </x:c>
      <x:c r="F637" s="129" t="n">
        <x:f>ABS(D637-E637)</x:f>
        <x:v>0.0008931739122555182</x:v>
      </x:c>
    </x:row>
    <x:row r="638">
      <x:c r="A638" s="107" t="n">
        <x:v>637</x:v>
      </x:c>
      <x:c r="B638" s="128" t="n">
        <x:v>2.3506112573349682</x:v>
      </x:c>
      <x:c r="C638" s="128" t="n">
        <x:f>LN(B638)</x:f>
        <x:v>0.8546754038376972</x:v>
      </x:c>
      <x:c r="D638" s="128" t="n">
        <x:f>'Итоги'!$B$8*AVERAGE($C$2:C638)</x:f>
        <x:v>1.2973777962238984</x:v>
      </x:c>
      <x:c r="E638" s="128" t="n">
        <x:f>'Итоги'!$B$9</x:f>
        <x:v>1.2958368660043291</x:v>
      </x:c>
      <x:c r="F638" s="129" t="n">
        <x:f>ABS(D638-E638)</x:f>
        <x:v>0.0015409302195692476</x:v>
      </x:c>
    </x:row>
    <x:row r="639">
      <x:c r="A639" s="107" t="n">
        <x:v>638</x:v>
      </x:c>
      <x:c r="B639" s="128" t="n">
        <x:v>2.4265163926233964</x:v>
      </x:c>
      <x:c r="C639" s="128" t="n">
        <x:f>LN(B639)</x:f>
        <x:v>0.8864566455062515</x:v>
      </x:c>
      <x:c r="D639" s="128" t="n">
        <x:f>'Итоги'!$B$8*AVERAGE($C$2:C639)</x:f>
        <x:v>1.298123149664006</x:v>
      </x:c>
      <x:c r="E639" s="128" t="n">
        <x:f>'Итоги'!$B$9</x:f>
        <x:v>1.2958368660043291</x:v>
      </x:c>
      <x:c r="F639" s="129" t="n">
        <x:f>ABS(D639-E639)</x:f>
        <x:v>0.0022862836596768688</x:v>
      </x:c>
    </x:row>
    <x:row r="640">
      <x:c r="A640" s="107" t="n">
        <x:v>639</x:v>
      </x:c>
      <x:c r="B640" s="128" t="n">
        <x:v>2.5474413655032526</x:v>
      </x:c>
      <x:c r="C640" s="128" t="n">
        <x:f>LN(B640)</x:f>
        <x:v>0.9350894693643845</x:v>
      </x:c>
      <x:c r="D640" s="128" t="n">
        <x:f>'Итоги'!$B$8*AVERAGE($C$2:C640)</x:f>
        <x:v>1.299018385640633</x:v>
      </x:c>
      <x:c r="E640" s="128" t="n">
        <x:f>'Итоги'!$B$9</x:f>
        <x:v>1.2958368660043291</x:v>
      </x:c>
      <x:c r="F640" s="129" t="n">
        <x:f>ABS(D640-E640)</x:f>
        <x:v>0.0031815196363038645</x:v>
      </x:c>
    </x:row>
    <x:row r="641">
      <x:c r="A641" s="107" t="n">
        <x:v>640</x:v>
      </x:c>
      <x:c r="B641" s="128" t="n">
        <x:v>2.7309130961113257</x:v>
      </x:c>
      <x:c r="C641" s="128" t="n">
        <x:f>LN(B641)</x:f>
        <x:v>1.0046360207151492</x:v>
      </x:c>
      <x:c r="D641" s="128" t="n">
        <x:f>'Итоги'!$B$8*AVERAGE($C$2:C641)</x:f>
        <x:v>1.3001281569778045</x:v>
      </x:c>
      <x:c r="E641" s="128" t="n">
        <x:f>'Итоги'!$B$9</x:f>
        <x:v>1.2958368660043291</x:v>
      </x:c>
      <x:c r="F641" s="129" t="n">
        <x:f>ABS(D641-E641)</x:f>
        <x:v>0.004291290973475359</x:v>
      </x:c>
    </x:row>
    <x:row r="642">
      <x:c r="A642" s="107" t="n">
        <x:v>641</x:v>
      </x:c>
      <x:c r="B642" s="128" t="n">
        <x:v>2.4788629369530195</x:v>
      </x:c>
      <x:c r="C642" s="128" t="n">
        <x:f>LN(B642)</x:f>
        <x:v>0.9077999618726564</x:v>
      </x:c>
      <x:c r="D642" s="128" t="n">
        <x:f>'Итоги'!$B$8*AVERAGE($C$2:C642)</x:f>
        <x:v>1.3009323251006868</x:v>
      </x:c>
      <x:c r="E642" s="128" t="n">
        <x:f>'Итоги'!$B$9</x:f>
        <x:v>1.2958368660043291</x:v>
      </x:c>
      <x:c r="F642" s="129" t="n">
        <x:f>ABS(D642-E642)</x:f>
        <x:v>0.0050954590963576685</x:v>
      </x:c>
    </x:row>
    <x:row r="643">
      <x:c r="A643" s="107" t="n">
        <x:v>642</x:v>
      </x:c>
      <x:c r="B643" s="128" t="n">
        <x:v>2.601743184213264</x:v>
      </x:c>
      <x:c r="C643" s="128" t="n">
        <x:f>LN(B643)</x:f>
        <x:v>0.9561816758392184</x:v>
      </x:c>
      <x:c r="D643" s="128" t="n">
        <x:f>'Итоги'!$B$8*AVERAGE($C$2:C643)</x:f>
        <x:v>1.3018847098772877</x:v>
      </x:c>
      <x:c r="E643" s="128" t="n">
        <x:f>'Итоги'!$B$9</x:f>
        <x:v>1.2958368660043291</x:v>
      </x:c>
      <x:c r="F643" s="129" t="n">
        <x:f>ABS(D643-E643)</x:f>
        <x:v>0.006047843872958536</x:v>
      </x:c>
    </x:row>
    <x:row r="644">
      <x:c r="A644" s="107" t="n">
        <x:v>643</x:v>
      </x:c>
      <x:c r="B644" s="128" t="n">
        <x:v>1.0979274196465585</x:v>
      </x:c>
      <x:c r="C644" s="128" t="n">
        <x:f>LN(B644)</x:f>
        <x:v>0.09342423857694516</x:v>
      </x:c>
      <x:c r="D644" s="128" t="n">
        <x:f>'Итоги'!$B$8*AVERAGE($C$2:C644)</x:f>
        <x:v>1.3001505944298173</x:v>
      </x:c>
      <x:c r="E644" s="128" t="n">
        <x:f>'Итоги'!$B$9</x:f>
        <x:v>1.2958368660043291</x:v>
      </x:c>
      <x:c r="F644" s="129" t="n">
        <x:f>ABS(D644-E644)</x:f>
        <x:v>0.004313728425488161</x:v>
      </x:c>
    </x:row>
    <x:row r="645">
      <x:c r="A645" s="107" t="n">
        <x:v>644</x:v>
      </x:c>
      <x:c r="B645" s="128" t="n">
        <x:v>1.4690703008825972</x:v>
      </x:c>
      <x:c r="C645" s="128" t="n">
        <x:f>LN(B645)</x:f>
        <x:v>0.3846297523316186</x:v>
      </x:c>
      <x:c r="D645" s="128" t="n">
        <x:f>'Итоги'!$B$8*AVERAGE($C$2:C645)</x:f>
        <x:v>1.2993262293835959</x:v>
      </x:c>
      <x:c r="E645" s="128" t="n">
        <x:f>'Итоги'!$B$9</x:f>
        <x:v>1.2958368660043291</x:v>
      </x:c>
      <x:c r="F645" s="129" t="n">
        <x:f>ABS(D645-E645)</x:f>
        <x:v>0.0034893633792667522</x:v>
      </x:c>
    </x:row>
    <x:row r="646">
      <x:c r="A646" s="107" t="n">
        <x:v>645</x:v>
      </x:c>
      <x:c r="B646" s="128" t="n">
        <x:v>2.2437955467504915</x:v>
      </x:c>
      <x:c r="C646" s="128" t="n">
        <x:f>LN(B646)</x:f>
        <x:v>0.8081688724358279</x:v>
      </x:c>
      <x:c r="D646" s="128" t="n">
        <x:f>'Итоги'!$B$8*AVERAGE($C$2:C646)</x:f>
        <x:v>1.2998177201052827</x:v>
      </x:c>
      <x:c r="E646" s="128" t="n">
        <x:f>'Итоги'!$B$9</x:f>
        <x:v>1.2958368660043291</x:v>
      </x:c>
      <x:c r="F646" s="129" t="n">
        <x:f>ABS(D646-E646)</x:f>
        <x:v>0.0039808541009536125</x:v>
      </x:c>
    </x:row>
    <x:row r="647">
      <x:c r="A647" s="107" t="n">
        <x:v>646</x:v>
      </x:c>
      <x:c r="B647" s="128" t="n">
        <x:v>2.7162506092496463</x:v>
      </x:c>
      <x:c r="C647" s="128" t="n">
        <x:f>LN(B647)</x:f>
        <x:v>0.9992524768865523</x:v>
      </x:c>
      <x:c r="D647" s="128" t="n">
        <x:f>'Итоги'!$B$8*AVERAGE($C$2:C647)</x:f>
        <x:v>1.3008992792905272</x:v>
      </x:c>
      <x:c r="E647" s="128" t="n">
        <x:f>'Итоги'!$B$9</x:f>
        <x:v>1.2958368660043291</x:v>
      </x:c>
      <x:c r="F647" s="129" t="n">
        <x:f>ABS(D647-E647)</x:f>
        <x:v>0.005062413286198053</x:v>
      </x:c>
    </x:row>
    <x:row r="648">
      <x:c r="A648" s="107" t="n">
        <x:v>647</x:v>
      </x:c>
      <x:c r="B648" s="128" t="n">
        <x:v>1.0090002498793182</x:v>
      </x:c>
      <x:c r="C648" s="128" t="n">
        <x:f>LN(B648)</x:f>
        <x:v>0.008959989021905307</x:v>
      </x:c>
      <x:c r="D648" s="128" t="n">
        <x:f>'Итоги'!$B$8*AVERAGE($C$2:C648)</x:f>
        <x:v>1.2989163128280128</x:v>
      </x:c>
      <x:c r="E648" s="128" t="n">
        <x:f>'Итоги'!$B$9</x:f>
        <x:v>1.2958368660043291</x:v>
      </x:c>
      <x:c r="F648" s="129" t="n">
        <x:f>ABS(D648-E648)</x:f>
        <x:v>0.0030794468236836625</x:v>
      </x:c>
    </x:row>
    <x:row r="649">
      <x:c r="A649" s="107" t="n">
        <x:v>648</x:v>
      </x:c>
      <x:c r="B649" s="128" t="n">
        <x:v>2.0292586842326994</x:v>
      </x:c>
      <x:c r="C649" s="128" t="n">
        <x:f>LN(B649)</x:f>
        <x:v>0.7076705461782399</x:v>
      </x:c>
      <x:c r="D649" s="128" t="n">
        <x:f>'Итоги'!$B$8*AVERAGE($C$2:C649)</x:f>
        <x:v>1.2990959806976556</x:v>
      </x:c>
      <x:c r="E649" s="128" t="n">
        <x:f>'Итоги'!$B$9</x:f>
        <x:v>1.2958368660043291</x:v>
      </x:c>
      <x:c r="F649" s="129" t="n">
        <x:f>ABS(D649-E649)</x:f>
        <x:v>0.0032591146933265147</x:v>
      </x:c>
    </x:row>
    <x:row r="650">
      <x:c r="A650" s="107" t="n">
        <x:v>649</x:v>
      </x:c>
      <x:c r="B650" s="128" t="n">
        <x:v>2.3545747987287946</x:v>
      </x:c>
      <x:c r="C650" s="128" t="n">
        <x:f>LN(B650)</x:f>
        <x:v>0.8563601586100309</x:v>
      </x:c>
      <x:c r="D650" s="128" t="n">
        <x:f>'Итоги'!$B$8*AVERAGE($C$2:C650)</x:f>
        <x:v>1.2997333063317424</x:v>
      </x:c>
      <x:c r="E650" s="128" t="n">
        <x:f>'Итоги'!$B$9</x:f>
        <x:v>1.2958368660043291</x:v>
      </x:c>
      <x:c r="F650" s="129" t="n">
        <x:f>ABS(D650-E650)</x:f>
        <x:v>0.0038964403274133197</x:v>
      </x:c>
    </x:row>
    <x:row r="651">
      <x:c r="A651" s="107" t="n">
        <x:v>650</x:v>
      </x:c>
      <x:c r="B651" s="128" t="n">
        <x:v>1.0592145782572264</x:v>
      </x:c>
      <x:c r="C651" s="128" t="n">
        <x:f>LN(B651)</x:f>
        <x:v>0.05752766956626354</x:v>
      </x:c>
      <x:c r="D651" s="128" t="n">
        <x:f>'Итоги'!$B$8*AVERAGE($C$2:C651)</x:f>
        <x:v>1.2979107248437436</x:v>
      </x:c>
      <x:c r="E651" s="128" t="n">
        <x:f>'Итоги'!$B$9</x:f>
        <x:v>1.2958368660043291</x:v>
      </x:c>
      <x:c r="F651" s="129" t="n">
        <x:f>ABS(D651-E651)</x:f>
        <x:v>0.0020738588394144664</x:v>
      </x:c>
    </x:row>
    <x:row r="652">
      <x:c r="A652" s="107" t="n">
        <x:v>651</x:v>
      </x:c>
      <x:c r="B652" s="128" t="n">
        <x:v>1.8027111151067758</x:v>
      </x:c>
      <x:c r="C652" s="128" t="n">
        <x:f>LN(B652)</x:f>
        <x:v>0.5892917068174504</x:v>
      </x:c>
      <x:c r="D652" s="128" t="n">
        <x:f>'Итоги'!$B$8*AVERAGE($C$2:C652)</x:f>
        <x:v>1.297727426362624</x:v>
      </x:c>
      <x:c r="E652" s="128" t="n">
        <x:f>'Итоги'!$B$9</x:f>
        <x:v>1.2958368660043291</x:v>
      </x:c>
      <x:c r="F652" s="129" t="n">
        <x:f>ABS(D652-E652)</x:f>
        <x:v>0.0018905603582948238</x:v>
      </x:c>
    </x:row>
    <x:row r="653">
      <x:c r="A653" s="107" t="n">
        <x:v>652</x:v>
      </x:c>
      <x:c r="B653" s="128" t="n">
        <x:v>2.791269762767394</x:v>
      </x:c>
      <x:c r="C653" s="128" t="n">
        <x:f>LN(B653)</x:f>
        <x:v>1.026496604404181</x:v>
      </x:c>
      <x:c r="D653" s="128" t="n">
        <x:f>'Итоги'!$B$8*AVERAGE($C$2:C653)</x:f>
        <x:v>1.2988858094645346</x:v>
      </x:c>
      <x:c r="E653" s="128" t="n">
        <x:f>'Итоги'!$B$9</x:f>
        <x:v>1.2958368660043291</x:v>
      </x:c>
      <x:c r="F653" s="129" t="n">
        <x:f>ABS(D653-E653)</x:f>
        <x:v>0.0030489434602054555</x:v>
      </x:c>
    </x:row>
    <x:row r="654">
      <x:c r="A654" s="107" t="n">
        <x:v>653</x:v>
      </x:c>
      <x:c r="B654" s="128" t="n">
        <x:v>2.3432256177117177</x:v>
      </x:c>
      <x:c r="C654" s="128" t="n">
        <x:f>LN(B654)</x:f>
        <x:v>0.8515284492608516</x:v>
      </x:c>
      <x:c r="D654" s="128" t="n">
        <x:f>'Итоги'!$B$8*AVERAGE($C$2:C654)</x:f>
        <x:v>1.2995047544707479</x:v>
      </x:c>
      <x:c r="E654" s="128" t="n">
        <x:f>'Итоги'!$B$9</x:f>
        <x:v>1.2958368660043291</x:v>
      </x:c>
      <x:c r="F654" s="129" t="n">
        <x:f>ABS(D654-E654)</x:f>
        <x:v>0.003667888466418745</x:v>
      </x:c>
    </x:row>
    <x:row r="655">
      <x:c r="A655" s="107" t="n">
        <x:v>654</x:v>
      </x:c>
      <x:c r="B655" s="128" t="n">
        <x:v>1.4753167267211946</x:v>
      </x:c>
      <x:c r="C655" s="128" t="n">
        <x:f>LN(B655)</x:f>
        <x:v>0.3888726967210716</x:v>
      </x:c>
      <x:c r="D655" s="128" t="n">
        <x:f>'Итоги'!$B$8*AVERAGE($C$2:C655)</x:f>
        <x:v>1.2987069572826306</x:v>
      </x:c>
      <x:c r="E655" s="128" t="n">
        <x:f>'Итоги'!$B$9</x:f>
        <x:v>1.2958368660043291</x:v>
      </x:c>
      <x:c r="F655" s="129" t="n">
        <x:f>ABS(D655-E655)</x:f>
        <x:v>0.002870091278301512</x:v>
      </x:c>
    </x:row>
    <x:row r="656">
      <x:c r="A656" s="107" t="n">
        <x:v>655</x:v>
      </x:c>
      <x:c r="B656" s="128" t="n">
        <x:v>2.705562259263825</x:v>
      </x:c>
      <x:c r="C656" s="128" t="n">
        <x:f>LN(B656)</x:f>
        <x:v>0.9953097499459597</x:v>
      </x:c>
      <x:c r="D656" s="128" t="n">
        <x:f>'Итоги'!$B$8*AVERAGE($C$2:C656)</x:f>
        <x:v>1.299763312309515</x:v>
      </x:c>
      <x:c r="E656" s="128" t="n">
        <x:f>'Итоги'!$B$9</x:f>
        <x:v>1.2958368660043291</x:v>
      </x:c>
      <x:c r="F656" s="129" t="n">
        <x:f>ABS(D656-E656)</x:f>
        <x:v>0.003926446305185793</x:v>
      </x:c>
    </x:row>
    <x:row r="657">
      <x:c r="A657" s="107" t="n">
        <x:v>656</x:v>
      </x:c>
      <x:c r="B657" s="128" t="n">
        <x:v>1.6960628468190286</x:v>
      </x:c>
      <x:c r="C657" s="128" t="n">
        <x:f>LN(B657)</x:f>
        <x:v>0.5283095925906043</x:v>
      </x:c>
      <x:c r="D657" s="128" t="n">
        <x:f>'Итоги'!$B$8*AVERAGE($C$2:C657)</x:f>
        <x:v>1.2993926657742585</x:v>
      </x:c>
      <x:c r="E657" s="128" t="n">
        <x:f>'Итоги'!$B$9</x:f>
        <x:v>1.2958368660043291</x:v>
      </x:c>
      <x:c r="F657" s="129" t="n">
        <x:f>ABS(D657-E657)</x:f>
        <x:v>0.0035557997699293686</x:v>
      </x:c>
    </x:row>
    <x:row r="658">
      <x:c r="A658" s="107" t="n">
        <x:v>657</x:v>
      </x:c>
      <x:c r="B658" s="128" t="n">
        <x:v>2.7066893422881186</x:v>
      </x:c>
      <x:c r="C658" s="128" t="n">
        <x:f>LN(B658)</x:f>
        <x:v>0.9957262431630389</x:v>
      </x:c>
      <x:c r="D658" s="128" t="n">
        <x:f>'Итоги'!$B$8*AVERAGE($C$2:C658)</x:f>
        <x:v>1.3004460292758595</x:v>
      </x:c>
      <x:c r="E658" s="128" t="n">
        <x:f>'Итоги'!$B$9</x:f>
        <x:v>1.2958368660043291</x:v>
      </x:c>
      <x:c r="F658" s="129" t="n">
        <x:f>ABS(D658-E658)</x:f>
        <x:v>0.004609163271530381</x:v>
      </x:c>
    </x:row>
    <x:row r="659">
      <x:c r="A659" s="107" t="n">
        <x:v>658</x:v>
      </x:c>
      <x:c r="B659" s="128" t="n">
        <x:v>1.597887302237811</x:v>
      </x:c>
      <x:c r="C659" s="128" t="n">
        <x:f>LN(B659)</x:f>
        <x:v>0.4686823206004417</x:v>
      </x:c>
      <x:c r="D659" s="128" t="n">
        <x:f>'Итоги'!$B$8*AVERAGE($C$2:C659)</x:f>
        <x:v>1.2998942338532533</x:v>
      </x:c>
      <x:c r="E659" s="128" t="n">
        <x:f>'Итоги'!$B$9</x:f>
        <x:v>1.2958368660043291</x:v>
      </x:c>
      <x:c r="F659" s="129" t="n">
        <x:f>ABS(D659-E659)</x:f>
        <x:v>0.004057367848924187</x:v>
      </x:c>
    </x:row>
    <x:row r="660">
      <x:c r="A660" s="107" t="n">
        <x:v>659</x:v>
      </x:c>
      <x:c r="B660" s="128" t="n">
        <x:v>2.180640501766298</x:v>
      </x:c>
      <x:c r="C660" s="128" t="n">
        <x:f>LN(B660)</x:f>
        <x:v>0.7796186417975136</x:v>
      </x:c>
      <x:c r="D660" s="128" t="n">
        <x:f>'Итоги'!$B$8*AVERAGE($C$2:C660)</x:f>
        <x:v>1.3002877741411771</x:v>
      </x:c>
      <x:c r="E660" s="128" t="n">
        <x:f>'Итоги'!$B$9</x:f>
        <x:v>1.2958368660043291</x:v>
      </x:c>
      <x:c r="F660" s="129" t="n">
        <x:f>ABS(D660-E660)</x:f>
        <x:v>0.004450908136848009</x:v>
      </x:c>
    </x:row>
    <x:row r="661">
      <x:c r="A661" s="107" t="n">
        <x:v>660</x:v>
      </x:c>
      <x:c r="B661" s="128" t="n">
        <x:v>1.7938801354956682</x:v>
      </x:c>
      <x:c r="C661" s="128" t="n">
        <x:f>LN(B661)</x:f>
        <x:v>0.5843809472994639</x:v>
      </x:c>
      <x:c r="D661" s="128" t="n">
        <x:f>'Итоги'!$B$8*AVERAGE($C$2:C661)</x:f>
        <x:v>1.300088492505507</x:v>
      </x:c>
      <x:c r="E661" s="128" t="n">
        <x:f>'Итоги'!$B$9</x:f>
        <x:v>1.2958368660043291</x:v>
      </x:c>
      <x:c r="F661" s="129" t="n">
        <x:f>ABS(D661-E661)</x:f>
        <x:v>0.00425162650117783</x:v>
      </x:c>
    </x:row>
    <x:row r="662">
      <x:c r="A662" s="107" t="n">
        <x:v>661</x:v>
      </x:c>
      <x:c r="B662" s="128" t="n">
        <x:v>1.549650101510134</x:v>
      </x:c>
      <x:c r="C662" s="128" t="n">
        <x:f>LN(B662)</x:f>
        <x:v>0.4380291644866255</x:v>
      </x:c>
      <x:c r="D662" s="128" t="n">
        <x:f>'Итоги'!$B$8*AVERAGE($C$2:C662)</x:f>
        <x:v>1.2994469945273948</x:v>
      </x:c>
      <x:c r="E662" s="128" t="n">
        <x:f>'Итоги'!$B$9</x:f>
        <x:v>1.2958368660043291</x:v>
      </x:c>
      <x:c r="F662" s="129" t="n">
        <x:f>ABS(D662-E662)</x:f>
        <x:v>0.0036101285230656366</x:v>
      </x:c>
    </x:row>
    <x:row r="663">
      <x:c r="A663" s="107" t="n">
        <x:v>662</x:v>
      </x:c>
      <x:c r="B663" s="128" t="n">
        <x:v>2.7731151243437386</x:v>
      </x:c>
      <x:c r="C663" s="128" t="n">
        <x:f>LN(B663)</x:f>
        <x:v>1.0199712819434297</x:v>
      </x:c>
      <x:c r="D663" s="128" t="n">
        <x:f>'Итоги'!$B$8*AVERAGE($C$2:C663)</x:f>
        <x:v>1.300565567895007</x:v>
      </x:c>
      <x:c r="E663" s="128" t="n">
        <x:f>'Итоги'!$B$9</x:f>
        <x:v>1.2958368660043291</x:v>
      </x:c>
      <x:c r="F663" s="129" t="n">
        <x:f>ABS(D663-E663)</x:f>
        <x:v>0.004728701890677867</x:v>
      </x:c>
    </x:row>
    <x:row r="664">
      <x:c r="A664" s="107" t="n">
        <x:v>663</x:v>
      </x:c>
      <x:c r="B664" s="128" t="n">
        <x:v>1.3751873638789827</x:v>
      </x:c>
      <x:c r="C664" s="128" t="n">
        <x:f>LN(B664)</x:f>
        <x:v>0.31858998647461206</x:v>
      </x:c>
      <x:c r="D664" s="128" t="n">
        <x:f>'Итоги'!$B$8*AVERAGE($C$2:C664)</x:f>
        <x:v>1.299564986303837</x:v>
      </x:c>
      <x:c r="E664" s="128" t="n">
        <x:f>'Итоги'!$B$9</x:f>
        <x:v>1.2958368660043291</x:v>
      </x:c>
      <x:c r="F664" s="129" t="n">
        <x:f>ABS(D664-E664)</x:f>
        <x:v>0.0037281202995078644</x:v>
      </x:c>
    </x:row>
    <x:row r="665">
      <x:c r="A665" s="107" t="n">
        <x:v>664</x:v>
      </x:c>
      <x:c r="B665" s="128" t="n">
        <x:v>1.1696231824715262</x:v>
      </x:c>
      <x:c r="C665" s="128" t="n">
        <x:f>LN(B665)</x:f>
        <x:v>0.1566816306715345</x:v>
      </x:c>
      <x:c r="D665" s="128" t="n">
        <x:f>'Итоги'!$B$8*AVERAGE($C$2:C665)</x:f>
        <x:v>1.298079742742149</x:v>
      </x:c>
      <x:c r="E665" s="128" t="n">
        <x:f>'Итоги'!$B$9</x:f>
        <x:v>1.2958368660043291</x:v>
      </x:c>
      <x:c r="F665" s="129" t="n">
        <x:f>ABS(D665-E665)</x:f>
        <x:v>0.0022428767378199765</x:v>
      </x:c>
    </x:row>
    <x:row r="666">
      <x:c r="A666" s="107" t="n">
        <x:v>665</x:v>
      </x:c>
      <x:c r="B666" s="128" t="n">
        <x:v>1.6838538770913207</x:v>
      </x:c>
      <x:c r="C666" s="128" t="n">
        <x:f>LN(B666)</x:f>
        <x:v>0.5210851407318422</x:v>
      </x:c>
      <x:c r="D666" s="128" t="n">
        <x:f>'Итоги'!$B$8*AVERAGE($C$2:C666)</x:f>
        <x:v>1.2976949164845875</x:v>
      </x:c>
      <x:c r="E666" s="128" t="n">
        <x:f>'Итоги'!$B$9</x:f>
        <x:v>1.2958368660043291</x:v>
      </x:c>
      <x:c r="F666" s="129" t="n">
        <x:f>ABS(D666-E666)</x:f>
        <x:v>0.001858050480258333</x:v>
      </x:c>
    </x:row>
    <x:row r="667">
      <x:c r="A667" s="107" t="n">
        <x:v>666</x:v>
      </x:c>
      <x:c r="B667" s="128" t="n">
        <x:v>2.435278295283135</x:v>
      </x:c>
      <x:c r="C667" s="128" t="n">
        <x:f>LN(B667)</x:f>
        <x:v>0.8900610396479873</x:v>
      </x:c>
      <x:c r="D667" s="128" t="n">
        <x:f>'Итоги'!$B$8*AVERAGE($C$2:C667)</x:f>
        <x:v>1.2984192815939137</x:v>
      </x:c>
      <x:c r="E667" s="128" t="n">
        <x:f>'Итоги'!$B$9</x:f>
        <x:v>1.2958368660043291</x:v>
      </x:c>
      <x:c r="F667" s="129" t="n">
        <x:f>ABS(D667-E667)</x:f>
        <x:v>0.002582415589584608</x:v>
      </x:c>
    </x:row>
    <x:row r="668">
      <x:c r="A668" s="107" t="n">
        <x:v>667</x:v>
      </x:c>
      <x:c r="B668" s="128" t="n">
        <x:v>2.6148632119525637</x:v>
      </x:c>
      <x:c r="C668" s="128" t="n">
        <x:f>LN(B668)</x:f>
        <x:v>0.9612117871439667</x:v>
      </x:c>
      <x:c r="D668" s="128" t="n">
        <x:f>'Итоги'!$B$8*AVERAGE($C$2:C668)</x:f>
        <x:v>1.29935482026362</x:v>
      </x:c>
      <x:c r="E668" s="128" t="n">
        <x:f>'Итоги'!$B$9</x:f>
        <x:v>1.2958368660043291</x:v>
      </x:c>
      <x:c r="F668" s="129" t="n">
        <x:f>ABS(D668-E668)</x:f>
        <x:v>0.003517954259290912</x:v>
      </x:c>
    </x:row>
    <x:row r="669">
      <x:c r="A669" s="107" t="n">
        <x:v>668</x:v>
      </x:c>
      <x:c r="B669" s="128" t="n">
        <x:v>2.99748674013353</x:v>
      </x:c>
      <x:c r="C669" s="128" t="n">
        <x:f>LN(B669)</x:f>
        <x:v>1.0977741842678896</x:v>
      </x:c>
      <x:c r="D669" s="128" t="n">
        <x:f>'Итоги'!$B$8*AVERAGE($C$2:C669)</x:f>
        <x:v>1.3006964273718118</x:v>
      </x:c>
      <x:c r="E669" s="128" t="n">
        <x:f>'Итоги'!$B$9</x:f>
        <x:v>1.2958368660043291</x:v>
      </x:c>
      <x:c r="F669" s="129" t="n">
        <x:f>ABS(D669-E669)</x:f>
        <x:v>0.004859561367482668</x:v>
      </x:c>
    </x:row>
    <x:row r="670">
      <x:c r="A670" s="107" t="n">
        <x:v>669</x:v>
      </x:c>
      <x:c r="B670" s="128" t="n">
        <x:v>1.5927241140223298</x:v>
      </x:c>
      <x:c r="C670" s="128" t="n">
        <x:f>LN(B670)</x:f>
        <x:v>0.4654458295027501</x:v>
      </x:c>
      <x:c r="D670" s="128" t="n">
        <x:f>'Итоги'!$B$8*AVERAGE($C$2:C670)</x:f>
        <x:v>1.3001436549228338</x:v>
      </x:c>
      <x:c r="E670" s="128" t="n">
        <x:f>'Итоги'!$B$9</x:f>
        <x:v>1.2958368660043291</x:v>
      </x:c>
      <x:c r="F670" s="129" t="n">
        <x:f>ABS(D670-E670)</x:f>
        <x:v>0.004306788918504667</x:v>
      </x:c>
    </x:row>
    <x:row r="671">
      <x:c r="A671" s="107" t="n">
        <x:v>670</x:v>
      </x:c>
      <x:c r="B671" s="128" t="n">
        <x:v>1.8158839022625644</x:v>
      </x:c>
      <x:c r="C671" s="128" t="n">
        <x:f>LN(B671)</x:f>
        <x:v>0.5965723476633056</x:v>
      </x:c>
      <x:c r="D671" s="128" t="n">
        <x:f>'Итоги'!$B$8*AVERAGE($C$2:C671)</x:f>
        <x:v>1.299983954983138</x:v>
      </x:c>
      <x:c r="E671" s="128" t="n">
        <x:f>'Итоги'!$B$9</x:f>
        <x:v>1.2958368660043291</x:v>
      </x:c>
      <x:c r="F671" s="129" t="n">
        <x:f>ABS(D671-E671)</x:f>
        <x:v>0.004147088978808888</x:v>
      </x:c>
    </x:row>
    <x:row r="672">
      <x:c r="A672" s="107" t="n">
        <x:v>671</x:v>
      </x:c>
      <x:c r="B672" s="128" t="n">
        <x:v>1.2736425560592526</x:v>
      </x:c>
      <x:c r="C672" s="128" t="n">
        <x:f>LN(B672)</x:f>
        <x:v>0.24188094954099387</x:v>
      </x:c>
      <x:c r="D672" s="128" t="n">
        <x:f>'Итоги'!$B$8*AVERAGE($C$2:C672)</x:f>
        <x:v>1.2987675286703195</x:v>
      </x:c>
      <x:c r="E672" s="128" t="n">
        <x:f>'Итоги'!$B$9</x:f>
        <x:v>1.2958368660043291</x:v>
      </x:c>
      <x:c r="F672" s="129" t="n">
        <x:f>ABS(D672-E672)</x:f>
        <x:v>0.0029306626659904023</x:v>
      </x:c>
    </x:row>
    <x:row r="673">
      <x:c r="A673" s="107" t="n">
        <x:v>672</x:v>
      </x:c>
      <x:c r="B673" s="128" t="n">
        <x:v>2.149743859246067</x:v>
      </x:c>
      <x:c r="C673" s="128" t="n">
        <x:f>LN(B673)</x:f>
        <x:v>0.7653486998080183</x:v>
      </x:c>
      <x:c r="D673" s="128" t="n">
        <x:f>'Итоги'!$B$8*AVERAGE($C$2:C673)</x:f>
        <x:v>1.299112662406846</x:v>
      </x:c>
      <x:c r="E673" s="128" t="n">
        <x:f>'Итоги'!$B$9</x:f>
        <x:v>1.2958368660043291</x:v>
      </x:c>
      <x:c r="F673" s="129" t="n">
        <x:f>ABS(D673-E673)</x:f>
        <x:v>0.0032757964025169617</x:v>
      </x:c>
    </x:row>
    <x:row r="674">
      <x:c r="A674" s="107" t="n">
        <x:v>673</x:v>
      </x:c>
      <x:c r="B674" s="128" t="n">
        <x:v>2.9951600745258347</x:v>
      </x:c>
      <x:c r="C674" s="128" t="n">
        <x:f>LN(B674)</x:f>
        <x:v>1.096997677393194</x:v>
      </x:c>
      <x:c r="D674" s="128" t="n">
        <x:f>'Итоги'!$B$8*AVERAGE($C$2:C674)</x:f>
        <x:v>1.3004423543717487</x:v>
      </x:c>
      <x:c r="E674" s="128" t="n">
        <x:f>'Итоги'!$B$9</x:f>
        <x:v>1.2958368660043291</x:v>
      </x:c>
      <x:c r="F674" s="129" t="n">
        <x:f>ABS(D674-E674)</x:f>
        <x:v>0.004605488367419586</x:v>
      </x:c>
    </x:row>
    <x:row r="675">
      <x:c r="A675" s="107" t="n">
        <x:v>674</x:v>
      </x:c>
      <x:c r="B675" s="128" t="n">
        <x:v>2.401762020241317</x:v>
      </x:c>
      <x:c r="C675" s="128" t="n">
        <x:f>LN(B675)</x:f>
        <x:v>0.8762026430797468</x:v>
      </x:c>
      <x:c r="D675" s="128" t="n">
        <x:f>'Итоги'!$B$8*AVERAGE($C$2:C675)</x:f>
        <x:v>1.3011129225198017</x:v>
      </x:c>
      <x:c r="E675" s="128" t="n">
        <x:f>'Итоги'!$B$9</x:f>
        <x:v>1.2958368660043291</x:v>
      </x:c>
      <x:c r="F675" s="129" t="n">
        <x:f>ABS(D675-E675)</x:f>
        <x:v>0.0052760565154725825</x:v>
      </x:c>
    </x:row>
    <x:row r="676">
      <x:c r="A676" s="107" t="n">
        <x:v>675</x:v>
      </x:c>
      <x:c r="B676" s="128" t="n">
        <x:v>2.1904256808267437</x:v>
      </x:c>
      <x:c r="C676" s="128" t="n">
        <x:f>LN(B676)</x:f>
        <x:v>0.7840958997468066</x:v>
      </x:c>
      <x:c r="D676" s="128" t="n">
        <x:f>'Итоги'!$B$8*AVERAGE($C$2:C676)</x:f>
        <x:v>1.3015085949301333</x:v>
      </x:c>
      <x:c r="E676" s="128" t="n">
        <x:f>'Итоги'!$B$9</x:f>
        <x:v>1.2958368660043291</x:v>
      </x:c>
      <x:c r="F676" s="129" t="n">
        <x:f>ABS(D676-E676)</x:f>
        <x:v>0.0056717289258041426</x:v>
      </x:c>
    </x:row>
    <x:row r="677">
      <x:c r="A677" s="107" t="n">
        <x:v>676</x:v>
      </x:c>
      <x:c r="B677" s="128" t="n">
        <x:v>1.784738185843588</x:v>
      </x:c>
      <x:c r="C677" s="128" t="n">
        <x:f>LN(B677)</x:f>
        <x:v>0.579271729876402</x:v>
      </x:c>
      <x:c r="D677" s="128" t="n">
        <x:f>'Итоги'!$B$8*AVERAGE($C$2:C677)</x:f>
        <x:v>1.3012971080437763</x:v>
      </x:c>
      <x:c r="E677" s="128" t="n">
        <x:f>'Итоги'!$B$9</x:f>
        <x:v>1.2958368660043291</x:v>
      </x:c>
      <x:c r="F677" s="129" t="n">
        <x:f>ABS(D677-E677)</x:f>
        <x:v>0.005460242039447172</x:v>
      </x:c>
    </x:row>
    <x:row r="678">
      <x:c r="A678" s="107" t="n">
        <x:v>677</x:v>
      </x:c>
      <x:c r="B678" s="128" t="n">
        <x:v>2.83059752057111</x:v>
      </x:c>
      <x:c r="C678" s="128" t="n">
        <x:f>LN(B678)</x:f>
        <x:v>1.0404878273796463</x:v>
      </x:c>
      <x:c r="D678" s="128" t="n">
        <x:f>'Итоги'!$B$8*AVERAGE($C$2:C678)</x:f>
        <x:v>1.3024487750256308</x:v>
      </x:c>
      <x:c r="E678" s="128" t="n">
        <x:f>'Итоги'!$B$9</x:f>
        <x:v>1.2958368660043291</x:v>
      </x:c>
      <x:c r="F678" s="129" t="n">
        <x:f>ABS(D678-E678)</x:f>
        <x:v>0.0066119090213017095</x:v>
      </x:c>
    </x:row>
    <x:row r="679">
      <x:c r="A679" s="107" t="n">
        <x:v>678</x:v>
      </x:c>
      <x:c r="B679" s="128" t="n">
        <x:v>1.9938331922606989</x:v>
      </x:c>
      <x:c r="C679" s="128" t="n">
        <x:f>LN(B679)</x:f>
        <x:v>0.6900590132062328</x:v>
      </x:c>
      <x:c r="D679" s="128" t="n">
        <x:f>'Итоги'!$B$8*AVERAGE($C$2:C679)</x:f>
        <x:v>1.3025633314436056</x:v>
      </x:c>
      <x:c r="E679" s="128" t="n">
        <x:f>'Итоги'!$B$9</x:f>
        <x:v>1.2958368660043291</x:v>
      </x:c>
      <x:c r="F679" s="129" t="n">
        <x:f>ABS(D679-E679)</x:f>
        <x:v>0.006726465439276463</x:v>
      </x:c>
    </x:row>
    <x:row r="680">
      <x:c r="A680" s="107" t="n">
        <x:v>679</x:v>
      </x:c>
      <x:c r="B680" s="128" t="n">
        <x:v>1.268733826626123</x:v>
      </x:c>
      <x:c r="C680" s="128" t="n">
        <x:f>LN(B680)</x:f>
        <x:v>0.2380194162399109</x:v>
      </x:c>
      <x:c r="D680" s="128" t="n">
        <x:f>'Итоги'!$B$8*AVERAGE($C$2:C680)</x:f>
        <x:v>1.3013460641402714</x:v>
      </x:c>
      <x:c r="E680" s="128" t="n">
        <x:f>'Итоги'!$B$9</x:f>
        <x:v>1.2958368660043291</x:v>
      </x:c>
      <x:c r="F680" s="129" t="n">
        <x:f>ABS(D680-E680)</x:f>
        <x:v>0.005509198135942306</x:v>
      </x:c>
    </x:row>
    <x:row r="681">
      <x:c r="A681" s="107" t="n">
        <x:v>680</x:v>
      </x:c>
      <x:c r="B681" s="128" t="n">
        <x:v>1.730756926398267</x:v>
      </x:c>
      <x:c r="C681" s="128" t="n">
        <x:f>LN(B681)</x:f>
        <x:v>0.5485588425314548</x:v>
      </x:c>
      <x:c r="D681" s="128" t="n">
        <x:f>'Итоги'!$B$8*AVERAGE($C$2:C681)</x:f>
        <x:v>1.3010457282886871</x:v>
      </x:c>
      <x:c r="E681" s="128" t="n">
        <x:f>'Итоги'!$B$9</x:f>
        <x:v>1.2958368660043291</x:v>
      </x:c>
      <x:c r="F681" s="129" t="n">
        <x:f>ABS(D681-E681)</x:f>
        <x:v>0.005208862284358018</x:v>
      </x:c>
    </x:row>
    <x:row r="682">
      <x:c r="A682" s="107" t="n">
        <x:v>681</x:v>
      </x:c>
      <x:c r="B682" s="128" t="n">
        <x:v>1.1343333376955338</x:v>
      </x:c>
      <x:c r="C682" s="128" t="n">
        <x:f>LN(B682)</x:f>
        <x:v>0.1260451106962662</x:v>
      </x:c>
      <x:c r="D682" s="128" t="n">
        <x:f>'Итоги'!$B$8*AVERAGE($C$2:C682)</x:f>
        <x:v>1.2995054118321583</x:v>
      </x:c>
      <x:c r="E682" s="128" t="n">
        <x:f>'Итоги'!$B$9</x:f>
        <x:v>1.2958368660043291</x:v>
      </x:c>
      <x:c r="F682" s="129" t="n">
        <x:f>ABS(D682-E682)</x:f>
        <x:v>0.0036685458278291616</x:v>
      </x:c>
    </x:row>
    <x:row r="683">
      <x:c r="A683" s="107" t="n">
        <x:v>682</x:v>
      </x:c>
      <x:c r="B683" s="128" t="n">
        <x:v>1.4039580753775631</x:v>
      </x:c>
      <x:c r="C683" s="128" t="n">
        <x:f>LN(B683)</x:f>
        <x:v>0.33929544431558406</x:v>
      </x:c>
      <x:c r="D683" s="128" t="n">
        <x:f>'Итоги'!$B$8*AVERAGE($C$2:C683)</x:f>
        <x:v>1.2985949799799577</x:v>
      </x:c>
      <x:c r="E683" s="128" t="n">
        <x:f>'Итоги'!$B$9</x:f>
        <x:v>1.2958368660043291</x:v>
      </x:c>
      <x:c r="F683" s="129" t="n">
        <x:f>ABS(D683-E683)</x:f>
        <x:v>0.002758113975628529</x:v>
      </x:c>
    </x:row>
    <x:row r="684">
      <x:c r="A684" s="107" t="n">
        <x:v>683</x:v>
      </x:c>
      <x:c r="B684" s="128" t="n">
        <x:v>1.0353375619998244</x:v>
      </x:c>
      <x:c r="C684" s="128" t="n">
        <x:f>LN(B684)</x:f>
        <x:v>0.03472752040274051</x:v>
      </x:c>
      <x:c r="D684" s="128" t="n">
        <x:f>'Итоги'!$B$8*AVERAGE($C$2:C684)</x:f>
        <x:v>1.2967953607425133</x:v>
      </x:c>
      <x:c r="E684" s="128" t="n">
        <x:f>'Итоги'!$B$9</x:f>
        <x:v>1.2958368660043291</x:v>
      </x:c>
      <x:c r="F684" s="129" t="n">
        <x:f>ABS(D684-E684)</x:f>
        <x:v>0.0009584947381842124</x:v>
      </x:c>
    </x:row>
    <x:row r="685">
      <x:c r="A685" s="107" t="n">
        <x:v>684</x:v>
      </x:c>
      <x:c r="B685" s="128" t="n">
        <x:v>1.9065598330003268</x:v>
      </x:c>
      <x:c r="C685" s="128" t="n">
        <x:f>LN(B685)</x:f>
        <x:v>0.6453004835105804</x:v>
      </x:c>
      <x:c r="D685" s="128" t="n">
        <x:f>'Итоги'!$B$8*AVERAGE($C$2:C685)</x:f>
        <x:v>1.2967863046113417</x:v>
      </x:c>
      <x:c r="E685" s="128" t="n">
        <x:f>'Итоги'!$B$9</x:f>
        <x:v>1.2958368660043291</x:v>
      </x:c>
      <x:c r="F685" s="129" t="n">
        <x:f>ABS(D685-E685)</x:f>
        <x:v>0.000949438607012576</x:v>
      </x:c>
    </x:row>
    <x:row r="686">
      <x:c r="A686" s="107" t="n">
        <x:v>685</x:v>
      </x:c>
      <x:c r="B686" s="128" t="n">
        <x:v>2.2690805299035945</x:v>
      </x:c>
      <x:c r="C686" s="128" t="n">
        <x:f>LN(B686)</x:f>
        <x:v>0.8193746965313188</x:v>
      </x:c>
      <x:c r="D686" s="128" t="n">
        <x:f>'Итоги'!$B$8*AVERAGE($C$2:C686)</x:f>
        <x:v>1.2972855207988618</x:v>
      </x:c>
      <x:c r="E686" s="128" t="n">
        <x:f>'Итоги'!$B$9</x:f>
        <x:v>1.2958368660043291</x:v>
      </x:c>
      <x:c r="F686" s="129" t="n">
        <x:f>ABS(D686-E686)</x:f>
        <x:v>0.001448654794532711</x:v>
      </x:c>
    </x:row>
    <x:row r="687">
      <x:c r="A687" s="107" t="n">
        <x:v>686</x:v>
      </x:c>
      <x:c r="B687" s="128" t="n">
        <x:v>1.6865849247578155</x:v>
      </x:c>
      <x:c r="C687" s="128" t="n">
        <x:f>LN(B687)</x:f>
        <x:v>0.5227057298745443</x:v>
      </x:c>
      <x:c r="D687" s="128" t="n">
        <x:f>'Итоги'!$B$8*AVERAGE($C$2:C687)</x:f>
        <x:v>1.296918357444562</x:v>
      </x:c>
      <x:c r="E687" s="128" t="n">
        <x:f>'Итоги'!$B$9</x:f>
        <x:v>1.2958368660043291</x:v>
      </x:c>
      <x:c r="F687" s="129" t="n">
        <x:f>ABS(D687-E687)</x:f>
        <x:v>0.0010814914402328402</x:v>
      </x:c>
    </x:row>
    <x:row r="688">
      <x:c r="A688" s="107" t="n">
        <x:v>687</x:v>
      </x:c>
      <x:c r="B688" s="128" t="n">
        <x:v>1.8407635430105542</x:v>
      </x:c>
      <x:c r="C688" s="128" t="n">
        <x:f>LN(B688)</x:f>
        <x:v>0.6101804545725342</x:v>
      </x:c>
      <x:c r="D688" s="128" t="n">
        <x:f>'Итоги'!$B$8*AVERAGE($C$2:C688)</x:f>
        <x:v>1.2968069201107926</x:v>
      </x:c>
      <x:c r="E688" s="128" t="n">
        <x:f>'Итоги'!$B$9</x:f>
        <x:v>1.2958368660043291</x:v>
      </x:c>
      <x:c r="F688" s="129" t="n">
        <x:f>ABS(D688-E688)</x:f>
        <x:v>0.0009700541064634471</x:v>
      </x:c>
    </x:row>
    <x:row r="689">
      <x:c r="A689" s="107" t="n">
        <x:v>688</x:v>
      </x:c>
      <x:c r="B689" s="128" t="n">
        <x:v>2.9184185456891516</x:v>
      </x:c>
      <x:c r="C689" s="128" t="n">
        <x:f>LN(B689)</x:f>
        <x:v>1.0710418756231443</x:v>
      </x:c>
      <x:c r="D689" s="128" t="n">
        <x:f>'Итоги'!$B$8*AVERAGE($C$2:C689)</x:f>
        <x:v>1.2980355201560476</x:v>
      </x:c>
      <x:c r="E689" s="128" t="n">
        <x:f>'Итоги'!$B$9</x:f>
        <x:v>1.2958368660043291</x:v>
      </x:c>
      <x:c r="F689" s="129" t="n">
        <x:f>ABS(D689-E689)</x:f>
        <x:v>0.002198654151718493</x:v>
      </x:c>
    </x:row>
    <x:row r="690">
      <x:c r="A690" s="107" t="n">
        <x:v>689</x:v>
      </x:c>
      <x:c r="B690" s="128" t="n">
        <x:v>2.503926243149831</x:v>
      </x:c>
      <x:c r="C690" s="128" t="n">
        <x:f>LN(B690)</x:f>
        <x:v>0.9178599971929371</x:v>
      </x:c>
      <x:c r="D690" s="128" t="n">
        <x:f>'Итоги'!$B$8*AVERAGE($C$2:C690)</x:f>
        <x:v>1.2988159040083405</x:v>
      </x:c>
      <x:c r="E690" s="128" t="n">
        <x:f>'Итоги'!$B$9</x:f>
        <x:v>1.2958368660043291</x:v>
      </x:c>
      <x:c r="F690" s="129" t="n">
        <x:f>ABS(D690-E690)</x:f>
        <x:v>0.0029790380040113362</x:v>
      </x:c>
    </x:row>
    <x:row r="691">
      <x:c r="A691" s="107" t="n">
        <x:v>690</x:v>
      </x:c>
      <x:c r="B691" s="128" t="n">
        <x:v>2.0817132738899025</x:v>
      </x:c>
      <x:c r="C691" s="128" t="n">
        <x:f>LN(B691)</x:f>
        <x:v>0.7331912440374491</x:v>
      </x:c>
      <x:c r="D691" s="128" t="n">
        <x:f>'Итоги'!$B$8*AVERAGE($C$2:C691)</x:f>
        <x:v>1.2990587541301761</x:v>
      </x:c>
      <x:c r="E691" s="128" t="n">
        <x:f>'Итоги'!$B$9</x:f>
        <x:v>1.2958368660043291</x:v>
      </x:c>
      <x:c r="F691" s="129" t="n">
        <x:f>ABS(D691-E691)</x:f>
        <x:v>0.0032218881258470056</x:v>
      </x:c>
    </x:row>
    <x:row r="692">
      <x:c r="A692" s="107" t="n">
        <x:v>691</x:v>
      </x:c>
      <x:c r="B692" s="128" t="n">
        <x:v>1.5690817502236505</x:v>
      </x:c>
      <x:c r="C692" s="128" t="n">
        <x:f>LN(B692)</x:f>
        <x:v>0.45049057578658225</x:v>
      </x:c>
      <x:c r="D692" s="128" t="n">
        <x:f>'Итоги'!$B$8*AVERAGE($C$2:C692)</x:f>
        <x:v>1.2984826649803107</x:v>
      </x:c>
      <x:c r="E692" s="128" t="n">
        <x:f>'Итоги'!$B$9</x:f>
        <x:v>1.2958368660043291</x:v>
      </x:c>
      <x:c r="F692" s="129" t="n">
        <x:f>ABS(D692-E692)</x:f>
        <x:v>0.002645798975981606</x:v>
      </x:c>
    </x:row>
    <x:row r="693">
      <x:c r="A693" s="107" t="n">
        <x:v>692</x:v>
      </x:c>
      <x:c r="B693" s="128" t="n">
        <x:v>2.7939935975459904</x:v>
      </x:c>
      <x:c r="C693" s="128" t="n">
        <x:f>LN(B693)</x:f>
        <x:v>1.0274719693310674</x:v>
      </x:c>
      <x:c r="D693" s="128" t="n">
        <x:f>'Итоги'!$B$8*AVERAGE($C$2:C693)</x:f>
        <x:v>1.299575817109909</x:v>
      </x:c>
      <x:c r="E693" s="128" t="n">
        <x:f>'Итоги'!$B$9</x:f>
        <x:v>1.2958368660043291</x:v>
      </x:c>
      <x:c r="F693" s="129" t="n">
        <x:f>ABS(D693-E693)</x:f>
        <x:v>0.0037389511055798685</x:v>
      </x:c>
    </x:row>
    <x:row r="694">
      <x:c r="A694" s="107" t="n">
        <x:v>693</x:v>
      </x:c>
      <x:c r="B694" s="128" t="n">
        <x:v>1.470194233761319</x:v>
      </x:c>
      <x:c r="C694" s="128" t="n">
        <x:f>LN(B694)</x:f>
        <x:v>0.38539452387242723</x:v>
      </x:c>
      <x:c r="D694" s="128" t="n">
        <x:f>'Итоги'!$B$8*AVERAGE($C$2:C694)</x:f>
        <x:v>1.298812777038675</x:v>
      </x:c>
      <x:c r="E694" s="128" t="n">
        <x:f>'Итоги'!$B$9</x:f>
        <x:v>1.2958368660043291</x:v>
      </x:c>
      <x:c r="F694" s="129" t="n">
        <x:f>ABS(D694-E694)</x:f>
        <x:v>0.0029759110343459128</x:v>
      </x:c>
    </x:row>
    <x:row r="695">
      <x:c r="A695" s="107" t="n">
        <x:v>694</x:v>
      </x:c>
      <x:c r="B695" s="128" t="n">
        <x:v>1.6506854610333541</x:v>
      </x:c>
      <x:c r="C695" s="128" t="n">
        <x:f>LN(B695)</x:f>
        <x:v>0.5011906325742576</x:v>
      </x:c>
      <x:c r="D695" s="128" t="n">
        <x:f>'Итоги'!$B$8*AVERAGE($C$2:C695)</x:f>
        <x:v>1.2983856422953175</x:v>
      </x:c>
      <x:c r="E695" s="128" t="n">
        <x:f>'Итоги'!$B$9</x:f>
        <x:v>1.2958368660043291</x:v>
      </x:c>
      <x:c r="F695" s="129" t="n">
        <x:f>ABS(D695-E695)</x:f>
        <x:v>0.002548776290988375</x:v>
      </x:c>
    </x:row>
    <x:row r="696">
      <x:c r="A696" s="107" t="n">
        <x:v>695</x:v>
      </x:c>
      <x:c r="B696" s="128" t="n">
        <x:v>2.818129628845897</x:v>
      </x:c>
      <x:c r="C696" s="128" t="n">
        <x:f>LN(B696)</x:f>
        <x:v>1.0360734127186835</x:v>
      </x:c>
      <x:c r="D696" s="128" t="n">
        <x:f>'Итоги'!$B$8*AVERAGE($C$2:C696)</x:f>
        <x:v>1.2994989677386874</x:v>
      </x:c>
      <x:c r="E696" s="128" t="n">
        <x:f>'Итоги'!$B$9</x:f>
        <x:v>1.2958368660043291</x:v>
      </x:c>
      <x:c r="F696" s="129" t="n">
        <x:f>ABS(D696-E696)</x:f>
        <x:v>0.003662101734358325</x:v>
      </x:c>
    </x:row>
    <x:row r="697">
      <x:c r="A697" s="107" t="n">
        <x:v>696</x:v>
      </x:c>
      <x:c r="B697" s="128" t="n">
        <x:v>2.0590841105701445</x:v>
      </x:c>
      <x:c r="C697" s="128" t="n">
        <x:f>LN(B697)</x:f>
        <x:v>0.7222612774153583</x:v>
      </x:c>
      <x:c r="D697" s="128" t="n">
        <x:f>'Итоги'!$B$8*AVERAGE($C$2:C697)</x:f>
        <x:v>1.299707334961521</x:v>
      </x:c>
      <x:c r="E697" s="128" t="n">
        <x:f>'Итоги'!$B$9</x:f>
        <x:v>1.2958368660043291</x:v>
      </x:c>
      <x:c r="F697" s="129" t="n">
        <x:f>ABS(D697-E697)</x:f>
        <x:v>0.003870468957191786</x:v>
      </x:c>
    </x:row>
    <x:row r="698">
      <x:c r="A698" s="107" t="n">
        <x:v>697</x:v>
      </x:c>
      <x:c r="B698" s="128" t="n">
        <x:v>2.484635898835953</x:v>
      </x:c>
      <x:c r="C698" s="128" t="n">
        <x:f>LN(B698)</x:f>
        <x:v>0.9101261292304319</x:v>
      </x:c>
      <x:c r="D698" s="128" t="n">
        <x:f>'Итоги'!$B$8*AVERAGE($C$2:C698)</x:f>
        <x:v>1.3004541712936577</x:v>
      </x:c>
      <x:c r="E698" s="128" t="n">
        <x:f>'Итоги'!$B$9</x:f>
        <x:v>1.2958368660043291</x:v>
      </x:c>
      <x:c r="F698" s="129" t="n">
        <x:f>ABS(D698-E698)</x:f>
        <x:v>0.004617305289328577</x:v>
      </x:c>
    </x:row>
    <x:row r="699">
      <x:c r="A699" s="107" t="n">
        <x:v>698</x:v>
      </x:c>
      <x:c r="B699" s="128" t="n">
        <x:v>2.1814895883275325</x:v>
      </x:c>
      <x:c r="C699" s="128" t="n">
        <x:f>LN(B699)</x:f>
        <x:v>0.7800079408575696</x:v>
      </x:c>
      <x:c r="D699" s="128" t="n">
        <x:f>'Итоги'!$B$8*AVERAGE($C$2:C699)</x:f>
        <x:v>1.3008260362083015</x:v>
      </x:c>
      <x:c r="E699" s="128" t="n">
        <x:f>'Итоги'!$B$9</x:f>
        <x:v>1.2958368660043291</x:v>
      </x:c>
      <x:c r="F699" s="129" t="n">
        <x:f>ABS(D699-E699)</x:f>
        <x:v>0.004989170203972382</x:v>
      </x:c>
    </x:row>
    <x:row r="700">
      <x:c r="A700" s="107" t="n">
        <x:v>699</x:v>
      </x:c>
      <x:c r="B700" s="128" t="n">
        <x:v>2.3068784180189903</x:v>
      </x:c>
      <x:c r="C700" s="128" t="n">
        <x:f>LN(B700)</x:f>
        <x:v>0.8358952764673476</x:v>
      </x:c>
      <x:c r="D700" s="128" t="n">
        <x:f>'Итоги'!$B$8*AVERAGE($C$2:C700)</x:f>
        <x:v>1.3013567436714295</x:v>
      </x:c>
      <x:c r="E700" s="128" t="n">
        <x:f>'Итоги'!$B$9</x:f>
        <x:v>1.2958368660043291</x:v>
      </x:c>
      <x:c r="F700" s="129" t="n">
        <x:f>ABS(D700-E700)</x:f>
        <x:v>0.005519877667100381</x:v>
      </x:c>
    </x:row>
    <x:row r="701">
      <x:c r="A701" s="107" t="n">
        <x:v>700</x:v>
      </x:c>
      <x:c r="B701" s="128" t="n">
        <x:v>1.5987665830296511</x:v>
      </x:c>
      <x:c r="C701" s="128" t="n">
        <x:f>LN(B701)</x:f>
        <x:v>0.4692324463541667</x:v>
      </x:c>
      <x:c r="D701" s="128" t="n">
        <x:f>'Итоги'!$B$8*AVERAGE($C$2:C701)</x:f>
        <x:v>1.300838326741482</x:v>
      </x:c>
      <x:c r="E701" s="128" t="n">
        <x:f>'Итоги'!$B$9</x:f>
        <x:v>1.2958368660043291</x:v>
      </x:c>
      <x:c r="F701" s="129" t="n">
        <x:f>ABS(D701-E701)</x:f>
        <x:v>0.005001460737152907</x:v>
      </x:c>
    </x:row>
    <x:row r="702">
      <x:c r="A702" s="107" t="n">
        <x:v>701</x:v>
      </x:c>
      <x:c r="B702" s="128" t="n">
        <x:v>1.4827441232533258</x:v>
      </x:c>
      <x:c r="C702" s="128" t="n">
        <x:f>LN(B702)</x:f>
        <x:v>0.39389450831850964</x:v>
      </x:c>
      <x:c r="D702" s="128" t="n">
        <x:f>'Итоги'!$B$8*AVERAGE($C$2:C702)</x:f>
        <x:v>1.3001064447013901</x:v>
      </x:c>
      <x:c r="E702" s="128" t="n">
        <x:f>'Итоги'!$B$9</x:f>
        <x:v>1.2958368660043291</x:v>
      </x:c>
      <x:c r="F702" s="129" t="n">
        <x:f>ABS(D702-E702)</x:f>
        <x:v>0.004269578697061016</x:v>
      </x:c>
    </x:row>
    <x:row r="703">
      <x:c r="A703" s="107" t="n">
        <x:v>702</x:v>
      </x:c>
      <x:c r="B703" s="128" t="n">
        <x:v>1.6449846943373305</x:v>
      </x:c>
      <x:c r="C703" s="128" t="n">
        <x:f>LN(B703)</x:f>
        <x:v>0.49773107981984305</x:v>
      </x:c>
      <x:c r="D703" s="128" t="n">
        <x:f>'Итоги'!$B$8*AVERAGE($C$2:C703)</x:f>
        <x:v>1.2996724784833535</x:v>
      </x:c>
      <x:c r="E703" s="128" t="n">
        <x:f>'Итоги'!$B$9</x:f>
        <x:v>1.2958368660043291</x:v>
      </x:c>
      <x:c r="F703" s="129" t="n">
        <x:f>ABS(D703-E703)</x:f>
        <x:v>0.0038356124790244195</x:v>
      </x:c>
    </x:row>
    <x:row r="704">
      <x:c r="A704" s="107" t="n">
        <x:v>703</x:v>
      </x:c>
      <x:c r="B704" s="128" t="n">
        <x:v>1.310883128166845</x:v>
      </x:c>
      <x:c r="C704" s="128" t="n">
        <x:f>LN(B704)</x:f>
        <x:v>0.27070105371912456</x:v>
      </x:c>
      <x:c r="D704" s="128" t="n">
        <x:f>'Итоги'!$B$8*AVERAGE($C$2:C704)</x:f>
        <x:v>1.2985938577564047</x:v>
      </x:c>
      <x:c r="E704" s="128" t="n">
        <x:f>'Итоги'!$B$9</x:f>
        <x:v>1.2958368660043291</x:v>
      </x:c>
      <x:c r="F704" s="129" t="n">
        <x:f>ABS(D704-E704)</x:f>
        <x:v>0.002756991752075555</x:v>
      </x:c>
    </x:row>
    <x:row r="705">
      <x:c r="A705" s="107" t="n">
        <x:v>704</x:v>
      </x:c>
      <x:c r="B705" s="128" t="n">
        <x:v>2.748628730581615</x:v>
      </x:c>
      <x:c r="C705" s="128" t="n">
        <x:f>LN(B705)</x:f>
        <x:v>1.0111021438896362</x:v>
      </x:c>
      <x:c r="D705" s="128" t="n">
        <x:f>'Итоги'!$B$8*AVERAGE($C$2:C705)</x:f>
        <x:v>1.299621713480869</x:v>
      </x:c>
      <x:c r="E705" s="128" t="n">
        <x:f>'Итоги'!$B$9</x:f>
        <x:v>1.2958368660043291</x:v>
      </x:c>
      <x:c r="F705" s="129" t="n">
        <x:f>ABS(D705-E705)</x:f>
        <x:v>0.003784847476539843</x:v>
      </x:c>
    </x:row>
    <x:row r="706">
      <x:c r="A706" s="107" t="n">
        <x:v>705</x:v>
      </x:c>
      <x:c r="B706" s="128" t="n">
        <x:v>1.5664938665002281</x:v>
      </x:c>
      <x:c r="C706" s="128" t="n">
        <x:f>LN(B706)</x:f>
        <x:v>0.4488399159860561</x:v>
      </x:c>
      <x:c r="D706" s="128" t="n">
        <x:f>'Итоги'!$B$8*AVERAGE($C$2:C706)</x:f>
        <x:v>1.2990515831524876</x:v>
      </x:c>
      <x:c r="E706" s="128" t="n">
        <x:f>'Итоги'!$B$9</x:f>
        <x:v>1.2958368660043291</x:v>
      </x:c>
      <x:c r="F706" s="129" t="n">
        <x:f>ABS(D706-E706)</x:f>
        <x:v>0.0032147171481584635</x:v>
      </x:c>
    </x:row>
    <x:row r="707">
      <x:c r="A707" s="107" t="n">
        <x:v>706</x:v>
      </x:c>
      <x:c r="B707" s="128" t="n">
        <x:v>2.1229787888287692</x:v>
      </x:c>
      <x:c r="C707" s="128" t="n">
        <x:f>LN(B707)</x:f>
        <x:v>0.7528201915401519</x:v>
      </x:c>
      <x:c r="D707" s="128" t="n">
        <x:f>'Итоги'!$B$8*AVERAGE($C$2:C707)</x:f>
        <x:v>1.2993442018492694</x:v>
      </x:c>
      <x:c r="E707" s="128" t="n">
        <x:f>'Итоги'!$B$9</x:f>
        <x:v>1.2958368660043291</x:v>
      </x:c>
      <x:c r="F707" s="129" t="n">
        <x:f>ABS(D707-E707)</x:f>
        <x:v>0.003507335844940229</x:v>
      </x:c>
    </x:row>
    <x:row r="708">
      <x:c r="A708" s="107" t="n">
        <x:v>707</x:v>
      </x:c>
      <x:c r="B708" s="128" t="n">
        <x:v>2.583948850282748</x:v>
      </x:c>
      <x:c r="C708" s="128" t="n">
        <x:f>LN(B708)</x:f>
        <x:v>0.9493187909422179</x:v>
      </x:c>
      <x:c r="D708" s="128" t="n">
        <x:f>'Итоги'!$B$8*AVERAGE($C$2:C708)</x:f>
        <x:v>1.3001918586810022</x:v>
      </x:c>
      <x:c r="E708" s="128" t="n">
        <x:f>'Итоги'!$B$9</x:f>
        <x:v>1.2958368660043291</x:v>
      </x:c>
      <x:c r="F708" s="129" t="n">
        <x:f>ABS(D708-E708)</x:f>
        <x:v>0.004354992676673053</x:v>
      </x:c>
    </x:row>
    <x:row r="709">
      <x:c r="A709" s="107" t="n">
        <x:v>708</x:v>
      </x:c>
      <x:c r="B709" s="128" t="n">
        <x:v>2.567648218751427</x:v>
      </x:c>
      <x:c r="C709" s="128" t="n">
        <x:f>LN(B709)</x:f>
        <x:v>0.9429903899766987</x:v>
      </x:c>
      <x:c r="D709" s="128" t="n">
        <x:f>'Итоги'!$B$8*AVERAGE($C$2:C709)</x:f>
        <x:v>1.3010192441630253</x:v>
      </x:c>
      <x:c r="E709" s="128" t="n">
        <x:f>'Итоги'!$B$9</x:f>
        <x:v>1.2958368660043291</x:v>
      </x:c>
      <x:c r="F709" s="129" t="n">
        <x:f>ABS(D709-E709)</x:f>
        <x:v>0.005182378158696155</x:v>
      </x:c>
    </x:row>
    <x:row r="710">
      <x:c r="A710" s="107" t="n">
        <x:v>709</x:v>
      </x:c>
      <x:c r="B710" s="128" t="n">
        <x:v>1.8767725171683858</x:v>
      </x:c>
      <x:c r="C710" s="128" t="n">
        <x:f>LN(B710)</x:f>
        <x:v>0.6295535553573777</x:v>
      </x:c>
      <x:c r="D710" s="128" t="n">
        <x:f>'Итоги'!$B$8*AVERAGE($C$2:C710)</x:f>
        <x:v>1.300960129729389</x:v>
      </x:c>
      <x:c r="E710" s="128" t="n">
        <x:f>'Итоги'!$B$9</x:f>
        <x:v>1.2958368660043291</x:v>
      </x:c>
      <x:c r="F710" s="129" t="n">
        <x:f>ABS(D710-E710)</x:f>
        <x:v>0.005123263725059779</x:v>
      </x:c>
    </x:row>
    <x:row r="711">
      <x:c r="A711" s="107" t="n">
        <x:v>710</x:v>
      </x:c>
      <x:c r="B711" s="128" t="n">
        <x:v>1.9525146171734513</x:v>
      </x:c>
      <x:c r="C711" s="128" t="n">
        <x:f>LN(B711)</x:f>
        <x:v>0.6691180890921324</x:v>
      </x:c>
      <x:c r="D711" s="128" t="n">
        <x:f>'Итоги'!$B$8*AVERAGE($C$2:C711)</x:f>
        <x:v>1.301012631206086</x:v>
      </x:c>
      <x:c r="E711" s="128" t="n">
        <x:f>'Итоги'!$B$9</x:f>
        <x:v>1.2958368660043291</x:v>
      </x:c>
      <x:c r="F711" s="129" t="n">
        <x:f>ABS(D711-E711)</x:f>
        <x:v>0.005175765201756777</x:v>
      </x:c>
    </x:row>
    <x:row r="712">
      <x:c r="A712" s="107" t="n">
        <x:v>711</x:v>
      </x:c>
      <x:c r="B712" s="128" t="n">
        <x:v>2.9894034978700494</x:v>
      </x:c>
      <x:c r="C712" s="128" t="n">
        <x:f>LN(B712)</x:f>
        <x:v>1.0950738684598973</x:v>
      </x:c>
      <x:c r="D712" s="128" t="n">
        <x:f>'Итоги'!$B$8*AVERAGE($C$2:C712)</x:f>
        <x:v>1.302263172845627</x:v>
      </x:c>
      <x:c r="E712" s="128" t="n">
        <x:f>'Итоги'!$B$9</x:f>
        <x:v>1.2958368660043291</x:v>
      </x:c>
      <x:c r="F712" s="129" t="n">
        <x:f>ABS(D712-E712)</x:f>
        <x:v>0.0064263068412979685</x:v>
      </x:c>
    </x:row>
    <x:row r="713">
      <x:c r="A713" s="107" t="n">
        <x:v>712</x:v>
      </x:c>
      <x:c r="B713" s="128" t="n">
        <x:v>2.3491949539580483</x:v>
      </x:c>
      <x:c r="C713" s="128" t="n">
        <x:f>LN(B713)</x:f>
        <x:v>0.8540726966807978</x:v>
      </x:c>
      <x:c r="D713" s="128" t="n">
        <x:f>'Итоги'!$B$8*AVERAGE($C$2:C713)</x:f>
        <x:v>1.3028332321441045</x:v>
      </x:c>
      <x:c r="E713" s="128" t="n">
        <x:f>'Итоги'!$B$9</x:f>
        <x:v>1.2958368660043291</x:v>
      </x:c>
      <x:c r="F713" s="129" t="n">
        <x:f>ABS(D713-E713)</x:f>
        <x:v>0.00699636613977539</x:v>
      </x:c>
    </x:row>
    <x:row r="714">
      <x:c r="A714" s="107" t="n">
        <x:v>713</x:v>
      </x:c>
      <x:c r="B714" s="128" t="n">
        <x:v>2.6292768862357656</x:v>
      </x:c>
      <x:c r="C714" s="128" t="n">
        <x:f>LN(B714)</x:f>
        <x:v>0.9667088601851586</x:v>
      </x:c>
      <x:c r="D714" s="128" t="n">
        <x:f>'Итоги'!$B$8*AVERAGE($C$2:C714)</x:f>
        <x:v>1.3037176423660208</x:v>
      </x:c>
      <x:c r="E714" s="128" t="n">
        <x:f>'Итоги'!$B$9</x:f>
        <x:v>1.2958368660043291</x:v>
      </x:c>
      <x:c r="F714" s="129" t="n">
        <x:f>ABS(D714-E714)</x:f>
        <x:v>0.00788077636169171</x:v>
      </x:c>
    </x:row>
    <x:row r="715">
      <x:c r="A715" s="107" t="n">
        <x:v>714</x:v>
      </x:c>
      <x:c r="B715" s="128" t="n">
        <x:v>2.805107938438464</x:v>
      </x:c>
      <x:c r="C715" s="128" t="n">
        <x:f>LN(B715)</x:f>
        <x:v>1.0314420189610205</x:v>
      </x:c>
      <x:c r="D715" s="128" t="n">
        <x:f>'Итоги'!$B$8*AVERAGE($C$2:C715)</x:f>
        <x:v>1.304780900623102</x:v>
      </x:c>
      <x:c r="E715" s="128" t="n">
        <x:f>'Итоги'!$B$9</x:f>
        <x:v>1.2958368660043291</x:v>
      </x:c>
      <x:c r="F715" s="129" t="n">
        <x:f>ABS(D715-E715)</x:f>
        <x:v>0.0089440346187728</x:v>
      </x:c>
    </x:row>
    <x:row r="716">
      <x:c r="A716" s="107" t="n">
        <x:v>715</x:v>
      </x:c>
      <x:c r="B716" s="128" t="n">
        <x:v>2.5751796724586784</x:v>
      </x:c>
      <x:c r="C716" s="128" t="n">
        <x:f>LN(B716)</x:f>
        <x:v>0.9459193073935959</x:v>
      </x:c>
      <x:c r="D716" s="128" t="n">
        <x:f>'Итоги'!$B$8*AVERAGE($C$2:C716)</x:f>
        <x:v>1.3056019603631916</x:v>
      </x:c>
      <x:c r="E716" s="128" t="n">
        <x:f>'Итоги'!$B$9</x:f>
        <x:v>1.2958368660043291</x:v>
      </x:c>
      <x:c r="F716" s="129" t="n">
        <x:f>ABS(D716-E716)</x:f>
        <x:v>0.009765094358862525</x:v>
      </x:c>
    </x:row>
    <x:row r="717">
      <x:c r="A717" s="107" t="n">
        <x:v>716</x:v>
      </x:c>
      <x:c r="B717" s="128" t="n">
        <x:v>1.3703586899071352</x:v>
      </x:c>
      <x:c r="C717" s="128" t="n">
        <x:f>LN(B717)</x:f>
        <x:v>0.3150725230222897</x:v>
      </x:c>
      <x:c r="D717" s="128" t="n">
        <x:f>'Итоги'!$B$8*AVERAGE($C$2:C717)</x:f>
        <x:v>1.3046585847845344</x:v>
      </x:c>
      <x:c r="E717" s="128" t="n">
        <x:f>'Итоги'!$B$9</x:f>
        <x:v>1.2958368660043291</x:v>
      </x:c>
      <x:c r="F717" s="129" t="n">
        <x:f>ABS(D717-E717)</x:f>
        <x:v>0.008821718780205323</x:v>
      </x:c>
    </x:row>
    <x:row r="718">
      <x:c r="A718" s="107" t="n">
        <x:v>717</x:v>
      </x:c>
      <x:c r="B718" s="128" t="n">
        <x:v>2.124341467475144</x:v>
      </x:c>
      <x:c r="C718" s="128" t="n">
        <x:f>LN(B718)</x:f>
        <x:v>0.7534618566894222</x:v>
      </x:c>
      <x:c r="D718" s="128" t="n">
        <x:f>'Итоги'!$B$8*AVERAGE($C$2:C718)</x:f>
        <x:v>1.3049406839875948</x:v>
      </x:c>
      <x:c r="E718" s="128" t="n">
        <x:f>'Итоги'!$B$9</x:f>
        <x:v>1.2958368660043291</x:v>
      </x:c>
      <x:c r="F718" s="129" t="n">
        <x:f>ABS(D718-E718)</x:f>
        <x:v>0.00910381798326565</x:v>
      </x:c>
    </x:row>
    <x:row r="719">
      <x:c r="A719" s="107" t="n">
        <x:v>718</x:v>
      </x:c>
      <x:c r="B719" s="128" t="n">
        <x:v>1.2037883146290898</x:v>
      </x:c>
      <x:c r="C719" s="128" t="n">
        <x:f>LN(B719)</x:f>
        <x:v>0.18547351301438272</x:v>
      </x:c>
      <x:c r="D719" s="128" t="n">
        <x:f>'Итоги'!$B$8*AVERAGE($C$2:C719)</x:f>
        <x:v>1.303639857165925</x:v>
      </x:c>
      <x:c r="E719" s="128" t="n">
        <x:f>'Итоги'!$B$9</x:f>
        <x:v>1.2958368660043291</x:v>
      </x:c>
      <x:c r="F719" s="129" t="n">
        <x:f>ABS(D719-E719)</x:f>
        <x:v>0.007802991161595774</x:v>
      </x:c>
    </x:row>
    <x:row r="720">
      <x:c r="A720" s="107" t="n">
        <x:v>719</x:v>
      </x:c>
      <x:c r="B720" s="128" t="n">
        <x:v>2.305844253127997</x:v>
      </x:c>
      <x:c r="C720" s="128" t="n">
        <x:f>LN(B720)</x:f>
        <x:v>0.8354468797255319</x:v>
      </x:c>
      <x:c r="D720" s="128" t="n">
        <x:f>'Итоги'!$B$8*AVERAGE($C$2:C720)</x:f>
        <x:v>1.3041506414528306</x:v>
      </x:c>
      <x:c r="E720" s="128" t="n">
        <x:f>'Итоги'!$B$9</x:f>
        <x:v>1.2958368660043291</x:v>
      </x:c>
      <x:c r="F720" s="129" t="n">
        <x:f>ABS(D720-E720)</x:f>
        <x:v>0.008313775448501426</x:v>
      </x:c>
    </x:row>
    <x:row r="721">
      <x:c r="A721" s="107" t="n">
        <x:v>720</x:v>
      </x:c>
      <x:c r="B721" s="128" t="n">
        <x:v>2.910698856375622</x:v>
      </x:c>
      <x:c r="C721" s="128" t="n">
        <x:f>LN(B721)</x:f>
        <x:v>1.0683932091804764</x:v>
      </x:c>
      <x:c r="D721" s="128" t="n">
        <x:f>'Итоги'!$B$8*AVERAGE($C$2:C721)</x:f>
        <x:v>1.3053070800318696</x:v>
      </x:c>
      <x:c r="E721" s="128" t="n">
        <x:f>'Итоги'!$B$9</x:f>
        <x:v>1.2958368660043291</x:v>
      </x:c>
      <x:c r="F721" s="129" t="n">
        <x:f>ABS(D721-E721)</x:f>
        <x:v>0.009470214027540447</x:v>
      </x:c>
    </x:row>
    <x:row r="722">
      <x:c r="A722" s="107" t="n">
        <x:v>721</x:v>
      </x:c>
      <x:c r="B722" s="128" t="n">
        <x:v>2.0254641286002224</x:v>
      </x:c>
      <x:c r="C722" s="128" t="n">
        <x:f>LN(B722)</x:f>
        <x:v>0.7057988736051055</x:v>
      </x:c>
      <x:c r="D722" s="128" t="n">
        <x:f>'Итоги'!$B$8*AVERAGE($C$2:C722)</x:f>
        <x:v>1.3054545012068741</x:v>
      </x:c>
      <x:c r="E722" s="128" t="n">
        <x:f>'Итоги'!$B$9</x:f>
        <x:v>1.2958368660043291</x:v>
      </x:c>
      <x:c r="F722" s="129" t="n">
        <x:f>ABS(D722-E722)</x:f>
        <x:v>0.009617635202544994</x:v>
      </x:c>
    </x:row>
    <x:row r="723">
      <x:c r="A723" s="107" t="n">
        <x:v>722</x:v>
      </x:c>
      <x:c r="B723" s="128" t="n">
        <x:v>1.8659449857355344</x:v>
      </x:c>
      <x:c r="C723" s="128" t="n">
        <x:f>LN(B723)</x:f>
        <x:v>0.6237676195336948</x:v>
      </x:c>
      <x:c r="D723" s="128" t="n">
        <x:f>'Итоги'!$B$8*AVERAGE($C$2:C723)</x:f>
        <x:v>1.3053742806221935</x:v>
      </x:c>
      <x:c r="E723" s="128" t="n">
        <x:f>'Итоги'!$B$9</x:f>
        <x:v>1.2958368660043291</x:v>
      </x:c>
      <x:c r="F723" s="129" t="n">
        <x:f>ABS(D723-E723)</x:f>
        <x:v>0.009537414617864393</x:v>
      </x:c>
    </x:row>
    <x:row r="724">
      <x:c r="A724" s="107" t="n">
        <x:v>723</x:v>
      </x:c>
      <x:c r="B724" s="128" t="n">
        <x:v>1.0716855028363264</x:v>
      </x:c>
      <x:c r="C724" s="128" t="n">
        <x:f>LN(B724)</x:f>
        <x:v>0.06923264538613039</x:v>
      </x:c>
      <x:c r="D724" s="128" t="n">
        <x:f>'Итоги'!$B$8*AVERAGE($C$2:C724)</x:f>
        <x:v>1.3037602986168686</x:v>
      </x:c>
      <x:c r="E724" s="128" t="n">
        <x:f>'Итоги'!$B$9</x:f>
        <x:v>1.2958368660043291</x:v>
      </x:c>
      <x:c r="F724" s="129" t="n">
        <x:f>ABS(D724-E724)</x:f>
        <x:v>0.007923432612539472</x:v>
      </x:c>
    </x:row>
    <x:row r="725">
      <x:c r="A725" s="107" t="n">
        <x:v>724</x:v>
      </x:c>
      <x:c r="B725" s="128" t="n">
        <x:v>2.9195490446584405</x:v>
      </x:c>
      <x:c r="C725" s="128" t="n">
        <x:f>LN(B725)</x:f>
        <x:v>1.0714291675927978</x:v>
      </x:c>
      <x:c r="D725" s="128" t="n">
        <x:f>'Итоги'!$B$8*AVERAGE($C$2:C725)</x:f>
        <x:v>1.3049192738054993</x:v>
      </x:c>
      <x:c r="E725" s="128" t="n">
        <x:f>'Итоги'!$B$9</x:f>
        <x:v>1.2958368660043291</x:v>
      </x:c>
      <x:c r="F725" s="129" t="n">
        <x:f>ABS(D725-E725)</x:f>
        <x:v>0.0090824078011702</x:v>
      </x:c>
    </x:row>
    <x:row r="726">
      <x:c r="A726" s="107" t="n">
        <x:v>725</x:v>
      </x:c>
      <x:c r="B726" s="128" t="n">
        <x:v>1.2060053682603176</x:v>
      </x:c>
      <x:c r="C726" s="128" t="n">
        <x:f>LN(B726)</x:f>
        <x:v>0.18731354958888238</x:v>
      </x:c>
      <x:c r="D726" s="128" t="n">
        <x:f>'Итоги'!$B$8*AVERAGE($C$2:C726)</x:f>
        <x:v>1.3036361121853233</x:v>
      </x:c>
      <x:c r="E726" s="128" t="n">
        <x:f>'Итоги'!$B$9</x:f>
        <x:v>1.2958368660043291</x:v>
      </x:c>
      <x:c r="F726" s="129" t="n">
        <x:f>ABS(D726-E726)</x:f>
        <x:v>0.007799246180994146</x:v>
      </x:c>
    </x:row>
    <x:row r="727">
      <x:c r="A727" s="107" t="n">
        <x:v>726</x:v>
      </x:c>
      <x:c r="B727" s="128" t="n">
        <x:v>1.0821581866096939</x:v>
      </x:c>
      <x:c r="C727" s="128" t="n">
        <x:f>LN(B727)</x:f>
        <x:v>0.07895736808372644</x:v>
      </x:c>
      <x:c r="D727" s="128" t="n">
        <x:f>'Итоги'!$B$8*AVERAGE($C$2:C727)</x:f>
        <x:v>1.3020579835682187</x:v>
      </x:c>
      <x:c r="E727" s="128" t="n">
        <x:f>'Итоги'!$B$9</x:f>
        <x:v>1.2958368660043291</x:v>
      </x:c>
      <x:c r="F727" s="129" t="n">
        <x:f>ABS(D727-E727)</x:f>
        <x:v>0.006221117563889544</x:v>
      </x:c>
    </x:row>
    <x:row r="728">
      <x:c r="A728" s="107" t="n">
        <x:v>727</x:v>
      </x:c>
      <x:c r="B728" s="128" t="n">
        <x:v>1.492133223009877</x:v>
      </x:c>
      <x:c r="C728" s="128" t="n">
        <x:f>LN(B728)</x:f>
        <x:v>0.40020678935689463</x:v>
      </x:c>
      <x:c r="D728" s="128" t="n">
        <x:f>'Итоги'!$B$8*AVERAGE($C$2:C728)</x:f>
        <x:v>1.3013679637541136</x:v>
      </x:c>
      <x:c r="E728" s="128" t="n">
        <x:f>'Итоги'!$B$9</x:f>
        <x:v>1.2958368660043291</x:v>
      </x:c>
      <x:c r="F728" s="129" t="n">
        <x:f>ABS(D728-E728)</x:f>
        <x:v>0.005531097749784442</x:v>
      </x:c>
    </x:row>
    <x:row r="729">
      <x:c r="A729" s="107" t="n">
        <x:v>728</x:v>
      </x:c>
      <x:c r="B729" s="128" t="n">
        <x:v>1.1310608678367648</x:v>
      </x:c>
      <x:c r="C729" s="128" t="n">
        <x:f>LN(B729)</x:f>
        <x:v>0.12315601340183455</x:v>
      </x:c>
      <x:c r="D729" s="128" t="n">
        <x:f>'Итоги'!$B$8*AVERAGE($C$2:C729)</x:f>
        <x:v>1.2999187110934673</x:v>
      </x:c>
      <x:c r="E729" s="128" t="n">
        <x:f>'Итоги'!$B$9</x:f>
        <x:v>1.2958368660043291</x:v>
      </x:c>
      <x:c r="F729" s="129" t="n">
        <x:f>ABS(D729-E729)</x:f>
        <x:v>0.004081845089138225</x:v>
      </x:c>
    </x:row>
    <x:row r="730">
      <x:c r="A730" s="107" t="n">
        <x:v>729</x:v>
      </x:c>
      <x:c r="B730" s="128" t="n">
        <x:v>1.9102356848235247</x:v>
      </x:c>
      <x:c r="C730" s="128" t="n">
        <x:f>LN(B730)</x:f>
        <x:v>0.6472266296415402</x:v>
      </x:c>
      <x:c r="D730" s="128" t="n">
        <x:f>'Итоги'!$B$8*AVERAGE($C$2:C730)</x:f>
        <x:v>1.2999112139030553</x:v>
      </x:c>
      <x:c r="E730" s="128" t="n">
        <x:f>'Итоги'!$B$9</x:f>
        <x:v>1.2958368660043291</x:v>
      </x:c>
      <x:c r="F730" s="129" t="n">
        <x:f>ABS(D730-E730)</x:f>
        <x:v>0.004074347898726183</x:v>
      </x:c>
    </x:row>
    <x:row r="731">
      <x:c r="A731" s="107" t="n">
        <x:v>730</x:v>
      </x:c>
      <x:c r="B731" s="128" t="n">
        <x:v>2.032175602514225</x:v>
      </x:c>
      <x:c r="C731" s="128" t="n">
        <x:f>LN(B731)</x:f>
        <x:v>0.7091069445425168</x:v>
      </x:c>
      <x:c r="D731" s="128" t="n">
        <x:f>'Итоги'!$B$8*AVERAGE($C$2:C731)</x:f>
        <x:v>1.3000732723622086</x:v>
      </x:c>
      <x:c r="E731" s="128" t="n">
        <x:f>'Итоги'!$B$9</x:f>
        <x:v>1.2958368660043291</x:v>
      </x:c>
      <x:c r="F731" s="129" t="n">
        <x:f>ABS(D731-E731)</x:f>
        <x:v>0.004236406357879474</x:v>
      </x:c>
    </x:row>
    <x:row r="732">
      <x:c r="A732" s="107" t="n">
        <x:v>731</x:v>
      </x:c>
      <x:c r="B732" s="128" t="n">
        <x:v>1.6251398980571679</x:v>
      </x:c>
      <x:c r="C732" s="128" t="n">
        <x:f>LN(B732)</x:f>
        <x:v>0.48559390318817697</x:v>
      </x:c>
      <x:c r="D732" s="128" t="n">
        <x:f>'Итоги'!$B$8*AVERAGE($C$2:C732)</x:f>
        <x:v>1.2996233606440337</x:v>
      </x:c>
      <x:c r="E732" s="128" t="n">
        <x:f>'Итоги'!$B$9</x:f>
        <x:v>1.2958368660043291</x:v>
      </x:c>
      <x:c r="F732" s="129" t="n">
        <x:f>ABS(D732-E732)</x:f>
        <x:v>0.003786494639704596</x:v>
      </x:c>
    </x:row>
    <x:row r="733">
      <x:c r="A733" s="107" t="n">
        <x:v>732</x:v>
      </x:c>
      <x:c r="B733" s="128" t="n">
        <x:v>1.1019209651497721</x:v>
      </x:c>
      <x:c r="C733" s="128" t="n">
        <x:f>LN(B733)</x:f>
        <x:v>0.09705498869394236</x:v>
      </x:c>
      <x:c r="D733" s="128" t="n">
        <x:f>'Итоги'!$B$8*AVERAGE($C$2:C733)</x:f>
        <x:v>1.2981130964592578</x:v>
      </x:c>
      <x:c r="E733" s="128" t="n">
        <x:f>'Итоги'!$B$9</x:f>
        <x:v>1.2958368660043291</x:v>
      </x:c>
      <x:c r="F733" s="129" t="n">
        <x:f>ABS(D733-E733)</x:f>
        <x:v>0.0022762304549286405</x:v>
      </x:c>
    </x:row>
    <x:row r="734">
      <x:c r="A734" s="107" t="n">
        <x:v>733</x:v>
      </x:c>
      <x:c r="B734" s="128" t="n">
        <x:v>1.2232007364984534</x:v>
      </x:c>
      <x:c r="C734" s="128" t="n">
        <x:f>LN(B734)</x:f>
        <x:v>0.20147097774049155</x:v>
      </x:c>
      <x:c r="D734" s="128" t="n">
        <x:f>'Итоги'!$B$8*AVERAGE($C$2:C734)</x:f>
        <x:v>1.2968918534292737</x:v>
      </x:c>
      <x:c r="E734" s="128" t="n">
        <x:f>'Итоги'!$B$9</x:f>
        <x:v>1.2958368660043291</x:v>
      </x:c>
      <x:c r="F734" s="129" t="n">
        <x:f>ABS(D734-E734)</x:f>
        <x:v>0.0010549874249445867</x:v>
      </x:c>
    </x:row>
    <x:row r="735">
      <x:c r="A735" s="107" t="n">
        <x:v>734</x:v>
      </x:c>
      <x:c r="B735" s="128" t="n">
        <x:v>1.7690087559798562</x:v>
      </x:c>
      <x:c r="C735" s="128" t="n">
        <x:f>LN(B735)</x:f>
        <x:v>0.5704193648431014</x:v>
      </x:c>
      <x:c r="D735" s="128" t="n">
        <x:f>'Итоги'!$B$8*AVERAGE($C$2:C735)</x:f>
        <x:v>1.2966792469936563</x:v>
      </x:c>
      <x:c r="E735" s="128" t="n">
        <x:f>'Итоги'!$B$9</x:f>
        <x:v>1.2958368660043291</x:v>
      </x:c>
      <x:c r="F735" s="129" t="n">
        <x:f>ABS(D735-E735)</x:f>
        <x:v>0.0008423809893272072</x:v>
      </x:c>
    </x:row>
    <x:row r="736">
      <x:c r="A736" s="107" t="n">
        <x:v>735</x:v>
      </x:c>
      <x:c r="B736" s="128" t="n">
        <x:v>1.1210569016530723</x:v>
      </x:c>
      <x:c r="C736" s="128" t="n">
        <x:f>LN(B736)</x:f>
        <x:v>0.11427190252799338</x:v>
      </x:c>
      <x:c r="D736" s="128" t="n">
        <x:f>'Итоги'!$B$8*AVERAGE($C$2:C736)</x:f>
        <x:v>1.2952260014944215</x:v>
      </x:c>
      <x:c r="E736" s="128" t="n">
        <x:f>'Итоги'!$B$9</x:f>
        <x:v>1.2958368660043291</x:v>
      </x:c>
      <x:c r="F736" s="129" t="n">
        <x:f>ABS(D736-E736)</x:f>
        <x:v>0.0006108645099076604</x:v>
      </x:c>
    </x:row>
    <x:row r="737">
      <x:c r="A737" s="107" t="n">
        <x:v>736</x:v>
      </x:c>
      <x:c r="B737" s="128" t="n">
        <x:v>2.396379451219827</x:v>
      </x:c>
      <x:c r="C737" s="128" t="n">
        <x:f>LN(B737)</x:f>
        <x:v>0.8739590363368487</x:v>
      </x:c>
      <x:c r="D737" s="128" t="n">
        <x:f>'Итоги'!$B$8*AVERAGE($C$2:C737)</x:f>
        <x:v>1.2958410722433062</x:v>
      </x:c>
      <x:c r="E737" s="128" t="n">
        <x:f>'Итоги'!$B$9</x:f>
        <x:v>1.2958368660043291</x:v>
      </x:c>
      <x:c r="F737" s="129" t="n">
        <x:f>ABS(D737-E737)</x:f>
        <x:v>0.000004206238977122467</x:v>
      </x:c>
    </x:row>
    <x:row r="738">
      <x:c r="A738" s="107" t="n">
        <x:v>737</x:v>
      </x:c>
      <x:c r="B738" s="128" t="n">
        <x:v>1.414041083049624</x:v>
      </x:c>
      <x:c r="C738" s="128" t="n">
        <x:f>LN(B738)</x:f>
        <x:v>0.34645162154284775</x:v>
      </x:c>
      <x:c r="D738" s="128" t="n">
        <x:f>'Итоги'!$B$8*AVERAGE($C$2:C738)</x:f>
        <x:v>1.2950229747817625</x:v>
      </x:c>
      <x:c r="E738" s="128" t="n">
        <x:f>'Итоги'!$B$9</x:f>
        <x:v>1.2958368660043291</x:v>
      </x:c>
      <x:c r="F738" s="129" t="n">
        <x:f>ABS(D738-E738)</x:f>
        <x:v>0.0008138912225665873</x:v>
      </x:c>
    </x:row>
    <x:row r="739">
      <x:c r="A739" s="107" t="n">
        <x:v>738</x:v>
      </x:c>
      <x:c r="B739" s="128" t="n">
        <x:v>1.604143137567277</x:v>
      </x:c>
      <x:c r="C739" s="128" t="n">
        <x:f>LN(B739)</x:f>
        <x:v>0.4725897433476956</x:v>
      </x:c>
      <x:c r="D739" s="128" t="n">
        <x:f>'Итоги'!$B$8*AVERAGE($C$2:C739)</x:f>
        <x:v>1.2945489321149788</x:v>
      </x:c>
      <x:c r="E739" s="128" t="n">
        <x:f>'Итоги'!$B$9</x:f>
        <x:v>1.2958368660043291</x:v>
      </x:c>
      <x:c r="F739" s="129" t="n">
        <x:f>ABS(D739-E739)</x:f>
        <x:v>0.0012879338893503345</x:v>
      </x:c>
    </x:row>
    <x:row r="740">
      <x:c r="A740" s="107" t="n">
        <x:v>739</x:v>
      </x:c>
      <x:c r="B740" s="128" t="n">
        <x:v>1.788251554356195</x:v>
      </x:c>
      <x:c r="C740" s="128" t="n">
        <x:f>LN(B740)</x:f>
        <x:v>0.5812383572111762</x:v>
      </x:c>
      <x:c r="D740" s="128" t="n">
        <x:f>'Итоги'!$B$8*AVERAGE($C$2:C740)</x:f>
        <x:v>1.294370214635016</x:v>
      </x:c>
      <x:c r="E740" s="128" t="n">
        <x:f>'Итоги'!$B$9</x:f>
        <x:v>1.2958368660043291</x:v>
      </x:c>
      <x:c r="F740" s="129" t="n">
        <x:f>ABS(D740-E740)</x:f>
        <x:v>0.0014666513693131211</x:v>
      </x:c>
    </x:row>
    <x:row r="741">
      <x:c r="A741" s="107" t="n">
        <x:v>740</x:v>
      </x:c>
      <x:c r="B741" s="128" t="n">
        <x:v>1.8332192661382958</x:v>
      </x:c>
      <x:c r="C741" s="128" t="n">
        <x:f>LN(B741)</x:f>
        <x:v>0.6060735831646458</x:v>
      </x:c>
      <x:c r="D741" s="128" t="n">
        <x:f>'Итоги'!$B$8*AVERAGE($C$2:C741)</x:f>
        <x:v>1.2942591024075758</x:v>
      </x:c>
      <x:c r="E741" s="128" t="n">
        <x:f>'Итоги'!$B$9</x:f>
        <x:v>1.2958368660043291</x:v>
      </x:c>
      <x:c r="F741" s="129" t="n">
        <x:f>ABS(D741-E741)</x:f>
        <x:v>0.0015777635967533232</x:v>
      </x:c>
    </x:row>
    <x:row r="742">
      <x:c r="A742" s="107" t="n">
        <x:v>741</x:v>
      </x:c>
      <x:c r="B742" s="128" t="n">
        <x:v>1.003321415349601</x:v>
      </x:c>
      <x:c r="C742" s="128" t="n">
        <x:f>LN(B742)</x:f>
        <x:v>0.0033159116330241174</x:v>
      </x:c>
      <x:c r="D742" s="128" t="n">
        <x:f>'Итоги'!$B$8*AVERAGE($C$2:C742)</x:f>
        <x:v>1.292521413771757</x:v>
      </x:c>
      <x:c r="E742" s="128" t="n">
        <x:f>'Итоги'!$B$9</x:f>
        <x:v>1.2958368660043291</x:v>
      </x:c>
      <x:c r="F742" s="129" t="n">
        <x:f>ABS(D742-E742)</x:f>
        <x:v>0.0033154522325720137</x:v>
      </x:c>
    </x:row>
    <x:row r="743">
      <x:c r="A743" s="107" t="n">
        <x:v>742</x:v>
      </x:c>
      <x:c r="B743" s="128" t="n">
        <x:v>1.224140741997395</x:v>
      </x:c>
      <x:c r="C743" s="128" t="n">
        <x:f>LN(B743)</x:f>
        <x:v>0.20223916277182183</x:v>
      </x:c>
      <x:c r="D743" s="128" t="n">
        <x:f>'Итоги'!$B$8*AVERAGE($C$2:C743)</x:f>
        <x:v>1.2913245902027166</x:v>
      </x:c>
      <x:c r="E743" s="128" t="n">
        <x:f>'Итоги'!$B$9</x:f>
        <x:v>1.2958368660043291</x:v>
      </x:c>
      <x:c r="F743" s="129" t="n">
        <x:f>ABS(D743-E743)</x:f>
        <x:v>0.004512275801612509</x:v>
      </x:c>
    </x:row>
    <x:row r="744">
      <x:c r="A744" s="107" t="n">
        <x:v>743</x:v>
      </x:c>
      <x:c r="B744" s="128" t="n">
        <x:v>2.725529127481756</x:v>
      </x:c>
      <x:c r="C744" s="128" t="n">
        <x:f>LN(B744)</x:f>
        <x:v>1.0026625844883017</x:v>
      </x:c>
      <x:c r="D744" s="128" t="n">
        <x:f>'Итоги'!$B$8*AVERAGE($C$2:C744)</x:f>
        <x:v>1.2922855600261</x:v>
      </x:c>
      <x:c r="E744" s="128" t="n">
        <x:f>'Итоги'!$B$9</x:f>
        <x:v>1.2958368660043291</x:v>
      </x:c>
      <x:c r="F744" s="129" t="n">
        <x:f>ABS(D744-E744)</x:f>
        <x:v>0.003551305978229058</x:v>
      </x:c>
    </x:row>
    <x:row r="745">
      <x:c r="A745" s="107" t="n">
        <x:v>744</x:v>
      </x:c>
      <x:c r="B745" s="128" t="n">
        <x:v>1.0024661250238163</x:v>
      </x:c>
      <x:c r="C745" s="128" t="n">
        <x:f>LN(B745)</x:f>
        <x:v>0.002463089127741498</x:v>
      </x:c>
      <x:c r="D745" s="128" t="n">
        <x:f>'Итоги'!$B$8*AVERAGE($C$2:C745)</x:f>
        <x:v>1.2905552382764083</x:v>
      </x:c>
      <x:c r="E745" s="128" t="n">
        <x:f>'Итоги'!$B$9</x:f>
        <x:v>1.2958368660043291</x:v>
      </x:c>
      <x:c r="F745" s="129" t="n">
        <x:f>ABS(D745-E745)</x:f>
        <x:v>0.005281627727920846</x:v>
      </x:c>
    </x:row>
    <x:row r="746">
      <x:c r="A746" s="107" t="n">
        <x:v>745</x:v>
      </x:c>
      <x:c r="B746" s="128" t="n">
        <x:v>2.01633471162575</x:v>
      </x:c>
      <x:c r="C746" s="128" t="n">
        <x:f>LN(B746)</x:f>
        <x:v>0.7012813640202047</x:v>
      </x:c>
      <x:c r="D746" s="128" t="n">
        <x:f>'Итоги'!$B$8*AVERAGE($C$2:C746)</x:f>
        <x:v>1.2907055839002526</x:v>
      </x:c>
      <x:c r="E746" s="128" t="n">
        <x:f>'Итоги'!$B$9</x:f>
        <x:v>1.2958368660043291</x:v>
      </x:c>
      <x:c r="F746" s="129" t="n">
        <x:f>ABS(D746-E746)</x:f>
        <x:v>0.00513128210407654</x:v>
      </x:c>
    </x:row>
    <x:row r="747">
      <x:c r="A747" s="107" t="n">
        <x:v>746</x:v>
      </x:c>
      <x:c r="B747" s="128" t="n">
        <x:v>1.9790040130144162</x:v>
      </x:c>
      <x:c r="C747" s="128" t="n">
        <x:f>LN(B747)</x:f>
        <x:v>0.6825936944174713</x:v>
      </x:c>
      <x:c r="D747" s="128" t="n">
        <x:f>'Итоги'!$B$8*AVERAGE($C$2:C747)</x:f>
        <x:v>1.290805425461827</x:v>
      </x:c>
      <x:c r="E747" s="128" t="n">
        <x:f>'Итоги'!$B$9</x:f>
        <x:v>1.2958368660043291</x:v>
      </x:c>
      <x:c r="F747" s="129" t="n">
        <x:f>ABS(D747-E747)</x:f>
        <x:v>0.005031440542502041</x:v>
      </x:c>
    </x:row>
    <x:row r="748">
      <x:c r="A748" s="107" t="n">
        <x:v>747</x:v>
      </x:c>
      <x:c r="B748" s="128" t="n">
        <x:v>1.6661883220212756</x:v>
      </x:c>
      <x:c r="C748" s="128" t="n">
        <x:f>LN(B748)</x:f>
        <x:v>0.5105385757844259</x:v>
      </x:c>
      <x:c r="D748" s="128" t="n">
        <x:f>'Итоги'!$B$8*AVERAGE($C$2:C748)</x:f>
        <x:v>1.2904443434351967</x:v>
      </x:c>
      <x:c r="E748" s="128" t="n">
        <x:f>'Итоги'!$B$9</x:f>
        <x:v>1.2958368660043291</x:v>
      </x:c>
      <x:c r="F748" s="129" t="n">
        <x:f>ABS(D748-E748)</x:f>
        <x:v>0.005392522569132474</x:v>
      </x:c>
    </x:row>
    <x:row r="749">
      <x:c r="A749" s="107" t="n">
        <x:v>748</x:v>
      </x:c>
      <x:c r="B749" s="128" t="n">
        <x:v>1.8626540402928993</x:v>
      </x:c>
      <x:c r="C749" s="128" t="n">
        <x:f>LN(B749)</x:f>
        <x:v>0.6220023740491384</x:v>
      </x:c>
      <x:c r="D749" s="128" t="n">
        <x:f>'Итоги'!$B$8*AVERAGE($C$2:C749)</x:f>
        <x:v>1.290382258414693</x:v>
      </x:c>
      <x:c r="E749" s="128" t="n">
        <x:f>'Итоги'!$B$9</x:f>
        <x:v>1.2958368660043291</x:v>
      </x:c>
      <x:c r="F749" s="129" t="n">
        <x:f>ABS(D749-E749)</x:f>
        <x:v>0.005454607589636229</x:v>
      </x:c>
    </x:row>
    <x:row r="750">
      <x:c r="A750" s="107" t="n">
        <x:v>749</x:v>
      </x:c>
      <x:c r="B750" s="128" t="n">
        <x:v>2.5611622750531686</x:v>
      </x:c>
      <x:c r="C750" s="128" t="n">
        <x:f>LN(B750)</x:f>
        <x:v>0.940461169151083</x:v>
      </x:c>
      <x:c r="D750" s="128" t="n">
        <x:f>'Итоги'!$B$8*AVERAGE($C$2:C750)</x:f>
        <x:v>1.2911706964385747</x:v>
      </x:c>
      <x:c r="E750" s="128" t="n">
        <x:f>'Итоги'!$B$9</x:f>
        <x:v>1.2958368660043291</x:v>
      </x:c>
      <x:c r="F750" s="129" t="n">
        <x:f>ABS(D750-E750)</x:f>
        <x:v>0.004666169565754386</x:v>
      </x:c>
    </x:row>
    <x:row r="751">
      <x:c r="A751" s="107" t="n">
        <x:v>750</x:v>
      </x:c>
      <x:c r="B751" s="128" t="n">
        <x:v>2.682407412429913</x:v>
      </x:c>
      <x:c r="C751" s="128" t="n">
        <x:f>LN(B751)</x:f>
        <x:v>0.9867146795234722</x:v>
      </x:c>
      <x:c r="D751" s="128" t="n">
        <x:f>'Итоги'!$B$8*AVERAGE($C$2:C751)</x:f>
        <x:v>1.2920803746553857</x:v>
      </x:c>
      <x:c r="E751" s="128" t="n">
        <x:f>'Итоги'!$B$9</x:f>
        <x:v>1.2958368660043291</x:v>
      </x:c>
      <x:c r="F751" s="129" t="n">
        <x:f>ABS(D751-E751)</x:f>
        <x:v>0.0037564913489434026</x:v>
      </x:c>
    </x:row>
    <x:row r="752">
      <x:c r="A752" s="107" t="n">
        <x:v>751</x:v>
      </x:c>
      <x:c r="B752" s="128" t="n">
        <x:v>1.5206970868305</x:v>
      </x:c>
      <x:c r="C752" s="128" t="n">
        <x:f>LN(B752)</x:f>
        <x:v>0.4191688394857794</x:v>
      </x:c>
      <x:c r="D752" s="128" t="n">
        <x:f>'Итоги'!$B$8*AVERAGE($C$2:C752)</x:f>
        <x:v>1.2914761899740492</x:v>
      </x:c>
      <x:c r="E752" s="128" t="n">
        <x:f>'Итоги'!$B$9</x:f>
        <x:v>1.2958368660043291</x:v>
      </x:c>
      <x:c r="F752" s="129" t="n">
        <x:f>ABS(D752-E752)</x:f>
        <x:v>0.0043606760302798975</x:v>
      </x:c>
    </x:row>
    <x:row r="753">
      <x:c r="A753" s="107" t="n">
        <x:v>752</x:v>
      </x:c>
      <x:c r="B753" s="128" t="n">
        <x:v>1.6449808819354597</x:v>
      </x:c>
      <x:c r="C753" s="128" t="n">
        <x:f>LN(B753)</x:f>
        <x:v>0.49772876222606743</x:v>
      </x:c>
      <x:c r="D753" s="128" t="n">
        <x:f>'Итоги'!$B$8*AVERAGE($C$2:C753)</x:f>
        <x:v>1.2910825481315997</x:v>
      </x:c>
      <x:c r="E753" s="128" t="n">
        <x:f>'Итоги'!$B$9</x:f>
        <x:v>1.2958368660043291</x:v>
      </x:c>
      <x:c r="F753" s="129" t="n">
        <x:f>ABS(D753-E753)</x:f>
        <x:v>0.004754317872729397</x:v>
      </x:c>
    </x:row>
    <x:row r="754">
      <x:c r="A754" s="107" t="n">
        <x:v>753</x:v>
      </x:c>
      <x:c r="B754" s="128" t="n">
        <x:v>1.4849657060566654</x:v>
      </x:c>
      <x:c r="C754" s="128" t="n">
        <x:f>LN(B754)</x:f>
        <x:v>0.3953916784234674</x:v>
      </x:c>
      <x:c r="D754" s="128" t="n">
        <x:f>'Итоги'!$B$8*AVERAGE($C$2:C754)</x:f>
        <x:v>1.2904181401750465</x:v>
      </x:c>
      <x:c r="E754" s="128" t="n">
        <x:f>'Итоги'!$B$9</x:f>
        <x:v>1.2958368660043291</x:v>
      </x:c>
      <x:c r="F754" s="129" t="n">
        <x:f>ABS(D754-E754)</x:f>
        <x:v>0.0054187258292826</x:v>
      </x:c>
    </x:row>
    <x:row r="755">
      <x:c r="A755" s="107" t="n">
        <x:v>754</x:v>
      </x:c>
      <x:c r="B755" s="128" t="n">
        <x:v>1.9597268011021303</x:v>
      </x:c>
      <x:c r="C755" s="128" t="n">
        <x:f>LN(B755)</x:f>
        <x:v>0.6728050763343376</x:v>
      </x:c>
      <x:c r="D755" s="128" t="n">
        <x:f>'Итоги'!$B$8*AVERAGE($C$2:C755)</x:f>
        <x:v>1.2904913391306083</x:v>
      </x:c>
      <x:c r="E755" s="128" t="n">
        <x:f>'Итоги'!$B$9</x:f>
        <x:v>1.2958368660043291</x:v>
      </x:c>
      <x:c r="F755" s="129" t="n">
        <x:f>ABS(D755-E755)</x:f>
        <x:v>0.005345526873720807</x:v>
      </x:c>
    </x:row>
    <x:row r="756">
      <x:c r="A756" s="107" t="n">
        <x:v>755</x:v>
      </x:c>
      <x:c r="B756" s="128" t="n">
        <x:v>2.366516715317626</x:v>
      </x:c>
      <x:c r="C756" s="128" t="n">
        <x:f>LN(B756)</x:f>
        <x:v>0.861419133646901</x:v>
      </x:c>
      <x:c r="D756" s="128" t="n">
        <x:f>'Итоги'!$B$8*AVERAGE($C$2:C756)</x:f>
        <x:v>1.291063984068573</x:v>
      </x:c>
      <x:c r="E756" s="128" t="n">
        <x:f>'Итоги'!$B$9</x:f>
        <x:v>1.2958368660043291</x:v>
      </x:c>
      <x:c r="F756" s="129" t="n">
        <x:f>ABS(D756-E756)</x:f>
        <x:v>0.004772881935756201</x:v>
      </x:c>
    </x:row>
    <x:row r="757">
      <x:c r="A757" s="107" t="n">
        <x:v>756</x:v>
      </x:c>
      <x:c r="B757" s="128" t="n">
        <x:v>1.456505750926841</x:v>
      </x:c>
      <x:c r="C757" s="128" t="n">
        <x:f>LN(B757)</x:f>
        <x:v>0.37604024586602197</x:v>
      </x:c>
      <x:c r="D757" s="128" t="n">
        <x:f>'Итоги'!$B$8*AVERAGE($C$2:C757)</x:f>
        <x:v>1.2903510429411436</x:v>
      </x:c>
      <x:c r="E757" s="128" t="n">
        <x:f>'Итоги'!$B$9</x:f>
        <x:v>1.2958368660043291</x:v>
      </x:c>
      <x:c r="F757" s="129" t="n">
        <x:f>ABS(D757-E757)</x:f>
        <x:v>0.005485823063185569</x:v>
      </x:c>
    </x:row>
    <x:row r="758">
      <x:c r="A758" s="107" t="n">
        <x:v>757</x:v>
      </x:c>
      <x:c r="B758" s="128" t="n">
        <x:v>1.6614714841097333</x:v>
      </x:c>
      <x:c r="C758" s="128" t="n">
        <x:f>LN(B758)</x:f>
        <x:v>0.5077036459265806</x:v>
      </x:c>
      <x:c r="D758" s="128" t="n">
        <x:f>'Итоги'!$B$8*AVERAGE($C$2:C758)</x:f>
        <x:v>1.289987841156351</x:v>
      </x:c>
      <x:c r="E758" s="128" t="n">
        <x:f>'Итоги'!$B$9</x:f>
        <x:v>1.2958368660043291</x:v>
      </x:c>
      <x:c r="F758" s="129" t="n">
        <x:f>ABS(D758-E758)</x:f>
        <x:v>0.005849024847978113</x:v>
      </x:c>
    </x:row>
    <x:row r="759">
      <x:c r="A759" s="107" t="n">
        <x:v>758</x:v>
      </x:c>
      <x:c r="B759" s="128" t="n">
        <x:v>2.860769235178301</x:v>
      </x:c>
      <x:c r="C759" s="128" t="n">
        <x:f>LN(B759)</x:f>
        <x:v>1.0510905520166605</x:v>
      </x:c>
      <x:c r="D759" s="128" t="n">
        <x:f>'Итоги'!$B$8*AVERAGE($C$2:C759)</x:f>
        <x:v>1.2910593362261096</x:v>
      </x:c>
      <x:c r="E759" s="128" t="n">
        <x:f>'Итоги'!$B$9</x:f>
        <x:v>1.2958368660043291</x:v>
      </x:c>
      <x:c r="F759" s="129" t="n">
        <x:f>ABS(D759-E759)</x:f>
        <x:v>0.004777529778219547</x:v>
      </x:c>
    </x:row>
    <x:row r="760">
      <x:c r="A760" s="107" t="n">
        <x:v>759</x:v>
      </x:c>
      <x:c r="B760" s="128" t="n">
        <x:v>1.0971385796939161</x:v>
      </x:c>
      <x:c r="C760" s="128" t="n">
        <x:f>LN(B760)</x:f>
        <x:v>0.0927054993801848</x:v>
      </x:c>
      <x:c r="D760" s="128" t="n">
        <x:f>'Итоги'!$B$8*AVERAGE($C$2:C760)</x:f>
        <x:v>1.289602619048948</x:v>
      </x:c>
      <x:c r="E760" s="128" t="n">
        <x:f>'Итоги'!$B$9</x:f>
        <x:v>1.2958368660043291</x:v>
      </x:c>
      <x:c r="F760" s="129" t="n">
        <x:f>ABS(D760-E760)</x:f>
        <x:v>0.006234246955381106</x:v>
      </x:c>
    </x:row>
    <x:row r="761">
      <x:c r="A761" s="107" t="n">
        <x:v>760</x:v>
      </x:c>
      <x:c r="B761" s="128" t="n">
        <x:v>1.9215392104791325</x:v>
      </x:c>
      <x:c r="C761" s="128" t="n">
        <x:f>LN(B761)</x:f>
        <x:v>0.6531265369967766</x:v>
      </x:c>
      <x:c r="D761" s="128" t="n">
        <x:f>'Итоги'!$B$8*AVERAGE($C$2:C761)</x:f>
        <x:v>1.289624527542296</x:v>
      </x:c>
      <x:c r="E761" s="128" t="n">
        <x:f>'Итоги'!$B$9</x:f>
        <x:v>1.2958368660043291</x:v>
      </x:c>
      <x:c r="F761" s="129" t="n">
        <x:f>ABS(D761-E761)</x:f>
        <x:v>0.006212338462033173</x:v>
      </x:c>
    </x:row>
    <x:row r="762">
      <x:c r="A762" s="107" t="n">
        <x:v>761</x:v>
      </x:c>
      <x:c r="B762" s="128" t="n">
        <x:v>2.4231160831935554</x:v>
      </x:c>
      <x:c r="C762" s="128" t="n">
        <x:f>LN(B762)</x:f>
        <x:v>0.8850543495574332</x:v>
      </x:c>
      <x:c r="D762" s="128" t="n">
        <x:f>'Итоги'!$B$8*AVERAGE($C$2:C762)</x:f>
        <x:v>1.2902559127874638</x:v>
      </x:c>
      <x:c r="E762" s="128" t="n">
        <x:f>'Итоги'!$B$9</x:f>
        <x:v>1.2958368660043291</x:v>
      </x:c>
      <x:c r="F762" s="129" t="n">
        <x:f>ABS(D762-E762)</x:f>
        <x:v>0.005580953216865359</x:v>
      </x:c>
    </x:row>
    <x:row r="763">
      <x:c r="A763" s="107" t="n">
        <x:v>762</x:v>
      </x:c>
      <x:c r="B763" s="128" t="n">
        <x:v>1.3009080231149481</x:v>
      </x:c>
      <x:c r="C763" s="128" t="n">
        <x:f>LN(B763)</x:f>
        <x:v>0.2630624999635326</x:v>
      </x:c>
      <x:c r="D763" s="128" t="n">
        <x:f>'Итоги'!$B$8*AVERAGE($C$2:C763)</x:f>
        <x:v>1.2892531163138936</x:v>
      </x:c>
      <x:c r="E763" s="128" t="n">
        <x:f>'Итоги'!$B$9</x:f>
        <x:v>1.2958368660043291</x:v>
      </x:c>
      <x:c r="F763" s="129" t="n">
        <x:f>ABS(D763-E763)</x:f>
        <x:v>0.006583749690435514</x:v>
      </x:c>
    </x:row>
    <x:row r="764">
      <x:c r="A764" s="107" t="n">
        <x:v>763</x:v>
      </x:c>
      <x:c r="B764" s="128" t="n">
        <x:v>1.0947480400109637</x:v>
      </x:c>
      <x:c r="C764" s="128" t="n">
        <x:f>LN(B764)</x:f>
        <x:v>0.0905242363446862</x:v>
      </x:c>
      <x:c r="D764" s="128" t="n">
        <x:f>'Итоги'!$B$8*AVERAGE($C$2:C764)</x:f>
        <x:v>1.2878006855883044</x:v>
      </x:c>
      <x:c r="E764" s="128" t="n">
        <x:f>'Итоги'!$B$9</x:f>
        <x:v>1.2958368660043291</x:v>
      </x:c>
      <x:c r="F764" s="129" t="n">
        <x:f>ABS(D764-E764)</x:f>
        <x:v>0.008036180416024719</x:v>
      </x:c>
    </x:row>
    <x:row r="765">
      <x:c r="A765" s="107" t="n">
        <x:v>764</x:v>
      </x:c>
      <x:c r="B765" s="128" t="n">
        <x:v>1.2764107432770615</x:v>
      </x:c>
      <x:c r="C765" s="128" t="n">
        <x:f>LN(B765)</x:f>
        <x:v>0.24405203224414618</x:v>
      </x:c>
      <x:c r="D765" s="128" t="n">
        <x:f>'Итоги'!$B$8*AVERAGE($C$2:C765)</x:f>
        <x:v>1.2867539622622572</x:v>
      </x:c>
      <x:c r="E765" s="128" t="n">
        <x:f>'Итоги'!$B$9</x:f>
        <x:v>1.2958368660043291</x:v>
      </x:c>
      <x:c r="F765" s="129" t="n">
        <x:f>ABS(D765-E765)</x:f>
        <x:v>0.00908290374207188</x:v>
      </x:c>
    </x:row>
    <x:row r="766">
      <x:c r="A766" s="107" t="n">
        <x:v>765</x:v>
      </x:c>
      <x:c r="B766" s="128" t="n">
        <x:v>2.8376463870613655</x:v>
      </x:c>
      <x:c r="C766" s="128" t="n">
        <x:f>LN(B766)</x:f>
        <x:v>1.04297497163058</x:v>
      </x:c>
      <x:c r="D766" s="128" t="n">
        <x:f>'Итоги'!$B$8*AVERAGE($C$2:C766)</x:f>
        <x:v>1.287798662891014</x:v>
      </x:c>
      <x:c r="E766" s="128" t="n">
        <x:f>'Итоги'!$B$9</x:f>
        <x:v>1.2958368660043291</x:v>
      </x:c>
      <x:c r="F766" s="129" t="n">
        <x:f>ABS(D766-E766)</x:f>
        <x:v>0.008038203113315046</x:v>
      </x:c>
    </x:row>
    <x:row r="767">
      <x:c r="A767" s="107" t="n">
        <x:v>766</x:v>
      </x:c>
      <x:c r="B767" s="128" t="n">
        <x:v>1.0185195636422468</x:v>
      </x:c>
      <x:c r="C767" s="128" t="n">
        <x:f>LN(B767)</x:f>
        <x:v>0.018350164789148776</x:v>
      </x:c>
      <x:c r="D767" s="128" t="n">
        <x:f>'Итоги'!$B$8*AVERAGE($C$2:C767)</x:f>
        <x:v>1.2861653752496136</x:v>
      </x:c>
      <x:c r="E767" s="128" t="n">
        <x:f>'Итоги'!$B$9</x:f>
        <x:v>1.2958368660043291</x:v>
      </x:c>
      <x:c r="F767" s="129" t="n">
        <x:f>ABS(D767-E767)</x:f>
        <x:v>0.009671490754715517</x:v>
      </x:c>
    </x:row>
    <x:row r="768">
      <x:c r="A768" s="107" t="n">
        <x:v>767</x:v>
      </x:c>
      <x:c r="B768" s="128" t="n">
        <x:v>1.3766439496227036</x:v>
      </x:c>
      <x:c r="C768" s="128" t="n">
        <x:f>LN(B768)</x:f>
        <x:v>0.3196486166839618</x:v>
      </x:c>
      <x:c r="D768" s="128" t="n">
        <x:f>'Итоги'!$B$8*AVERAGE($C$2:C768)</x:f>
        <x:v>1.285322000879494</x:v>
      </x:c>
      <x:c r="E768" s="128" t="n">
        <x:f>'Итоги'!$B$9</x:f>
        <x:v>1.2958368660043291</x:v>
      </x:c>
      <x:c r="F768" s="129" t="n">
        <x:f>ABS(D768-E768)</x:f>
        <x:v>0.010514865124835016</x:v>
      </x:c>
    </x:row>
    <x:row r="769">
      <x:c r="A769" s="107" t="n">
        <x:v>768</x:v>
      </x:c>
      <x:c r="B769" s="128" t="n">
        <x:v>1.062567025803289</x:v>
      </x:c>
      <x:c r="C769" s="128" t="n">
        <x:f>LN(B769)</x:f>
        <x:v>0.060687702935757176</x:v>
      </x:c>
      <x:c r="D769" s="128" t="n">
        <x:f>'Итоги'!$B$8*AVERAGE($C$2:C769)</x:f>
        <x:v>1.283806445417244</x:v>
      </x:c>
      <x:c r="E769" s="128" t="n">
        <x:f>'Итоги'!$B$9</x:f>
        <x:v>1.2958368660043291</x:v>
      </x:c>
      <x:c r="F769" s="129" t="n">
        <x:f>ABS(D769-E769)</x:f>
        <x:v>0.012030420587085144</x:v>
      </x:c>
    </x:row>
    <x:row r="770">
      <x:c r="A770" s="107" t="n">
        <x:v>769</x:v>
      </x:c>
      <x:c r="B770" s="128" t="n">
        <x:v>1.2212589351244065</x:v>
      </x:c>
      <x:c r="C770" s="128" t="n">
        <x:f>LN(B770)</x:f>
        <x:v>0.1998822407242682</x:v>
      </x:c>
      <x:c r="D770" s="128" t="n">
        <x:f>'Итоги'!$B$8*AVERAGE($C$2:C770)</x:f>
        <x:v>1.282656845984255</x:v>
      </x:c>
      <x:c r="E770" s="128" t="n">
        <x:f>'Итоги'!$B$9</x:f>
        <x:v>1.2958368660043291</x:v>
      </x:c>
      <x:c r="F770" s="129" t="n">
        <x:f>ABS(D770-E770)</x:f>
        <x:v>0.013180020020074235</x:v>
      </x:c>
    </x:row>
    <x:row r="771">
      <x:c r="A771" s="107" t="n">
        <x:v>770</x:v>
      </x:c>
      <x:c r="B771" s="128" t="n">
        <x:v>2.2402985732565925</x:v>
      </x:c>
      <x:c r="C771" s="128" t="n">
        <x:f>LN(B771)</x:f>
        <x:v>0.8066091486168155</x:v>
      </x:c>
      <x:c r="D771" s="128" t="n">
        <x:f>'Итоги'!$B$8*AVERAGE($C$2:C771)</x:f>
        <x:v>1.283086146570293</x:v>
      </x:c>
      <x:c r="E771" s="128" t="n">
        <x:f>'Итоги'!$B$9</x:f>
        <x:v>1.2958368660043291</x:v>
      </x:c>
      <x:c r="F771" s="129" t="n">
        <x:f>ABS(D771-E771)</x:f>
        <x:v>0.012750719434036162</x:v>
      </x:c>
    </x:row>
    <x:row r="772">
      <x:c r="A772" s="107" t="n">
        <x:v>771</x:v>
      </x:c>
      <x:c r="B772" s="128" t="n">
        <x:v>1.4832778174781716</x:v>
      </x:c>
      <x:c r="C772" s="128" t="n">
        <x:f>LN(B772)</x:f>
        <x:v>0.3942543803904431</x:v>
      </x:c>
      <x:c r="D772" s="128" t="n">
        <x:f>'Итоги'!$B$8*AVERAGE($C$2:C772)</x:f>
        <x:v>1.2824446713617466</x:v>
      </x:c>
      <x:c r="E772" s="128" t="n">
        <x:f>'Итоги'!$B$9</x:f>
        <x:v>1.2958368660043291</x:v>
      </x:c>
      <x:c r="F772" s="129" t="n">
        <x:f>ABS(D772-E772)</x:f>
        <x:v>0.013392194642582567</x:v>
      </x:c>
    </x:row>
    <x:row r="773">
      <x:c r="A773" s="107" t="n">
        <x:v>772</x:v>
      </x:c>
      <x:c r="B773" s="128" t="n">
        <x:v>2.1384241008613536</x:v>
      </x:c>
      <x:c r="C773" s="128" t="n">
        <x:f>LN(B773)</x:f>
        <x:v>0.7600691562903557</x:v>
      </x:c>
      <x:c r="D773" s="128" t="n">
        <x:f>'Итоги'!$B$8*AVERAGE($C$2:C773)</x:f>
        <x:v>1.2827525646793876</x:v>
      </x:c>
      <x:c r="E773" s="128" t="n">
        <x:f>'Итоги'!$B$9</x:f>
        <x:v>1.2958368660043291</x:v>
      </x:c>
      <x:c r="F773" s="129" t="n">
        <x:f>ABS(D773-E773)</x:f>
        <x:v>0.013084301324941539</x:v>
      </x:c>
    </x:row>
    <x:row r="774">
      <x:c r="A774" s="107" t="n">
        <x:v>773</x:v>
      </x:c>
      <x:c r="B774" s="128" t="n">
        <x:v>2.1803907655322523</x:v>
      </x:c>
      <x:c r="C774" s="128" t="n">
        <x:f>LN(B774)</x:f>
        <x:v>0.7795041109817447</x:v>
      </x:c>
      <x:c r="D774" s="128" t="n">
        <x:f>'Итоги'!$B$8*AVERAGE($C$2:C774)</x:f>
        <x:v>1.2831099458660422</x:v>
      </x:c>
      <x:c r="E774" s="128" t="n">
        <x:f>'Итоги'!$B$9</x:f>
        <x:v>1.2958368660043291</x:v>
      </x:c>
      <x:c r="F774" s="129" t="n">
        <x:f>ABS(D774-E774)</x:f>
        <x:v>0.012726920138286912</x:v>
      </x:c>
    </x:row>
    <x:row r="775">
      <x:c r="A775" s="107" t="n">
        <x:v>774</x:v>
      </x:c>
      <x:c r="B775" s="128" t="n">
        <x:v>2.698870666179558</x:v>
      </x:c>
      <x:c r="C775" s="128" t="n">
        <x:f>LN(B775)</x:f>
        <x:v>0.9928334137248913</x:v>
      </x:c>
      <x:c r="D775" s="128" t="n">
        <x:f>'Итоги'!$B$8*AVERAGE($C$2:C775)</x:f>
        <x:v>1.2840176420954788</x:v>
      </x:c>
      <x:c r="E775" s="128" t="n">
        <x:f>'Итоги'!$B$9</x:f>
        <x:v>1.2958368660043291</x:v>
      </x:c>
      <x:c r="F775" s="129" t="n">
        <x:f>ABS(D775-E775)</x:f>
        <x:v>0.011819223908850374</x:v>
      </x:c>
    </x:row>
    <x:row r="776">
      <x:c r="A776" s="107" t="n">
        <x:v>775</x:v>
      </x:c>
      <x:c r="B776" s="128" t="n">
        <x:v>1.0094827858237478</x:v>
      </x:c>
      <x:c r="C776" s="128" t="n">
        <x:f>LN(B776)</x:f>
        <x:v>0.009438106444827994</x:v>
      </x:c>
      <x:c r="D776" s="128" t="n">
        <x:f>'Итоги'!$B$8*AVERAGE($C$2:C776)</x:f>
        <x:v>1.2823852015416646</x:v>
      </x:c>
      <x:c r="E776" s="128" t="n">
        <x:f>'Итоги'!$B$9</x:f>
        <x:v>1.2958368660043291</x:v>
      </x:c>
      <x:c r="F776" s="129" t="n">
        <x:f>ABS(D776-E776)</x:f>
        <x:v>0.013451664462664548</x:v>
      </x:c>
    </x:row>
    <x:row r="777">
      <x:c r="A777" s="107" t="n">
        <x:v>776</x:v>
      </x:c>
      <x:c r="B777" s="128" t="n">
        <x:v>2.7067389186847333</x:v>
      </x:c>
      <x:c r="C777" s="128" t="n">
        <x:f>LN(B777)</x:f>
        <x:v>0.9957445592445406</x:v>
      </x:c>
      <x:c r="D777" s="128" t="n">
        <x:f>'Итоги'!$B$8*AVERAGE($C$2:C777)</x:f>
        <x:v>1.2832989952490712</x:v>
      </x:c>
      <x:c r="E777" s="128" t="n">
        <x:f>'Итоги'!$B$9</x:f>
        <x:v>1.2958368660043291</x:v>
      </x:c>
      <x:c r="F777" s="129" t="n">
        <x:f>ABS(D777-E777)</x:f>
        <x:v>0.012537870755257918</x:v>
      </x:c>
    </x:row>
    <x:row r="778">
      <x:c r="A778" s="107" t="n">
        <x:v>777</x:v>
      </x:c>
      <x:c r="B778" s="128" t="n">
        <x:v>2.238238172853948</x:v>
      </x:c>
      <x:c r="C778" s="128" t="n">
        <x:f>LN(B778)</x:f>
        <x:v>0.8056890264140449</x:v>
      </x:c>
      <x:c r="D778" s="128" t="n">
        <x:f>'Итоги'!$B$8*AVERAGE($C$2:C778)</x:f>
        <x:v>1.2837212334184134</x:v>
      </x:c>
      <x:c r="E778" s="128" t="n">
        <x:f>'Итоги'!$B$9</x:f>
        <x:v>1.2958368660043291</x:v>
      </x:c>
      <x:c r="F778" s="129" t="n">
        <x:f>ABS(D778-E778)</x:f>
        <x:v>0.012115632585915748</x:v>
      </x:c>
    </x:row>
    <x:row r="779">
      <x:c r="A779" s="107" t="n">
        <x:v>778</x:v>
      </x:c>
      <x:c r="B779" s="128" t="n">
        <x:v>1.3254869722099152</x:v>
      </x:c>
      <x:c r="C779" s="128" t="n">
        <x:f>LN(B779)</x:f>
        <x:v>0.28177991811313885</x:v>
      </x:c>
      <x:c r="D779" s="128" t="n">
        <x:f>'Итоги'!$B$8*AVERAGE($C$2:C779)</x:f>
        <x:v>1.2827955760955445</x:v>
      </x:c>
      <x:c r="E779" s="128" t="n">
        <x:f>'Итоги'!$B$9</x:f>
        <x:v>1.2958368660043291</x:v>
      </x:c>
      <x:c r="F779" s="129" t="n">
        <x:f>ABS(D779-E779)</x:f>
        <x:v>0.013041289908784615</x:v>
      </x:c>
    </x:row>
    <x:row r="780">
      <x:c r="A780" s="107" t="n">
        <x:v>779</x:v>
      </x:c>
      <x:c r="B780" s="128" t="n">
        <x:v>2.5458747762705682</x:v>
      </x:c>
      <x:c r="C780" s="128" t="n">
        <x:f>LN(B780)</x:f>
        <x:v>0.9344743144285903</x:v>
      </x:c>
      <x:c r="D780" s="128" t="n">
        <x:f>'Итоги'!$B$8*AVERAGE($C$2:C780)</x:f>
        <x:v>1.2835480190387558</x:v>
      </x:c>
      <x:c r="E780" s="128" t="n">
        <x:f>'Итоги'!$B$9</x:f>
        <x:v>1.2958368660043291</x:v>
      </x:c>
      <x:c r="F780" s="129" t="n">
        <x:f>ABS(D780-E780)</x:f>
        <x:v>0.012288846965573308</x:v>
      </x:c>
    </x:row>
    <x:row r="781">
      <x:c r="A781" s="107" t="n">
        <x:v>780</x:v>
      </x:c>
      <x:c r="B781" s="128" t="n">
        <x:v>2.7109830835811715</x:v>
      </x:c>
      <x:c r="C781" s="128" t="n">
        <x:f>LN(B781)</x:f>
        <x:v>0.9973113305786431</x:v>
      </x:c>
      <x:c r="D781" s="128" t="n">
        <x:f>'Итоги'!$B$8*AVERAGE($C$2:C781)</x:f>
        <x:v>1.284459653195318</x:v>
      </x:c>
      <x:c r="E781" s="128" t="n">
        <x:f>'Итоги'!$B$9</x:f>
        <x:v>1.2958368660043291</x:v>
      </x:c>
      <x:c r="F781" s="129" t="n">
        <x:f>ABS(D781-E781)</x:f>
        <x:v>0.01137721280901105</x:v>
      </x:c>
    </x:row>
    <x:row r="782">
      <x:c r="A782" s="107" t="n">
        <x:v>781</x:v>
      </x:c>
      <x:c r="B782" s="128" t="n">
        <x:v>1.5085269675083146</x:v>
      </x:c>
      <x:c r="C782" s="128" t="n">
        <x:f>LN(B782)</x:f>
        <x:v>0.4111336564928607</x:v>
      </x:c>
      <x:c r="D782" s="128" t="n">
        <x:f>'Итоги'!$B$8*AVERAGE($C$2:C782)</x:f>
        <x:v>1.2838678576252673</x:v>
      </x:c>
      <x:c r="E782" s="128" t="n">
        <x:f>'Итоги'!$B$9</x:f>
        <x:v>1.2958368660043291</x:v>
      </x:c>
      <x:c r="F782" s="129" t="n">
        <x:f>ABS(D782-E782)</x:f>
        <x:v>0.011969008379061785</x:v>
      </x:c>
    </x:row>
    <x:row r="783">
      <x:c r="A783" s="107" t="n">
        <x:v>782</x:v>
      </x:c>
      <x:c r="B783" s="128" t="n">
        <x:v>2.8375873618053618</x:v>
      </x:c>
      <x:c r="C783" s="128" t="n">
        <x:f>LN(B783)</x:f>
        <x:v>1.04295417063502</x:v>
      </x:c>
      <x:c r="D783" s="128" t="n">
        <x:f>'Итоги'!$B$8*AVERAGE($C$2:C783)</x:f>
        <x:v>1.2848934848422044</x:v>
      </x:c>
      <x:c r="E783" s="128" t="n">
        <x:f>'Итоги'!$B$9</x:f>
        <x:v>1.2958368660043291</x:v>
      </x:c>
      <x:c r="F783" s="129" t="n">
        <x:f>ABS(D783-E783)</x:f>
        <x:v>0.010943381162124677</x:v>
      </x:c>
    </x:row>
    <x:row r="784">
      <x:c r="A784" s="107" t="n">
        <x:v>783</x:v>
      </x:c>
      <x:c r="B784" s="128" t="n">
        <x:v>1.9089148605973156</x:v>
      </x:c>
      <x:c r="C784" s="128" t="n">
        <x:f>LN(B784)</x:f>
        <x:v>0.6465349447953104</x:v>
      </x:c>
      <x:c r="D784" s="128" t="n">
        <x:f>'Итоги'!$B$8*AVERAGE($C$2:C784)</x:f>
        <x:v>1.2849039272492904</x:v>
      </x:c>
      <x:c r="E784" s="128" t="n">
        <x:f>'Итоги'!$B$9</x:f>
        <x:v>1.2958368660043291</x:v>
      </x:c>
      <x:c r="F784" s="129" t="n">
        <x:f>ABS(D784-E784)</x:f>
        <x:v>0.010932938755038757</x:v>
      </x:c>
    </x:row>
    <x:row r="785">
      <x:c r="A785" s="107" t="n">
        <x:v>784</x:v>
      </x:c>
      <x:c r="B785" s="128" t="n">
        <x:v>2.206848908666643</x:v>
      </x:c>
      <x:c r="C785" s="128" t="n">
        <x:f>LN(B785)</x:f>
        <x:v>0.7915656648797407</x:v>
      </x:c>
      <x:c r="D785" s="128" t="n">
        <x:f>'Итоги'!$B$8*AVERAGE($C$2:C785)</x:f>
        <x:v>1.2852843193443289</x:v>
      </x:c>
      <x:c r="E785" s="128" t="n">
        <x:f>'Итоги'!$B$9</x:f>
        <x:v>1.2958368660043291</x:v>
      </x:c>
      <x:c r="F785" s="129" t="n">
        <x:f>ABS(D785-E785)</x:f>
        <x:v>0.010552546660000273</x:v>
      </x:c>
    </x:row>
    <x:row r="786">
      <x:c r="A786" s="107" t="n">
        <x:v>785</x:v>
      </x:c>
      <x:c r="B786" s="128" t="n">
        <x:v>2.969299067235287</x:v>
      </x:c>
      <x:c r="C786" s="128" t="n">
        <x:f>LN(B786)</x:f>
        <x:v>1.0883259206633284</x:v>
      </x:c>
      <x:c r="D786" s="128" t="n">
        <x:f>'Итоги'!$B$8*AVERAGE($C$2:C786)</x:f>
        <x:v>1.286419819372332</x:v>
      </x:c>
      <x:c r="E786" s="128" t="n">
        <x:f>'Итоги'!$B$9</x:f>
        <x:v>1.2958368660043291</x:v>
      </x:c>
      <x:c r="F786" s="129" t="n">
        <x:f>ABS(D786-E786)</x:f>
        <x:v>0.009417046631997161</x:v>
      </x:c>
    </x:row>
    <x:row r="787">
      <x:c r="A787" s="107" t="n">
        <x:v>786</x:v>
      </x:c>
      <x:c r="B787" s="128" t="n">
        <x:v>1.7230721572783987</x:v>
      </x:c>
      <x:c r="C787" s="128" t="n">
        <x:f>LN(B787)</x:f>
        <x:v>0.5441088355304173</x:v>
      </x:c>
      <x:c r="D787" s="128" t="n">
        <x:f>'Итоги'!$B$8*AVERAGE($C$2:C787)</x:f>
        <x:v>1.2861676537892384</x:v>
      </x:c>
      <x:c r="E787" s="128" t="n">
        <x:f>'Итоги'!$B$9</x:f>
        <x:v>1.2958368660043291</x:v>
      </x:c>
      <x:c r="F787" s="129" t="n">
        <x:f>ABS(D787-E787)</x:f>
        <x:v>0.009669212215090761</x:v>
      </x:c>
    </x:row>
    <x:row r="788">
      <x:c r="A788" s="107" t="n">
        <x:v>787</x:v>
      </x:c>
      <x:c r="B788" s="128" t="n">
        <x:v>2.6263186916402255</x:v>
      </x:c>
      <x:c r="C788" s="128" t="n">
        <x:f>LN(B788)</x:f>
        <x:v>0.9655831286237744</x:v>
      </x:c>
      <x:c r="D788" s="128" t="n">
        <x:f>'Итоги'!$B$8*AVERAGE($C$2:C788)</x:f>
        <x:v>1.2869872199943952</x:v>
      </x:c>
      <x:c r="E788" s="128" t="n">
        <x:f>'Итоги'!$B$9</x:f>
        <x:v>1.2958368660043291</x:v>
      </x:c>
      <x:c r="F788" s="129" t="n">
        <x:f>ABS(D788-E788)</x:f>
        <x:v>0.008849646009933876</x:v>
      </x:c>
    </x:row>
    <x:row r="789">
      <x:c r="A789" s="107" t="n">
        <x:v>788</x:v>
      </x:c>
      <x:c r="B789" s="128" t="n">
        <x:v>1.6367982356569193</x:v>
      </x:c>
      <x:c r="C789" s="128" t="n">
        <x:f>LN(B789)</x:f>
        <x:v>0.4927420382924295</x:v>
      </x:c>
      <x:c r="D789" s="128" t="n">
        <x:f>'Итоги'!$B$8*AVERAGE($C$2:C789)</x:f>
        <x:v>1.286604601792099</x:v>
      </x:c>
      <x:c r="E789" s="128" t="n">
        <x:f>'Итоги'!$B$9</x:f>
        <x:v>1.2958368660043291</x:v>
      </x:c>
      <x:c r="F789" s="129" t="n">
        <x:f>ABS(D789-E789)</x:f>
        <x:v>0.009232264212230223</x:v>
      </x:c>
    </x:row>
    <x:row r="790">
      <x:c r="A790" s="107" t="n">
        <x:v>789</x:v>
      </x:c>
      <x:c r="B790" s="128" t="n">
        <x:v>2.598427044482982</x:v>
      </x:c>
      <x:c r="C790" s="128" t="n">
        <x:f>LN(B790)</x:f>
        <x:v>0.9549062790602839</x:v>
      </x:c>
      <x:c r="D790" s="128" t="n">
        <x:f>'Итоги'!$B$8*AVERAGE($C$2:C790)</x:f>
        <x:v>1.287394472459182</x:v>
      </x:c>
      <x:c r="E790" s="128" t="n">
        <x:f>'Итоги'!$B$9</x:f>
        <x:v>1.2958368660043291</x:v>
      </x:c>
      <x:c r="F790" s="129" t="n">
        <x:f>ABS(D790-E790)</x:f>
        <x:v>0.008442393545147198</x:v>
      </x:c>
    </x:row>
    <x:row r="791">
      <x:c r="A791" s="107" t="n">
        <x:v>790</x:v>
      </x:c>
      <x:c r="B791" s="128" t="n">
        <x:v>2.2014678377252848</x:v>
      </x:c>
      <x:c r="C791" s="128" t="n">
        <x:f>LN(B791)</x:f>
        <x:v>0.7891243368520312</x:v>
      </x:c>
      <x:c r="D791" s="128" t="n">
        <x:f>'Итоги'!$B$8*AVERAGE($C$2:C791)</x:f>
        <x:v>1.2877626423341753</x:v>
      </x:c>
      <x:c r="E791" s="128" t="n">
        <x:f>'Итоги'!$B$9</x:f>
        <x:v>1.2958368660043291</x:v>
      </x:c>
      <x:c r="F791" s="129" t="n">
        <x:f>ABS(D791-E791)</x:f>
        <x:v>0.008074223670153868</x:v>
      </x:c>
    </x:row>
    <x:row r="792">
      <x:c r="A792" s="107" t="n">
        <x:v>791</x:v>
      </x:c>
      <x:c r="B792" s="128" t="n">
        <x:v>1.4327113904508029</x:v>
      </x:c>
      <x:c r="C792" s="128" t="n">
        <x:f>LN(B792)</x:f>
        <x:v>0.35956872622466785</x:v>
      </x:c>
      <x:c r="D792" s="128" t="n">
        <x:f>'Итоги'!$B$8*AVERAGE($C$2:C792)</x:f>
        <x:v>1.287043773573259</x:v>
      </x:c>
      <x:c r="E792" s="128" t="n">
        <x:f>'Итоги'!$B$9</x:f>
        <x:v>1.2958368660043291</x:v>
      </x:c>
      <x:c r="F792" s="129" t="n">
        <x:f>ABS(D792-E792)</x:f>
        <x:v>0.008793092431070182</x:v>
      </x:c>
    </x:row>
    <x:row r="793">
      <x:c r="A793" s="107" t="n">
        <x:v>792</x:v>
      </x:c>
      <x:c r="B793" s="128" t="n">
        <x:v>1.8280521875784728</x:v>
      </x:c>
      <x:c r="C793" s="128" t="n">
        <x:f>LN(B793)</x:f>
        <x:v>0.6032510216279842</x:v>
      </x:c>
      <x:c r="D793" s="128" t="n">
        <x:f>'Итоги'!$B$8*AVERAGE($C$2:C793)</x:f>
        <x:v>1.2869420794693232</x:v>
      </x:c>
      <x:c r="E793" s="128" t="n">
        <x:f>'Итоги'!$B$9</x:f>
        <x:v>1.2958368660043291</x:v>
      </x:c>
      <x:c r="F793" s="129" t="n">
        <x:f>ABS(D793-E793)</x:f>
        <x:v>0.008894786535005972</x:v>
      </x:c>
    </x:row>
    <x:row r="794">
      <x:c r="A794" s="107" t="n">
        <x:v>793</x:v>
      </x:c>
      <x:c r="B794" s="128" t="n">
        <x:v>1.6352712687271234</x:v>
      </x:c>
      <x:c r="C794" s="128" t="n">
        <x:f>LN(B794)</x:f>
        <x:v>0.49180870418164935</x:v>
      </x:c>
      <x:c r="D794" s="128" t="n">
        <x:f>'Итоги'!$B$8*AVERAGE($C$2:C794)</x:f>
        <x:v>1.2865595767314846</x:v>
      </x:c>
      <x:c r="E794" s="128" t="n">
        <x:f>'Итоги'!$B$9</x:f>
        <x:v>1.2958368660043291</x:v>
      </x:c>
      <x:c r="F794" s="129" t="n">
        <x:f>ABS(D794-E794)</x:f>
        <x:v>0.009277289272844547</x:v>
      </x:c>
    </x:row>
    <x:row r="795">
      <x:c r="A795" s="107" t="n">
        <x:v>794</x:v>
      </x:c>
      <x:c r="B795" s="128" t="n">
        <x:v>1.1562167861607278</x:v>
      </x:c>
      <x:c r="C795" s="128" t="n">
        <x:f>LN(B795)</x:f>
        <x:v>0.1451532839492995</x:v>
      </x:c>
      <x:c r="D795" s="128" t="n">
        <x:f>'Итоги'!$B$8*AVERAGE($C$2:C795)</x:f>
        <x:v>1.285304850020108</x:v>
      </x:c>
      <x:c r="E795" s="128" t="n">
        <x:f>'Итоги'!$B$9</x:f>
        <x:v>1.2958368660043291</x:v>
      </x:c>
      <x:c r="F795" s="129" t="n">
        <x:f>ABS(D795-E795)</x:f>
        <x:v>0.010532015984221044</x:v>
      </x:c>
    </x:row>
    <x:row r="796">
      <x:c r="A796" s="107" t="n">
        <x:v>795</x:v>
      </x:c>
      <x:c r="B796" s="128" t="n">
        <x:v>1.059669540199395</x:v>
      </x:c>
      <x:c r="C796" s="128" t="n">
        <x:f>LN(B796)</x:f>
        <x:v>0.0579571049895577</x:v>
      </x:c>
      <x:c r="D796" s="128" t="n">
        <x:f>'Итоги'!$B$8*AVERAGE($C$2:C796)</x:f>
        <x:v>1.283833918397415</x:v>
      </x:c>
      <x:c r="E796" s="128" t="n">
        <x:f>'Итоги'!$B$9</x:f>
        <x:v>1.2958368660043291</x:v>
      </x:c>
      <x:c r="F796" s="129" t="n">
        <x:f>ABS(D796-E796)</x:f>
        <x:v>0.012002947606914116</x:v>
      </x:c>
    </x:row>
    <x:row r="797">
      <x:c r="A797" s="107" t="n">
        <x:v>796</x:v>
      </x:c>
      <x:c r="B797" s="128" t="n">
        <x:v>1.6929573108143618</x:v>
      </x:c>
      <x:c r="C797" s="128" t="n">
        <x:f>LN(B797)</x:f>
        <x:v>0.5264768877204882</x:v>
      </x:c>
      <x:c r="D797" s="128" t="n">
        <x:f>'Итоги'!$B$8*AVERAGE($C$2:C797)</x:f>
        <x:v>1.2835438679665652</x:v>
      </x:c>
      <x:c r="E797" s="128" t="n">
        <x:f>'Итоги'!$B$9</x:f>
        <x:v>1.2958368660043291</x:v>
      </x:c>
      <x:c r="F797" s="129" t="n">
        <x:f>ABS(D797-E797)</x:f>
        <x:v>0.012292998037763958</x:v>
      </x:c>
    </x:row>
    <x:row r="798">
      <x:c r="A798" s="107" t="n">
        <x:v>797</x:v>
      </x:c>
      <x:c r="B798" s="128" t="n">
        <x:v>1.0380682956349732</x:v>
      </x:c>
      <x:c r="C798" s="128" t="n">
        <x:f>LN(B798)</x:f>
        <x:v>0.03736157798868926</x:v>
      </x:c>
      <x:c r="D798" s="128" t="n">
        <x:f>'Итоги'!$B$8*AVERAGE($C$2:C798)</x:f>
        <x:v>1.2820271544007067</x:v>
      </x:c>
      <x:c r="E798" s="128" t="n">
        <x:f>'Итоги'!$B$9</x:f>
        <x:v>1.2958368660043291</x:v>
      </x:c>
      <x:c r="F798" s="129" t="n">
        <x:f>ABS(D798-E798)</x:f>
        <x:v>0.013809711603622432</x:v>
      </x:c>
    </x:row>
    <x:row r="799">
      <x:c r="A799" s="107" t="n">
        <x:v>798</x:v>
      </x:c>
      <x:c r="B799" s="128" t="n">
        <x:v>1.33097551516355</x:v>
      </x:c>
      <x:c r="C799" s="128" t="n">
        <x:f>LN(B799)</x:f>
        <x:v>0.28591214342374693</x:v>
      </x:c>
      <x:c r="D799" s="128" t="n">
        <x:f>'Итоги'!$B$8*AVERAGE($C$2:C799)</x:f>
        <x:v>1.2811371758699381</x:v>
      </x:c>
      <x:c r="E799" s="128" t="n">
        <x:f>'Итоги'!$B$9</x:f>
        <x:v>1.2958368660043291</x:v>
      </x:c>
      <x:c r="F799" s="129" t="n">
        <x:f>ABS(D799-E799)</x:f>
        <x:v>0.014699690134390986</x:v>
      </x:c>
    </x:row>
    <x:row r="800">
      <x:c r="A800" s="107" t="n">
        <x:v>799</x:v>
      </x:c>
      <x:c r="B800" s="128" t="n">
        <x:v>2.450366641701738</x:v>
      </x:c>
      <x:c r="C800" s="128" t="n">
        <x:f>LN(B800)</x:f>
        <x:v>0.8962376630344189</x:v>
      </x:c>
      <x:c r="D800" s="128" t="n">
        <x:f>'Итоги'!$B$8*AVERAGE($C$2:C800)</x:f>
        <x:v>1.2817771485235039</x:v>
      </x:c>
      <x:c r="E800" s="128" t="n">
        <x:f>'Итоги'!$B$9</x:f>
        <x:v>1.2958368660043291</x:v>
      </x:c>
      <x:c r="F800" s="129" t="n">
        <x:f>ABS(D800-E800)</x:f>
        <x:v>0.01405971748082524</x:v>
      </x:c>
    </x:row>
    <x:row r="801">
      <x:c r="A801" s="107" t="n">
        <x:v>800</x:v>
      </x:c>
      <x:c r="B801" s="128" t="n">
        <x:v>2.4161824713671756</x:v>
      </x:c>
      <x:c r="C801" s="128" t="n">
        <x:f>LN(B801)</x:f>
        <x:v>0.8821888034487422</x:v>
      </x:c>
      <x:c r="D801" s="128" t="n">
        <x:f>'Итоги'!$B$8*AVERAGE($C$2:C801)</x:f>
        <x:v>1.2823803990964715</x:v>
      </x:c>
      <x:c r="E801" s="128" t="n">
        <x:f>'Итоги'!$B$9</x:f>
        <x:v>1.2958368660043291</x:v>
      </x:c>
      <x:c r="F801" s="129" t="n">
        <x:f>ABS(D801-E801)</x:f>
        <x:v>0.013456466907857623</x:v>
      </x:c>
    </x:row>
    <x:row r="802">
      <x:c r="A802" s="107" t="n">
        <x:v>801</x:v>
      </x:c>
      <x:c r="B802" s="128" t="n">
        <x:v>2.4771607729147656</x:v>
      </x:c>
      <x:c r="C802" s="128" t="n">
        <x:f>LN(B802)</x:f>
        <x:v>0.9071130547048016</x:v>
      </x:c>
      <x:c r="D802" s="128" t="n">
        <x:f>'Итоги'!$B$8*AVERAGE($C$2:C802)</x:f>
        <x:v>1.283044376262905</x:v>
      </x:c>
      <x:c r="E802" s="128" t="n">
        <x:f>'Итоги'!$B$9</x:f>
        <x:v>1.2958368660043291</x:v>
      </x:c>
      <x:c r="F802" s="129" t="n">
        <x:f>ABS(D802-E802)</x:f>
        <x:v>0.012792489741424218</x:v>
      </x:c>
    </x:row>
    <x:row r="803">
      <x:c r="A803" s="107" t="n">
        <x:v>802</x:v>
      </x:c>
      <x:c r="B803" s="128" t="n">
        <x:v>1.6343063422599575</x:v>
      </x:c>
      <x:c r="C803" s="128" t="n">
        <x:f>LN(B803)</x:f>
        <x:v>0.49121845882889337</x:v>
      </x:c>
      <x:c r="D803" s="128" t="n">
        <x:f>'Итоги'!$B$8*AVERAGE($C$2:C803)</x:f>
        <x:v>1.2826695539953175</x:v>
      </x:c>
      <x:c r="E803" s="128" t="n">
        <x:f>'Итоги'!$B$9</x:f>
        <x:v>1.2958368660043291</x:v>
      </x:c>
      <x:c r="F803" s="129" t="n">
        <x:f>ABS(D803-E803)</x:f>
        <x:v>0.013167312009011667</x:v>
      </x:c>
    </x:row>
    <x:row r="804">
      <x:c r="A804" s="107" t="n">
        <x:v>803</x:v>
      </x:c>
      <x:c r="B804" s="128" t="n">
        <x:v>2.7800389142353907</x:v>
      </x:c>
      <x:c r="C804" s="128" t="n">
        <x:f>LN(B804)</x:f>
        <x:v>1.0224649255309752</x:v>
      </x:c>
      <x:c r="D804" s="128" t="n">
        <x:f>'Итоги'!$B$8*AVERAGE($C$2:C804)</x:f>
        <x:v>1.283618819620556</x:v>
      </x:c>
      <x:c r="E804" s="128" t="n">
        <x:f>'Итоги'!$B$9</x:f>
        <x:v>1.2958368660043291</x:v>
      </x:c>
      <x:c r="F804" s="129" t="n">
        <x:f>ABS(D804-E804)</x:f>
        <x:v>0.012218046383773107</x:v>
      </x:c>
    </x:row>
    <x:row r="805">
      <x:c r="A805" s="107" t="n">
        <x:v>804</x:v>
      </x:c>
      <x:c r="B805" s="128" t="n">
        <x:v>2.187661096056895</x:v>
      </x:c>
      <x:c r="C805" s="128" t="n">
        <x:f>LN(B805)</x:f>
        <x:v>0.7828329804497762</x:v>
      </x:c>
      <x:c r="D805" s="128" t="n">
        <x:f>'Итоги'!$B$8*AVERAGE($C$2:C805)</x:f>
        <x:v>1.2839696245226446</x:v>
      </x:c>
      <x:c r="E805" s="128" t="n">
        <x:f>'Итоги'!$B$9</x:f>
        <x:v>1.2958368660043291</x:v>
      </x:c>
      <x:c r="F805" s="129" t="n">
        <x:f>ABS(D805-E805)</x:f>
        <x:v>0.011867241481684498</x:v>
      </x:c>
    </x:row>
    <x:row r="806">
      <x:c r="A806" s="107" t="n">
        <x:v>805</x:v>
      </x:c>
      <x:c r="B806" s="128" t="n">
        <x:v>1.252052683493253</x:v>
      </x:c>
      <x:c r="C806" s="128" t="n">
        <x:f>LN(B806)</x:f>
        <x:v>0.22478435126004534</x:v>
      </x:c>
      <x:c r="D806" s="128" t="n">
        <x:f>'Итоги'!$B$8*AVERAGE($C$2:C806)</x:f>
        <x:v>1.2829331016381693</x:v>
      </x:c>
      <x:c r="E806" s="128" t="n">
        <x:f>'Итоги'!$B$9</x:f>
        <x:v>1.2958368660043291</x:v>
      </x:c>
      <x:c r="F806" s="129" t="n">
        <x:f>ABS(D806-E806)</x:f>
        <x:v>0.012903764366159809</x:v>
      </x:c>
    </x:row>
    <x:row r="807">
      <x:c r="A807" s="107" t="n">
        <x:v>806</x:v>
      </x:c>
      <x:c r="B807" s="128" t="n">
        <x:v>1.2874373229110683</x:v>
      </x:c>
      <x:c r="C807" s="128" t="n">
        <x:f>LN(B807)</x:f>
        <x:v>0.2526536711366627</x:v>
      </x:c>
      <x:c r="D807" s="128" t="n">
        <x:f>'Итоги'!$B$8*AVERAGE($C$2:C807)</x:f>
        <x:v>1.2819683054106694</x:v>
      </x:c>
      <x:c r="E807" s="128" t="n">
        <x:f>'Итоги'!$B$9</x:f>
        <x:v>1.2958368660043291</x:v>
      </x:c>
      <x:c r="F807" s="129" t="n">
        <x:f>ABS(D807-E807)</x:f>
        <x:v>0.013868560593659707</x:v>
      </x:c>
    </x:row>
    <x:row r="808">
      <x:c r="A808" s="107" t="n">
        <x:v>807</x:v>
      </x:c>
      <x:c r="B808" s="128" t="n">
        <x:v>2.3861908538594028</x:v>
      </x:c>
      <x:c r="C808" s="128" t="n">
        <x:f>LN(B808)</x:f>
        <x:v>0.8696983095209468</x:v>
      </x:c>
      <x:c r="D808" s="128" t="n">
        <x:f>'Итоги'!$B$8*AVERAGE($C$2:C808)</x:f>
        <x:v>1.2825351310781181</x:v>
      </x:c>
      <x:c r="E808" s="128" t="n">
        <x:f>'Итоги'!$B$9</x:f>
        <x:v>1.2958368660043291</x:v>
      </x:c>
      <x:c r="F808" s="129" t="n">
        <x:f>ABS(D808-E808)</x:f>
        <x:v>0.013301734926211006</x:v>
      </x:c>
    </x:row>
    <x:row r="809">
      <x:c r="A809" s="107" t="n">
        <x:v>808</x:v>
      </x:c>
      <x:c r="B809" s="128" t="n">
        <x:v>1.3458878728841561</x:v>
      </x:c>
      <x:c r="C809" s="128" t="n">
        <x:f>LN(B809)</x:f>
        <x:v>0.2970539238032054</x:v>
      </x:c>
      <x:c r="D809" s="128" t="n">
        <x:f>'Итоги'!$B$8*AVERAGE($C$2:C809)</x:f>
        <x:v>1.2816831171134255</x:v>
      </x:c>
      <x:c r="E809" s="128" t="n">
        <x:f>'Итоги'!$B$9</x:f>
        <x:v>1.2958368660043291</x:v>
      </x:c>
      <x:c r="F809" s="129" t="n">
        <x:f>ABS(D809-E809)</x:f>
        <x:v>0.014153748890903595</x:v>
      </x:c>
    </x:row>
    <x:row r="810">
      <x:c r="A810" s="107" t="n">
        <x:v>809</x:v>
      </x:c>
      <x:c r="B810" s="128" t="n">
        <x:v>2.0145854031640864</x:v>
      </x:c>
      <x:c r="C810" s="128" t="n">
        <x:f>LN(B810)</x:f>
        <x:v>0.700413418974575</x:v>
      </x:c>
      <x:c r="D810" s="128" t="n">
        <x:f>'Итоги'!$B$8*AVERAGE($C$2:C810)</x:f>
        <x:v>1.2818303899451136</x:v>
      </x:c>
      <x:c r="E810" s="128" t="n">
        <x:f>'Итоги'!$B$9</x:f>
        <x:v>1.2958368660043291</x:v>
      </x:c>
      <x:c r="F810" s="129" t="n">
        <x:f>ABS(D810-E810)</x:f>
        <x:v>0.014006476059215567</x:v>
      </x:c>
    </x:row>
    <x:row r="811">
      <x:c r="A811" s="107" t="n">
        <x:v>810</x:v>
      </x:c>
      <x:c r="B811" s="128" t="n">
        <x:v>2.983548951857421</x:v>
      </x:c>
      <x:c r="C811" s="128" t="n">
        <x:f>LN(B811)</x:f>
        <x:v>1.0931135153726041</x:v>
      </x:c>
      <x:c r="D811" s="128" t="n">
        <x:f>'Итоги'!$B$8*AVERAGE($C$2:C811)</x:f>
        <x:v>1.2829469290078297</x:v>
      </x:c>
      <x:c r="E811" s="128" t="n">
        <x:f>'Итоги'!$B$9</x:f>
        <x:v>1.2958368660043291</x:v>
      </x:c>
      <x:c r="F811" s="129" t="n">
        <x:f>ABS(D811-E811)</x:f>
        <x:v>0.01288993699649943</x:v>
      </x:c>
    </x:row>
    <x:row r="812">
      <x:c r="A812" s="107" t="n">
        <x:v>811</x:v>
      </x:c>
      <x:c r="B812" s="128" t="n">
        <x:v>1.008015209466679</x:v>
      </x:c>
      <x:c r="C812" s="128" t="n">
        <x:f>LN(B812)</x:f>
        <x:v>0.007983258291968718</x:v>
      </x:c>
      <x:c r="D812" s="128" t="n">
        <x:f>'Итоги'!$B$8*AVERAGE($C$2:C812)</x:f>
        <x:v>1.2813846843562589</x:v>
      </x:c>
      <x:c r="E812" s="128" t="n">
        <x:f>'Итоги'!$B$9</x:f>
        <x:v>1.2958368660043291</x:v>
      </x:c>
      <x:c r="F812" s="129" t="n">
        <x:f>ABS(D812-E812)</x:f>
        <x:v>0.014452181648070273</x:v>
      </x:c>
    </x:row>
    <x:row r="813">
      <x:c r="A813" s="107" t="n">
        <x:v>812</x:v>
      </x:c>
      <x:c r="B813" s="128" t="n">
        <x:v>1.0331596037951138</x:v>
      </x:c>
      <x:c r="C813" s="128" t="n">
        <x:f>LN(B813)</x:f>
        <x:v>0.03262168332877108</x:v>
      </x:c>
      <x:c r="D813" s="128" t="n">
        <x:f>'Итоги'!$B$8*AVERAGE($C$2:C813)</x:f>
        <x:v>1.2798869733738711</x:v>
      </x:c>
      <x:c r="E813" s="128" t="n">
        <x:f>'Итоги'!$B$9</x:f>
        <x:v>1.2958368660043291</x:v>
      </x:c>
      <x:c r="F813" s="129" t="n">
        <x:f>ABS(D813-E813)</x:f>
        <x:v>0.015949892630457985</x:v>
      </x:c>
    </x:row>
    <x:row r="814">
      <x:c r="A814" s="107" t="n">
        <x:v>813</x:v>
      </x:c>
      <x:c r="B814" s="128" t="n">
        <x:v>2.986169163861013</x:v>
      </x:c>
      <x:c r="C814" s="128" t="n">
        <x:f>LN(B814)</x:f>
        <x:v>1.0939913498435325</x:v>
      </x:c>
      <x:c r="D814" s="128" t="n">
        <x:f>'Итоги'!$B$8*AVERAGE($C$2:C814)</x:f>
        <x:v>1.2810039422869257</x:v>
      </x:c>
      <x:c r="E814" s="128" t="n">
        <x:f>'Итоги'!$B$9</x:f>
        <x:v>1.2958368660043291</x:v>
      </x:c>
      <x:c r="F814" s="129" t="n">
        <x:f>ABS(D814-E814)</x:f>
        <x:v>0.014832923717403412</x:v>
      </x:c>
    </x:row>
    <x:row r="815">
      <x:c r="A815" s="107" t="n">
        <x:v>814</x:v>
      </x:c>
      <x:c r="B815" s="128" t="n">
        <x:v>2.169277668268331</x:v>
      </x:c>
      <x:c r="C815" s="128" t="n">
        <x:f>LN(B815)</x:f>
        <x:v>0.7743942403725184</x:v>
      </x:c>
      <x:c r="D815" s="128" t="n">
        <x:f>'Итоги'!$B$8*AVERAGE($C$2:C815)</x:f>
        <x:v>1.281332915921395</x:v>
      </x:c>
      <x:c r="E815" s="128" t="n">
        <x:f>'Итоги'!$B$9</x:f>
        <x:v>1.2958368660043291</x:v>
      </x:c>
      <x:c r="F815" s="129" t="n">
        <x:f>ABS(D815-E815)</x:f>
        <x:v>0.014503950082934036</x:v>
      </x:c>
    </x:row>
    <x:row r="816">
      <x:c r="A816" s="107" t="n">
        <x:v>815</x:v>
      </x:c>
      <x:c r="B816" s="128" t="n">
        <x:v>1.2538199510370263</x:v>
      </x:c>
      <x:c r="C816" s="128" t="n">
        <x:f>LN(B816)</x:f>
        <x:v>0.22619485218688481</x:v>
      </x:c>
      <x:c r="D816" s="128" t="n">
        <x:f>'Итоги'!$B$8*AVERAGE($C$2:C816)</x:f>
        <x:v>1.2803158076863672</x:v>
      </x:c>
      <x:c r="E816" s="128" t="n">
        <x:f>'Итоги'!$B$9</x:f>
        <x:v>1.2958368660043291</x:v>
      </x:c>
      <x:c r="F816" s="129" t="n">
        <x:f>ABS(D816-E816)</x:f>
        <x:v>0.015521058317961911</x:v>
      </x:c>
    </x:row>
    <x:row r="817">
      <x:c r="A817" s="107" t="n">
        <x:v>816</x:v>
      </x:c>
      <x:c r="B817" s="128" t="n">
        <x:v>2.794604399508187</x:v>
      </x:c>
      <x:c r="C817" s="128" t="n">
        <x:f>LN(B817)</x:f>
        <x:v>1.0276905579520241</x:v>
      </x:c>
      <x:c r="D817" s="128" t="n">
        <x:f>'Итоги'!$B$8*AVERAGE($C$2:C817)</x:f>
        <x:v>1.2812656426229085</x:v>
      </x:c>
      <x:c r="E817" s="128" t="n">
        <x:f>'Итоги'!$B$9</x:f>
        <x:v>1.2958368660043291</x:v>
      </x:c>
      <x:c r="F817" s="129" t="n">
        <x:f>ABS(D817-E817)</x:f>
        <x:v>0.014571223381420584</x:v>
      </x:c>
    </x:row>
    <x:row r="818">
      <x:c r="A818" s="107" t="n">
        <x:v>817</x:v>
      </x:c>
      <x:c r="B818" s="128" t="n">
        <x:v>2.7607606002553844</x:v>
      </x:c>
      <x:c r="C818" s="128" t="n">
        <x:f>LN(B818)</x:f>
        <x:v>1.015506221566595</x:v>
      </x:c>
      <x:c r="D818" s="128" t="n">
        <x:f>'Итоги'!$B$8*AVERAGE($C$2:C818)</x:f>
        <x:v>1.2821833253652715</x:v>
      </x:c>
      <x:c r="E818" s="128" t="n">
        <x:f>'Итоги'!$B$9</x:f>
        <x:v>1.2958368660043291</x:v>
      </x:c>
      <x:c r="F818" s="129" t="n">
        <x:f>ABS(D818-E818)</x:f>
        <x:v>0.01365354063905766</x:v>
      </x:c>
    </x:row>
    <x:row r="819">
      <x:c r="A819" s="107" t="n">
        <x:v>818</x:v>
      </x:c>
      <x:c r="B819" s="128" t="n">
        <x:v>2.0724008262227507</x:v>
      </x:c>
      <x:c r="C819" s="128" t="n">
        <x:f>LN(B819)</x:f>
        <x:v>0.7287077546376054</x:v>
      </x:c>
      <x:c r="D819" s="128" t="n">
        <x:f>'Итоги'!$B$8*AVERAGE($C$2:C819)</x:f>
        <x:v>1.282397545639</x:v>
      </x:c>
      <x:c r="E819" s="128" t="n">
        <x:f>'Итоги'!$B$9</x:f>
        <x:v>1.2958368660043291</x:v>
      </x:c>
      <x:c r="F819" s="129" t="n">
        <x:f>ABS(D819-E819)</x:f>
        <x:v>0.013439320365329133</x:v>
      </x:c>
    </x:row>
    <x:row r="820">
      <x:c r="A820" s="107" t="n">
        <x:v>819</x:v>
      </x:c>
      <x:c r="B820" s="128" t="n">
        <x:v>2.2435840597215133</x:v>
      </x:c>
      <x:c r="C820" s="128" t="n">
        <x:f>LN(B820)</x:f>
        <x:v>0.8080746138494449</x:v>
      </x:c>
      <x:c r="D820" s="128" t="n">
        <x:f>'Итоги'!$B$8*AVERAGE($C$2:C820)</x:f>
        <x:v>1.2828050568503064</x:v>
      </x:c>
      <x:c r="E820" s="128" t="n">
        <x:f>'Итоги'!$B$9</x:f>
        <x:v>1.2958368660043291</x:v>
      </x:c>
      <x:c r="F820" s="129" t="n">
        <x:f>ABS(D820-E820)</x:f>
        <x:v>0.013031809154022689</x:v>
      </x:c>
    </x:row>
    <x:row r="821">
      <x:c r="A821" s="107" t="n">
        <x:v>820</x:v>
      </x:c>
      <x:c r="B821" s="128" t="n">
        <x:v>1.5463743830017527</x:v>
      </x:c>
      <x:c r="C821" s="128" t="n">
        <x:f>LN(B821)</x:f>
        <x:v>0.4359130832042566</x:v>
      </x:c>
      <x:c r="D821" s="128" t="n">
        <x:f>'Итоги'!$B$8*AVERAGE($C$2:C821)</x:f>
        <x:v>1.282303863081475</x:v>
      </x:c>
      <x:c r="E821" s="128" t="n">
        <x:f>'Итоги'!$B$9</x:f>
        <x:v>1.2958368660043291</x:v>
      </x:c>
      <x:c r="F821" s="129" t="n">
        <x:f>ABS(D821-E821)</x:f>
        <x:v>0.013533002922854198</x:v>
      </x:c>
    </x:row>
    <x:row r="822">
      <x:c r="A822" s="107" t="n">
        <x:v>821</x:v>
      </x:c>
      <x:c r="B822" s="128" t="n">
        <x:v>1.1010393927440103</x:v>
      </x:c>
      <x:c r="C822" s="128" t="n">
        <x:f>LN(B822)</x:f>
        <x:v>0.09625463615953424</x:v>
      </x:c>
      <x:c r="D822" s="128" t="n">
        <x:f>'Итоги'!$B$8*AVERAGE($C$2:C822)</x:f>
        <x:v>1.280976464067148</x:v>
      </x:c>
      <x:c r="E822" s="128" t="n">
        <x:f>'Итоги'!$B$9</x:f>
        <x:v>1.2958368660043291</x:v>
      </x:c>
      <x:c r="F822" s="129" t="n">
        <x:f>ABS(D822-E822)</x:f>
        <x:v>0.014860401937181189</x:v>
      </x:c>
    </x:row>
    <x:row r="823">
      <x:c r="A823" s="107" t="n">
        <x:v>822</x:v>
      </x:c>
      <x:c r="B823" s="128" t="n">
        <x:v>2.189135217781729</x:v>
      </x:c>
      <x:c r="C823" s="128" t="n">
        <x:f>LN(B823)</x:f>
        <x:v>0.7835065881184323</x:v>
      </x:c>
      <x:c r="D823" s="128" t="n">
        <x:f>'Итоги'!$B$8*AVERAGE($C$2:C823)</x:f>
        <x:v>1.2813244406026345</x:v>
      </x:c>
      <x:c r="E823" s="128" t="n">
        <x:f>'Итоги'!$B$9</x:f>
        <x:v>1.2958368660043291</x:v>
      </x:c>
      <x:c r="F823" s="129" t="n">
        <x:f>ABS(D823-E823)</x:f>
        <x:v>0.014512425401694617</x:v>
      </x:c>
    </x:row>
    <x:row r="824">
      <x:c r="A824" s="107" t="n">
        <x:v>823</x:v>
      </x:c>
      <x:c r="B824" s="128" t="n">
        <x:v>1.589510386405526</x:v>
      </x:c>
      <x:c r="C824" s="128" t="n">
        <x:f>LN(B824)</x:f>
        <x:v>0.463426035732729</x:v>
      </x:c>
      <x:c r="D824" s="128" t="n">
        <x:f>'Итоги'!$B$8*AVERAGE($C$2:C824)</x:f>
        <x:v>1.2808937329852137</x:v>
      </x:c>
      <x:c r="E824" s="128" t="n">
        <x:f>'Итоги'!$B$9</x:f>
        <x:v>1.2958368660043291</x:v>
      </x:c>
      <x:c r="F824" s="129" t="n">
        <x:f>ABS(D824-E824)</x:f>
        <x:v>0.014943133019115429</x:v>
      </x:c>
    </x:row>
    <x:row r="825">
      <x:c r="A825" s="107" t="n">
        <x:v>824</x:v>
      </x:c>
      <x:c r="B825" s="128" t="n">
        <x:v>2.327242093320704</x:v>
      </x:c>
      <x:c r="C825" s="128" t="n">
        <x:f>LN(B825)</x:f>
        <x:v>0.8446839155742529</x:v>
      </x:c>
      <x:c r="D825" s="128" t="n">
        <x:f>'Итоги'!$B$8*AVERAGE($C$2:C825)</x:f>
        <x:v>1.2813894539781303</x:v>
      </x:c>
      <x:c r="E825" s="128" t="n">
        <x:f>'Итоги'!$B$9</x:f>
        <x:v>1.2958368660043291</x:v>
      </x:c>
      <x:c r="F825" s="129" t="n">
        <x:f>ABS(D825-E825)</x:f>
        <x:v>0.014447412026198814</x:v>
      </x:c>
    </x:row>
    <x:row r="826">
      <x:c r="A826" s="107" t="n">
        <x:v>825</x:v>
      </x:c>
      <x:c r="B826" s="128" t="n">
        <x:v>2.6724903536852027</x:v>
      </x:c>
      <x:c r="C826" s="128" t="n">
        <x:f>LN(B826)</x:f>
        <x:v>0.9830107544382208</x:v>
      </x:c>
      <x:c r="D826" s="128" t="n">
        <x:f>'Итоги'!$B$8*AVERAGE($C$2:C826)</x:f>
        <x:v>1.2822193110143707</x:v>
      </x:c>
      <x:c r="E826" s="128" t="n">
        <x:f>'Итоги'!$B$9</x:f>
        <x:v>1.2958368660043291</x:v>
      </x:c>
      <x:c r="F826" s="129" t="n">
        <x:f>ABS(D826-E826)</x:f>
        <x:v>0.013617554989958425</x:v>
      </x:c>
    </x:row>
    <x:row r="827">
      <x:c r="A827" s="107" t="n">
        <x:v>826</x:v>
      </x:c>
      <x:c r="B827" s="128" t="n">
        <x:v>1.0363210878287281</x:v>
      </x:c>
      <x:c r="C827" s="128" t="n">
        <x:f>LN(B827)</x:f>
        <x:v>0.03567702615541603</x:v>
      </x:c>
      <x:c r="D827" s="128" t="n">
        <x:f>'Итоги'!$B$8*AVERAGE($C$2:C827)</x:f>
        <x:v>1.2807533724445117</x:v>
      </x:c>
      <x:c r="E827" s="128" t="n">
        <x:f>'Итоги'!$B$9</x:f>
        <x:v>1.2958368660043291</x:v>
      </x:c>
      <x:c r="F827" s="129" t="n">
        <x:f>ABS(D827-E827)</x:f>
        <x:v>0.015083493559817418</x:v>
      </x:c>
    </x:row>
    <x:row r="828">
      <x:c r="A828" s="107" t="n">
        <x:v>827</x:v>
      </x:c>
      <x:c r="B828" s="128" t="n">
        <x:v>2.191427549371455</x:v>
      </x:c>
      <x:c r="C828" s="128" t="n">
        <x:f>LN(B828)</x:f>
        <x:v>0.7845531804951734</x:v>
      </x:c>
      <x:c r="D828" s="128" t="n">
        <x:f>'Итоги'!$B$8*AVERAGE($C$2:C828)</x:f>
        <x:v>1.281102045949404</x:v>
      </x:c>
      <x:c r="E828" s="128" t="n">
        <x:f>'Итоги'!$B$9</x:f>
        <x:v>1.2958368660043291</x:v>
      </x:c>
      <x:c r="F828" s="129" t="n">
        <x:f>ABS(D828-E828)</x:f>
        <x:v>0.014734820054925102</x:v>
      </x:c>
    </x:row>
    <x:row r="829">
      <x:c r="A829" s="107" t="n">
        <x:v>828</x:v>
      </x:c>
      <x:c r="B829" s="128" t="n">
        <x:v>1.4625610793737045</x:v>
      </x:c>
      <x:c r="C829" s="128" t="n">
        <x:f>LN(B829)</x:f>
        <x:v>0.3801890629261244</x:v>
      </x:c>
      <x:c r="D829" s="128" t="n">
        <x:f>'Итоги'!$B$8*AVERAGE($C$2:C829)</x:f>
        <x:v>1.2804731523260982</x:v>
      </x:c>
      <x:c r="E829" s="128" t="n">
        <x:f>'Итоги'!$B$9</x:f>
        <x:v>1.2958368660043291</x:v>
      </x:c>
      <x:c r="F829" s="129" t="n">
        <x:f>ABS(D829-E829)</x:f>
        <x:v>0.015363713678230972</x:v>
      </x:c>
    </x:row>
    <x:row r="830">
      <x:c r="A830" s="107" t="n">
        <x:v>829</x:v>
      </x:c>
      <x:c r="B830" s="128" t="n">
        <x:v>2.7477769958076026</x:v>
      </x:c>
      <x:c r="C830" s="128" t="n">
        <x:f>LN(B830)</x:f>
        <x:v>1.0107922196143082</x:v>
      </x:c>
      <x:c r="D830" s="128" t="n">
        <x:f>'Итоги'!$B$8*AVERAGE($C$2:C830)</x:f>
        <x:v>1.2813671345780917</x:v>
      </x:c>
      <x:c r="E830" s="128" t="n">
        <x:f>'Итоги'!$B$9</x:f>
        <x:v>1.2958368660043291</x:v>
      </x:c>
      <x:c r="F830" s="129" t="n">
        <x:f>ABS(D830-E830)</x:f>
        <x:v>0.01446973142623742</x:v>
      </x:c>
    </x:row>
    <x:row r="831">
      <x:c r="A831" s="107" t="n">
        <x:v>830</x:v>
      </x:c>
      <x:c r="B831" s="128" t="n">
        <x:v>1.507329013123657</x:v>
      </x:c>
      <x:c r="C831" s="128" t="n">
        <x:f>LN(B831)</x:f>
        <x:v>0.4103392190559562</x:v>
      </x:c>
      <x:c r="D831" s="128" t="n">
        <x:f>'Итоги'!$B$8*AVERAGE($C$2:C831)</x:f>
        <x:v>1.2808120879558431</x:v>
      </x:c>
      <x:c r="E831" s="128" t="n">
        <x:f>'Итоги'!$B$9</x:f>
        <x:v>1.2958368660043291</x:v>
      </x:c>
      <x:c r="F831" s="129" t="n">
        <x:f>ABS(D831-E831)</x:f>
        <x:v>0.01502477804848601</x:v>
      </x:c>
    </x:row>
    <x:row r="832">
      <x:c r="A832" s="107" t="n">
        <x:v>831</x:v>
      </x:c>
      <x:c r="B832" s="128" t="n">
        <x:v>2.2215402664708366</x:v>
      </x:c>
      <x:c r="C832" s="128" t="n">
        <x:f>LN(B832)</x:f>
        <x:v>0.7982007690323181</x:v>
      </x:c>
      <x:c r="D832" s="128" t="n">
        <x:f>'Итоги'!$B$8*AVERAGE($C$2:C832)</x:f>
        <x:v>1.2811918586539282</x:v>
      </x:c>
      <x:c r="E832" s="128" t="n">
        <x:f>'Итоги'!$B$9</x:f>
        <x:v>1.2958368660043291</x:v>
      </x:c>
      <x:c r="F832" s="129" t="n">
        <x:f>ABS(D832-E832)</x:f>
        <x:v>0.014645007350400974</x:v>
      </x:c>
    </x:row>
    <x:row r="833">
      <x:c r="A833" s="107" t="n">
        <x:v>832</x:v>
      </x:c>
      <x:c r="B833" s="128" t="n">
        <x:v>2.107081680179223</x:v>
      </x:c>
      <x:c r="C833" s="128" t="n">
        <x:f>LN(B833)</x:f>
        <x:v>0.7453039001737619</x:v>
      </x:c>
      <x:c r="D833" s="128" t="n">
        <x:f>'Итоги'!$B$8*AVERAGE($C$2:C833)</x:f>
        <x:v>1.2814435605069254</x:v>
      </x:c>
      <x:c r="E833" s="128" t="n">
        <x:f>'Итоги'!$B$9</x:f>
        <x:v>1.2958368660043291</x:v>
      </x:c>
      <x:c r="F833" s="129" t="n">
        <x:f>ABS(D833-E833)</x:f>
        <x:v>0.014393305497403697</x:v>
      </x:c>
    </x:row>
    <x:row r="834">
      <x:c r="A834" s="107" t="n">
        <x:v>833</x:v>
      </x:c>
      <x:c r="B834" s="128" t="n">
        <x:v>1.7923330001184978</x:v>
      </x:c>
      <x:c r="C834" s="128" t="n">
        <x:f>LN(B834)</x:f>
        <x:v>0.5835181232482171</x:v>
      </x:c>
      <x:c r="D834" s="128" t="n">
        <x:f>'Итоги'!$B$8*AVERAGE($C$2:C834)</x:f>
        <x:v>1.2813062167926272</x:v>
      </x:c>
      <x:c r="E834" s="128" t="n">
        <x:f>'Итоги'!$B$9</x:f>
        <x:v>1.2958368660043291</x:v>
      </x:c>
      <x:c r="F834" s="129" t="n">
        <x:f>ABS(D834-E834)</x:f>
        <x:v>0.014530649211701885</x:v>
      </x:c>
    </x:row>
    <x:row r="835">
      <x:c r="A835" s="107" t="n">
        <x:v>834</x:v>
      </x:c>
      <x:c r="B835" s="128" t="n">
        <x:v>2.3552415271995883</x:v>
      </x:c>
      <x:c r="C835" s="128" t="n">
        <x:f>LN(B835)</x:f>
        <x:v>0.8566432815299532</x:v>
      </x:c>
      <x:c r="D835" s="128" t="n">
        <x:f>'Итоги'!$B$8*AVERAGE($C$2:C835)</x:f>
        <x:v>1.2818241788385112</x:v>
      </x:c>
      <x:c r="E835" s="128" t="n">
        <x:f>'Итоги'!$B$9</x:f>
        <x:v>1.2958368660043291</x:v>
      </x:c>
      <x:c r="F835" s="129" t="n">
        <x:f>ABS(D835-E835)</x:f>
        <x:v>0.014012687165817939</x:v>
      </x:c>
    </x:row>
    <x:row r="836">
      <x:c r="A836" s="107" t="n">
        <x:v>835</x:v>
      </x:c>
      <x:c r="B836" s="128" t="n">
        <x:v>2.4515392694308678</x:v>
      </x:c>
      <x:c r="C836" s="128" t="n">
        <x:f>LN(B836)</x:f>
        <x:v>0.8967161005127209</x:v>
      </x:c>
      <x:c r="D836" s="128" t="n">
        <x:f>'Итоги'!$B$8*AVERAGE($C$2:C836)</x:f>
        <x:v>1.2824368830566992</x:v>
      </x:c>
      <x:c r="E836" s="128" t="n">
        <x:f>'Итоги'!$B$9</x:f>
        <x:v>1.2958368660043291</x:v>
      </x:c>
      <x:c r="F836" s="129" t="n">
        <x:f>ABS(D836-E836)</x:f>
        <x:v>0.013399982947629896</x:v>
      </x:c>
    </x:row>
    <x:row r="837">
      <x:c r="A837" s="107" t="n">
        <x:v>836</x:v>
      </x:c>
      <x:c r="B837" s="128" t="n">
        <x:v>2.1338755906387736</x:v>
      </x:c>
      <x:c r="C837" s="128" t="n">
        <x:f>LN(B837)</x:f>
        <x:v>0.7579398525103875</x:v>
      </x:c>
      <x:c r="D837" s="128" t="n">
        <x:f>'Итоги'!$B$8*AVERAGE($C$2:C837)</x:f>
        <x:v>1.2827161208820153</x:v>
      </x:c>
      <x:c r="E837" s="128" t="n">
        <x:f>'Итоги'!$B$9</x:f>
        <x:v>1.2958368660043291</x:v>
      </x:c>
      <x:c r="F837" s="129" t="n">
        <x:f>ABS(D837-E837)</x:f>
        <x:v>0.01312074512231387</x:v>
      </x:c>
    </x:row>
    <x:row r="838">
      <x:c r="A838" s="107" t="n">
        <x:v>837</x:v>
      </x:c>
      <x:c r="B838" s="128" t="n">
        <x:v>2.516844474369508</x:v>
      </x:c>
      <x:c r="C838" s="128" t="n">
        <x:f>LN(B838)</x:f>
        <x:v>0.923005924164438</x:v>
      </x:c>
      <x:c r="D838" s="128" t="n">
        <x:f>'Итоги'!$B$8*AVERAGE($C$2:C838)</x:f>
        <x:v>1.2833891145826684</x:v>
      </x:c>
      <x:c r="E838" s="128" t="n">
        <x:f>'Итоги'!$B$9</x:f>
        <x:v>1.2958368660043291</x:v>
      </x:c>
      <x:c r="F838" s="129" t="n">
        <x:f>ABS(D838-E838)</x:f>
        <x:v>0.012447751421660769</x:v>
      </x:c>
    </x:row>
    <x:row r="839">
      <x:c r="A839" s="107" t="n">
        <x:v>838</x:v>
      </x:c>
      <x:c r="B839" s="128" t="n">
        <x:v>2.966834151985875</x:v>
      </x:c>
      <x:c r="C839" s="128" t="n">
        <x:f>LN(B839)</x:f>
        <x:v>1.0874954422019958</x:v>
      </x:c>
      <x:c r="D839" s="128" t="n">
        <x:f>'Итоги'!$B$8*AVERAGE($C$2:C839)</x:f>
        <x:v>1.2844530785084696</x:v>
      </x:c>
      <x:c r="E839" s="128" t="n">
        <x:f>'Итоги'!$B$9</x:f>
        <x:v>1.2958368660043291</x:v>
      </x:c>
      <x:c r="F839" s="129" t="n">
        <x:f>ABS(D839-E839)</x:f>
        <x:v>0.011383787495859554</x:v>
      </x:c>
    </x:row>
    <x:row r="840">
      <x:c r="A840" s="107" t="n">
        <x:v>839</x:v>
      </x:c>
      <x:c r="B840" s="128" t="n">
        <x:v>1.8385447758016102</x:v>
      </x:c>
      <x:c r="C840" s="128" t="n">
        <x:f>LN(B840)</x:f>
        <x:v>0.6089743759916467</x:v>
      </x:c>
      <x:c r="D840" s="128" t="n">
        <x:f>'Итоги'!$B$8*AVERAGE($C$2:C840)</x:f>
        <x:v>1.2843738123266757</x:v>
      </x:c>
      <x:c r="E840" s="128" t="n">
        <x:f>'Итоги'!$B$9</x:f>
        <x:v>1.2958368660043291</x:v>
      </x:c>
      <x:c r="F840" s="129" t="n">
        <x:f>ABS(D840-E840)</x:f>
        <x:v>0.011463053677653434</x:v>
      </x:c>
    </x:row>
    <x:row r="841">
      <x:c r="A841" s="107" t="n">
        <x:v>840</x:v>
      </x:c>
      <x:c r="B841" s="128" t="n">
        <x:v>2.029166103771062</x:v>
      </x:c>
      <x:c r="C841" s="128" t="n">
        <x:f>LN(B841)</x:f>
        <x:v>0.7076249223382086</x:v>
      </x:c>
      <x:c r="D841" s="128" t="n">
        <x:f>'Итоги'!$B$8*AVERAGE($C$2:C841)</x:f>
        <x:v>1.2845296171270921</x:v>
      </x:c>
      <x:c r="E841" s="128" t="n">
        <x:f>'Итоги'!$B$9</x:f>
        <x:v>1.2958368660043291</x:v>
      </x:c>
      <x:c r="F841" s="129" t="n">
        <x:f>ABS(D841-E841)</x:f>
        <x:v>0.011307248877236997</x:v>
      </x:c>
    </x:row>
    <x:row r="842">
      <x:c r="A842" s="107" t="n">
        <x:v>841</x:v>
      </x:c>
      <x:c r="B842" s="128" t="n">
        <x:v>1.0249397558824265</x:v>
      </x:c>
      <x:c r="C842" s="128" t="n">
        <x:f>LN(B842)</x:f>
        <x:v>0.024633836114216046</x:v>
      </x:c>
      <x:c r="D842" s="128" t="n">
        <x:f>'Итоги'!$B$8*AVERAGE($C$2:C842)</x:f>
        <x:v>1.283060815765738</x:v>
      </x:c>
      <x:c r="E842" s="128" t="n">
        <x:f>'Итоги'!$B$9</x:f>
        <x:v>1.2958368660043291</x:v>
      </x:c>
      <x:c r="F842" s="129" t="n">
        <x:f>ABS(D842-E842)</x:f>
        <x:v>0.012776050238591186</x:v>
      </x:c>
    </x:row>
    <x:row r="843">
      <x:c r="A843" s="107" t="n">
        <x:v>842</x:v>
      </x:c>
      <x:c r="B843" s="128" t="n">
        <x:v>2.5920571126207568</x:v>
      </x:c>
      <x:c r="C843" s="128" t="n">
        <x:f>LN(B843)</x:f>
        <x:v>0.9524518124373859</x:v>
      </x:c>
      <x:c r="D843" s="128" t="n">
        <x:f>'Итоги'!$B$8*AVERAGE($C$2:C843)</x:f>
        <x:v>1.2837993464178865</x:v>
      </x:c>
      <x:c r="E843" s="128" t="n">
        <x:f>'Итоги'!$B$9</x:f>
        <x:v>1.2958368660043291</x:v>
      </x:c>
      <x:c r="F843" s="129" t="n">
        <x:f>ABS(D843-E843)</x:f>
        <x:v>0.012037519586442613</x:v>
      </x:c>
    </x:row>
    <x:row r="844">
      <x:c r="A844" s="107" t="n">
        <x:v>843</x:v>
      </x:c>
      <x:c r="B844" s="128" t="n">
        <x:v>2.0404601340919877</x:v>
      </x:c>
      <x:c r="C844" s="128" t="n">
        <x:f>LN(B844)</x:f>
        <x:v>0.7131753383496562</x:v>
      </x:c>
      <x:c r="D844" s="128" t="n">
        <x:f>'Итоги'!$B$8*AVERAGE($C$2:C844)</x:f>
        <x:v>1.2839684464538075</x:v>
      </x:c>
      <x:c r="E844" s="128" t="n">
        <x:f>'Итоги'!$B$9</x:f>
        <x:v>1.2958368660043291</x:v>
      </x:c>
      <x:c r="F844" s="129" t="n">
        <x:f>ABS(D844-E844)</x:f>
        <x:v>0.011868419550521647</x:v>
      </x:c>
    </x:row>
    <x:row r="845">
      <x:c r="A845" s="107" t="n">
        <x:v>844</x:v>
      </x:c>
      <x:c r="B845" s="128" t="n">
        <x:v>1.8159228607211304</x:v>
      </x:c>
      <x:c r="C845" s="128" t="n">
        <x:f>LN(B845)</x:f>
        <x:v>0.5965938017004337</x:v>
      </x:c>
      <x:c r="D845" s="128" t="n">
        <x:f>'Итоги'!$B$8*AVERAGE($C$2:C845)</x:f>
        <x:v>1.2838608862132235</x:v>
      </x:c>
      <x:c r="E845" s="128" t="n">
        <x:f>'Итоги'!$B$9</x:f>
        <x:v>1.2958368660043291</x:v>
      </x:c>
      <x:c r="F845" s="129" t="n">
        <x:f>ABS(D845-E845)</x:f>
        <x:v>0.011975979791105651</x:v>
      </x:c>
    </x:row>
    <x:row r="846">
      <x:c r="A846" s="107" t="n">
        <x:v>845</x:v>
      </x:c>
      <x:c r="B846" s="128" t="n">
        <x:v>1.1881439261787916</x:v>
      </x:c>
      <x:c r="C846" s="128" t="n">
        <x:f>LN(B846)</x:f>
        <x:v>0.17239236358453458</x:v>
      </x:c>
      <x:c r="D846" s="128" t="n">
        <x:f>'Итоги'!$B$8*AVERAGE($C$2:C846)</x:f>
        <x:v>1.282749553480627</x:v>
      </x:c>
      <x:c r="E846" s="128" t="n">
        <x:f>'Итоги'!$B$9</x:f>
        <x:v>1.2958368660043291</x:v>
      </x:c>
      <x:c r="F846" s="129" t="n">
        <x:f>ABS(D846-E846)</x:f>
        <x:v>0.0130873125237021</x:v>
      </x:c>
    </x:row>
    <x:row r="847">
      <x:c r="A847" s="107" t="n">
        <x:v>846</x:v>
      </x:c>
      <x:c r="B847" s="128" t="n">
        <x:v>2.7793128433507945</x:v>
      </x:c>
      <x:c r="C847" s="128" t="n">
        <x:f>LN(B847)</x:f>
        <x:v>1.0222037184980748</x:v>
      </x:c>
      <x:c r="D847" s="128" t="n">
        <x:f>'Итоги'!$B$8*AVERAGE($C$2:C847)</x:f>
        <x:v>1.2836498583074774</x:v>
      </x:c>
      <x:c r="E847" s="128" t="n">
        <x:f>'Итоги'!$B$9</x:f>
        <x:v>1.2958368660043291</x:v>
      </x:c>
      <x:c r="F847" s="129" t="n">
        <x:f>ABS(D847-E847)</x:f>
        <x:v>0.01218700769685177</x:v>
      </x:c>
    </x:row>
    <x:row r="848">
      <x:c r="A848" s="107" t="n">
        <x:v>847</x:v>
      </x:c>
      <x:c r="B848" s="128" t="n">
        <x:v>1.7900144800811129</x:v>
      </x:c>
      <x:c r="C848" s="128" t="n">
        <x:f>LN(B848)</x:f>
        <x:v>0.5822237092507336</x:v>
      </x:c>
      <x:c r="D848" s="128" t="n">
        <x:f>'Итоги'!$B$8*AVERAGE($C$2:C848)</x:f>
        <x:v>1.2835091234316733</x:v>
      </x:c>
      <x:c r="E848" s="128" t="n">
        <x:f>'Итоги'!$B$9</x:f>
        <x:v>1.2958368660043291</x:v>
      </x:c>
      <x:c r="F848" s="129" t="n">
        <x:f>ABS(D848-E848)</x:f>
        <x:v>0.012327742572655787</x:v>
      </x:c>
    </x:row>
    <x:row r="849">
      <x:c r="A849" s="107" t="n">
        <x:v>848</x:v>
      </x:c>
      <x:c r="B849" s="128" t="n">
        <x:v>2.3651631964184405</x:v>
      </x:c>
      <x:c r="C849" s="128" t="n">
        <x:f>LN(B849)</x:f>
        <x:v>0.8608470243912659</x:v>
      </x:c>
      <x:c r="D849" s="128" t="n">
        <x:f>'Итоги'!$B$8*AVERAGE($C$2:C849)</x:f>
        <x:v>1.2840258509379834</x:v>
      </x:c>
      <x:c r="E849" s="128" t="n">
        <x:f>'Итоги'!$B$9</x:f>
        <x:v>1.2958368660043291</x:v>
      </x:c>
      <x:c r="F849" s="129" t="n">
        <x:f>ABS(D849-E849)</x:f>
        <x:v>0.011811015066345742</x:v>
      </x:c>
    </x:row>
    <x:row r="850">
      <x:c r="A850" s="107" t="n">
        <x:v>849</x:v>
      </x:c>
      <x:c r="B850" s="128" t="n">
        <x:v>1.2987483127363015</x:v>
      </x:c>
      <x:c r="C850" s="128" t="n">
        <x:f>LN(B850)</x:f>
        <x:v>0.2614009642861263</x:v>
      </x:c>
      <x:c r="D850" s="128" t="n">
        <x:f>'Итоги'!$B$8*AVERAGE($C$2:C850)</x:f>
        <x:v>1.2831292385441486</x:v>
      </x:c>
      <x:c r="E850" s="128" t="n">
        <x:f>'Итоги'!$B$9</x:f>
        <x:v>1.2958368660043291</x:v>
      </x:c>
      <x:c r="F850" s="129" t="n">
        <x:f>ABS(D850-E850)</x:f>
        <x:v>0.012707627460180504</x:v>
      </x:c>
    </x:row>
    <x:row r="851">
      <x:c r="A851" s="107" t="n">
        <x:v>850</x:v>
      </x:c>
      <x:c r="B851" s="128" t="n">
        <x:v>2.923099259082065</x:v>
      </x:c>
      <x:c r="C851" s="128" t="n">
        <x:f>LN(B851)</x:f>
        <x:v>1.0726444435005715</x:v>
      </x:c>
      <x:c r="D851" s="128" t="n">
        <x:f>'Итоги'!$B$8*AVERAGE($C$2:C851)</x:f>
        <x:v>1.2841435440129219</x:v>
      </x:c>
      <x:c r="E851" s="128" t="n">
        <x:f>'Итоги'!$B$9</x:f>
        <x:v>1.2958368660043291</x:v>
      </x:c>
      <x:c r="F851" s="129" t="n">
        <x:f>ABS(D851-E851)</x:f>
        <x:v>0.011693321991407268</x:v>
      </x:c>
    </x:row>
    <x:row r="852">
      <x:c r="A852" s="107" t="n">
        <x:v>851</x:v>
      </x:c>
      <x:c r="B852" s="128" t="n">
        <x:v>1.3568835236436618</x:v>
      </x:c>
      <x:c r="C852" s="128" t="n">
        <x:f>LN(B852)</x:f>
        <x:v>0.30519054345006175</x:v>
      </x:c>
      <x:c r="D852" s="128" t="n">
        <x:f>'Итоги'!$B$8*AVERAGE($C$2:C852)</x:f>
        <x:v>1.2833518137460442</x:v>
      </x:c>
      <x:c r="E852" s="128" t="n">
        <x:f>'Итоги'!$B$9</x:f>
        <x:v>1.2958368660043291</x:v>
      </x:c>
      <x:c r="F852" s="129" t="n">
        <x:f>ABS(D852-E852)</x:f>
        <x:v>0.01248505225828489</x:v>
      </x:c>
    </x:row>
    <x:row r="853">
      <x:c r="A853" s="107" t="n">
        <x:v>852</x:v>
      </x:c>
      <x:c r="B853" s="128" t="n">
        <x:v>1.3990839857989807</x:v>
      </x:c>
      <x:c r="C853" s="128" t="n">
        <x:f>LN(B853)</x:f>
        <x:v>0.3358177266183927</x:v>
      </x:c>
      <x:c r="D853" s="128" t="n">
        <x:f>'Итоги'!$B$8*AVERAGE($C$2:C853)</x:f>
        <x:v>1.2826338367970898</x:v>
      </x:c>
      <x:c r="E853" s="128" t="n">
        <x:f>'Итоги'!$B$9</x:f>
        <x:v>1.2958368660043291</x:v>
      </x:c>
      <x:c r="F853" s="129" t="n">
        <x:f>ABS(D853-E853)</x:f>
        <x:v>0.01320302920723937</x:v>
      </x:c>
    </x:row>
    <x:row r="854">
      <x:c r="A854" s="107" t="n">
        <x:v>853</x:v>
      </x:c>
      <x:c r="B854" s="128" t="n">
        <x:v>2.7179657211154273</x:v>
      </x:c>
      <x:c r="C854" s="128" t="n">
        <x:f>LN(B854)</x:f>
        <x:v>0.999883703844944</x:v>
      </x:c>
      <x:c r="D854" s="128" t="n">
        <x:f>'Итоги'!$B$8*AVERAGE($C$2:C854)</x:f>
        <x:v>1.28347455610646</x:v>
      </x:c>
      <x:c r="E854" s="128" t="n">
        <x:f>'Итоги'!$B$9</x:f>
        <x:v>1.2958368660043291</x:v>
      </x:c>
      <x:c r="F854" s="129" t="n">
        <x:f>ABS(D854-E854)</x:f>
        <x:v>0.012362309897869128</x:v>
      </x:c>
    </x:row>
    <x:row r="855">
      <x:c r="A855" s="107" t="n">
        <x:v>854</x:v>
      </x:c>
      <x:c r="B855" s="128" t="n">
        <x:v>2.8251654882838624</x:v>
      </x:c>
      <x:c r="C855" s="128" t="n">
        <x:f>LN(B855)</x:f>
        <x:v>1.0385669428061586</x:v>
      </x:c>
      <x:c r="D855" s="128" t="n">
        <x:f>'Итоги'!$B$8*AVERAGE($C$2:C855)</x:f>
        <x:v>1.284403899583633</x:v>
      </x:c>
      <x:c r="E855" s="128" t="n">
        <x:f>'Итоги'!$B$9</x:f>
        <x:v>1.2958368660043291</x:v>
      </x:c>
      <x:c r="F855" s="129" t="n">
        <x:f>ABS(D855-E855)</x:f>
        <x:v>0.011432966420696022</x:v>
      </x:c>
    </x:row>
    <x:row r="856">
      <x:c r="A856" s="107" t="n">
        <x:v>855</x:v>
      </x:c>
      <x:c r="B856" s="128" t="n">
        <x:v>1.4242948150466028</x:v>
      </x:c>
      <x:c r="C856" s="128" t="n">
        <x:f>LN(B856)</x:f>
        <x:v>0.35367682459974675</x:v>
      </x:c>
      <x:c r="D856" s="128" t="n">
        <x:f>'Итоги'!$B$8*AVERAGE($C$2:C856)</x:f>
        <x:v>1.2837289870100845</x:v>
      </x:c>
      <x:c r="E856" s="128" t="n">
        <x:f>'Итоги'!$B$9</x:f>
        <x:v>1.2958368660043291</x:v>
      </x:c>
      <x:c r="F856" s="129" t="n">
        <x:f>ABS(D856-E856)</x:f>
        <x:v>0.012107878994244592</x:v>
      </x:c>
    </x:row>
    <x:row r="857">
      <x:c r="A857" s="107" t="n">
        <x:v>856</x:v>
      </x:c>
      <x:c r="B857" s="128" t="n">
        <x:v>1.9396017763496558</x:v>
      </x:c>
      <x:c r="C857" s="128" t="n">
        <x:f>LN(B857)</x:f>
        <x:v>0.6624826820816248</x:v>
      </x:c>
      <x:c r="D857" s="128" t="n">
        <x:f>'Итоги'!$B$8*AVERAGE($C$2:C857)</x:f>
        <x:v>1.2837771603478803</x:v>
      </x:c>
      <x:c r="E857" s="128" t="n">
        <x:f>'Итоги'!$B$9</x:f>
        <x:v>1.2958368660043291</x:v>
      </x:c>
      <x:c r="F857" s="129" t="n">
        <x:f>ABS(D857-E857)</x:f>
        <x:v>0.012059705656448871</x:v>
      </x:c>
    </x:row>
    <x:row r="858">
      <x:c r="A858" s="107" t="n">
        <x:v>857</x:v>
      </x:c>
      <x:c r="B858" s="128" t="n">
        <x:v>2.4669898091256597</x:v>
      </x:c>
      <x:c r="C858" s="128" t="n">
        <x:f>LN(B858)</x:f>
        <x:v>0.9029987066613708</x:v>
      </x:c>
      <x:c r="D858" s="128" t="n">
        <x:f>'Итоги'!$B$8*AVERAGE($C$2:C858)</x:f>
        <x:v>1.2843865188694379</x:v>
      </x:c>
      <x:c r="E858" s="128" t="n">
        <x:f>'Итоги'!$B$9</x:f>
        <x:v>1.2958368660043291</x:v>
      </x:c>
      <x:c r="F858" s="129" t="n">
        <x:f>ABS(D858-E858)</x:f>
        <x:v>0.011450347134891237</x:v>
      </x:c>
    </x:row>
    <x:row r="859">
      <x:c r="A859" s="107" t="n">
        <x:v>858</x:v>
      </x:c>
      <x:c r="B859" s="128" t="n">
        <x:v>2.756731467621603</x:v>
      </x:c>
      <x:c r="C859" s="128" t="n">
        <x:f>LN(B859)</x:f>
        <x:v>1.014045727088159</x:v>
      </x:c>
      <x:c r="D859" s="128" t="n">
        <x:f>'Итоги'!$B$8*AVERAGE($C$2:C859)</x:f>
        <x:v>1.285253307838327</x:v>
      </x:c>
      <x:c r="E859" s="128" t="n">
        <x:f>'Итоги'!$B$9</x:f>
        <x:v>1.2958368660043291</x:v>
      </x:c>
      <x:c r="F859" s="129" t="n">
        <x:f>ABS(D859-E859)</x:f>
        <x:v>0.010583558166002094</x:v>
      </x:c>
    </x:row>
    <x:row r="860">
      <x:c r="A860" s="107" t="n">
        <x:v>859</x:v>
      </x:c>
      <x:c r="B860" s="128" t="n">
        <x:v>1.7581053900746104</x:v>
      </x:c>
      <x:c r="C860" s="128" t="n">
        <x:f>LN(B860)</x:f>
        <x:v>0.5642367463140261</x:v>
      </x:c>
      <x:c r="D860" s="128" t="n">
        <x:f>'Итоги'!$B$8*AVERAGE($C$2:C860)</x:f>
        <x:v>1.2850707935016445</x:v>
      </x:c>
      <x:c r="E860" s="128" t="n">
        <x:f>'Итоги'!$B$9</x:f>
        <x:v>1.2958368660043291</x:v>
      </x:c>
      <x:c r="F860" s="129" t="n">
        <x:f>ABS(D860-E860)</x:f>
        <x:v>0.010766072502684576</x:v>
      </x:c>
    </x:row>
    <x:row r="861">
      <x:c r="A861" s="107" t="n">
        <x:v>860</x:v>
      </x:c>
      <x:c r="B861" s="128" t="n">
        <x:v>2.034038973698858</x:v>
      </x:c>
      <x:c r="C861" s="128" t="n">
        <x:f>LN(B861)</x:f>
        <x:v>0.7100234585533463</x:v>
      </x:c>
      <x:c r="D861" s="128" t="n">
        <x:f>'Итоги'!$B$8*AVERAGE($C$2:C861)</x:f>
        <x:v>1.2852277424825806</x:v>
      </x:c>
      <x:c r="E861" s="128" t="n">
        <x:f>'Итоги'!$B$9</x:f>
        <x:v>1.2958368660043291</x:v>
      </x:c>
      <x:c r="F861" s="129" t="n">
        <x:f>ABS(D861-E861)</x:f>
        <x:v>0.010609123521748476</x:v>
      </x:c>
    </x:row>
    <x:row r="862">
      <x:c r="A862" s="107" t="n">
        <x:v>861</x:v>
      </x:c>
      <x:c r="B862" s="128" t="n">
        <x:v>2.48343282103947</x:v>
      </x:c>
      <x:c r="C862" s="128" t="n">
        <x:f>LN(B862)</x:f>
        <x:v>0.9096418050844363</x:v>
      </x:c>
      <x:c r="D862" s="128" t="n">
        <x:f>'Итоги'!$B$8*AVERAGE($C$2:C862)</x:f>
        <x:v>1.28584801642879</x:v>
      </x:c>
      <x:c r="E862" s="128" t="n">
        <x:f>'Итоги'!$B$9</x:f>
        <x:v>1.2958368660043291</x:v>
      </x:c>
      <x:c r="F862" s="129" t="n">
        <x:f>ABS(D862-E862)</x:f>
        <x:v>0.009988849575539138</x:v>
      </x:c>
    </x:row>
    <x:row r="863">
      <x:c r="A863" s="107" t="n">
        <x:v>862</x:v>
      </x:c>
      <x:c r="B863" s="128" t="n">
        <x:v>2.462271953305591</x:v>
      </x:c>
      <x:c r="C863" s="128" t="n">
        <x:f>LN(B863)</x:f>
        <x:v>0.9010844819810564</x:v>
      </x:c>
      <x:c r="D863" s="128" t="n">
        <x:f>'Итоги'!$B$8*AVERAGE($C$2:C863)</x:f>
        <x:v>1.2864469966463459</x:v>
      </x:c>
      <x:c r="E863" s="128" t="n">
        <x:f>'Итоги'!$B$9</x:f>
        <x:v>1.2958368660043291</x:v>
      </x:c>
      <x:c r="F863" s="129" t="n">
        <x:f>ABS(D863-E863)</x:f>
        <x:v>0.00938986935798325</x:v>
      </x:c>
    </x:row>
    <x:row r="864">
      <x:c r="A864" s="107" t="n">
        <x:v>863</x:v>
      </x:c>
      <x:c r="B864" s="128" t="n">
        <x:v>2.5659202600521698</x:v>
      </x:c>
      <x:c r="C864" s="128" t="n">
        <x:f>LN(B864)</x:f>
        <x:v>0.9423171901268669</x:v>
      </x:c>
      <x:c r="D864" s="128" t="n">
        <x:f>'Итоги'!$B$8*AVERAGE($C$2:C864)</x:f>
        <x:v>1.2871401454106652</x:v>
      </x:c>
      <x:c r="E864" s="128" t="n">
        <x:f>'Итоги'!$B$9</x:f>
        <x:v>1.2958368660043291</x:v>
      </x:c>
      <x:c r="F864" s="129" t="n">
        <x:f>ABS(D864-E864)</x:f>
        <x:v>0.008696720593663887</x:v>
      </x:c>
    </x:row>
    <x:row r="865">
      <x:c r="A865" s="107" t="n">
        <x:v>864</x:v>
      </x:c>
      <x:c r="B865" s="128" t="n">
        <x:v>2.1398676372830527</x:v>
      </x:c>
      <x:c r="C865" s="128" t="n">
        <x:f>LN(B865)</x:f>
        <x:v>0.7607439753839713</x:v>
      </x:c>
      <x:c r="D865" s="128" t="n">
        <x:f>'Итоги'!$B$8*AVERAGE($C$2:C865)</x:f>
        <x:v>1.2874113812964953</x:v>
      </x:c>
      <x:c r="E865" s="128" t="n">
        <x:f>'Итоги'!$B$9</x:f>
        <x:v>1.2958368660043291</x:v>
      </x:c>
      <x:c r="F865" s="129" t="n">
        <x:f>ABS(D865-E865)</x:f>
        <x:v>0.008425484707833775</x:v>
      </x:c>
    </x:row>
    <x:row r="866">
      <x:c r="A866" s="107" t="n">
        <x:v>865</x:v>
      </x:c>
      <x:c r="B866" s="128" t="n">
        <x:v>1.2092301936095504</x:v>
      </x:c>
      <x:c r="C866" s="128" t="n">
        <x:f>LN(B866)</x:f>
        <x:v>0.18998395351677402</x:v>
      </x:c>
      <x:c r="D866" s="128" t="n">
        <x:f>'Итоги'!$B$8*AVERAGE($C$2:C866)</x:f>
        <x:v>1.2863623136961913</x:v>
      </x:c>
      <x:c r="E866" s="128" t="n">
        <x:f>'Итоги'!$B$9</x:f>
        <x:v>1.2958368660043291</x:v>
      </x:c>
      <x:c r="F866" s="129" t="n">
        <x:f>ABS(D866-E866)</x:f>
        <x:v>0.009474552308137874</x:v>
      </x:c>
    </x:row>
    <x:row r="867">
      <x:c r="A867" s="107" t="n">
        <x:v>866</x:v>
      </x:c>
      <x:c r="B867" s="128" t="n">
        <x:v>2.80794658175608</x:v>
      </x:c>
      <x:c r="C867" s="128" t="n">
        <x:f>LN(B867)</x:f>
        <x:v>1.0324534623914743</x:v>
      </x:c>
      <x:c r="D867" s="128" t="n">
        <x:f>'Итоги'!$B$8*AVERAGE($C$2:C867)</x:f>
        <x:v>1.2872613259491783</x:v>
      </x:c>
      <x:c r="E867" s="128" t="n">
        <x:f>'Итоги'!$B$9</x:f>
        <x:v>1.2958368660043291</x:v>
      </x:c>
      <x:c r="F867" s="129" t="n">
        <x:f>ABS(D867-E867)</x:f>
        <x:v>0.008575540055150821</x:v>
      </x:c>
    </x:row>
    <x:row r="868">
      <x:c r="A868" s="107" t="n">
        <x:v>867</x:v>
      </x:c>
      <x:c r="B868" s="128" t="n">
        <x:v>2.731145078642056</x:v>
      </x:c>
      <x:c r="C868" s="128" t="n">
        <x:f>LN(B868)</x:f>
        <x:v>1.004720963981386</x:v>
      </x:c>
      <x:c r="D868" s="128" t="n">
        <x:f>'Итоги'!$B$8*AVERAGE($C$2:C868)</x:f>
        <x:v>1.2880942908880637</x:v>
      </x:c>
      <x:c r="E868" s="128" t="n">
        <x:f>'Итоги'!$B$9</x:f>
        <x:v>1.2958368660043291</x:v>
      </x:c>
      <x:c r="F868" s="129" t="n">
        <x:f>ABS(D868-E868)</x:f>
        <x:v>0.0077425751162654155</x:v>
      </x:c>
    </x:row>
    <x:row r="869">
      <x:c r="A869" s="107" t="n">
        <x:v>868</x:v>
      </x:c>
      <x:c r="B869" s="128" t="n">
        <x:v>2.596194871636666</x:v>
      </x:c>
      <x:c r="C869" s="128" t="n">
        <x:f>LN(B869)</x:f>
        <x:v>0.9540468621403426</x:v>
      </x:c>
      <x:c r="D869" s="128" t="n">
        <x:f>'Итоги'!$B$8*AVERAGE($C$2:C869)</x:f>
        <x:v>1.288808575949576</x:v>
      </x:c>
      <x:c r="E869" s="128" t="n">
        <x:f>'Итоги'!$B$9</x:f>
        <x:v>1.2958368660043291</x:v>
      </x:c>
      <x:c r="F869" s="129" t="n">
        <x:f>ABS(D869-E869)</x:f>
        <x:v>0.007028290054753139</x:v>
      </x:c>
    </x:row>
    <x:row r="870">
      <x:c r="A870" s="107" t="n">
        <x:v>869</x:v>
      </x:c>
      <x:c r="B870" s="128" t="n">
        <x:v>1.199724954321459</x:v>
      </x:c>
      <x:c r="C870" s="128" t="n">
        <x:f>LN(B870)</x:f>
        <x:v>0.18209232579041806</x:v>
      </x:c>
      <x:c r="D870" s="128" t="n">
        <x:f>'Итоги'!$B$8*AVERAGE($C$2:C870)</x:f>
        <x:v>1.2877445668306247</x:v>
      </x:c>
      <x:c r="E870" s="128" t="n">
        <x:f>'Итоги'!$B$9</x:f>
        <x:v>1.2958368660043291</x:v>
      </x:c>
      <x:c r="F870" s="129" t="n">
        <x:f>ABS(D870-E870)</x:f>
        <x:v>0.008092299173704465</x:v>
      </x:c>
    </x:row>
    <x:row r="871">
      <x:c r="A871" s="107" t="n">
        <x:v>870</x:v>
      </x:c>
      <x:c r="B871" s="128" t="n">
        <x:v>1.4087947341628584</x:v>
      </x:c>
      <x:c r="C871" s="128" t="n">
        <x:f>LN(B871)</x:f>
        <x:v>0.34273454037548184</x:v>
      </x:c>
      <x:c r="D871" s="128" t="n">
        <x:f>'Итоги'!$B$8*AVERAGE($C$2:C871)</x:f>
        <x:v>1.2870522961569697</x:v>
      </x:c>
      <x:c r="E871" s="128" t="n">
        <x:f>'Итоги'!$B$9</x:f>
        <x:v>1.2958368660043291</x:v>
      </x:c>
      <x:c r="F871" s="129" t="n">
        <x:f>ABS(D871-E871)</x:f>
        <x:v>0.008784569847359425</x:v>
      </x:c>
    </x:row>
    <x:row r="872">
      <x:c r="A872" s="107" t="n">
        <x:v>871</x:v>
      </x:c>
      <x:c r="B872" s="128" t="n">
        <x:v>2.487200730215304</x:v>
      </x:c>
      <x:c r="C872" s="128" t="n">
        <x:f>LN(B872)</x:f>
        <x:v>0.9111578733516627</x:v>
      </x:c>
      <x:c r="D872" s="128" t="n">
        <x:f>'Итоги'!$B$8*AVERAGE($C$2:C872)</x:f>
        <x:v>1.287666835135783</x:v>
      </x:c>
      <x:c r="E872" s="128" t="n">
        <x:f>'Итоги'!$B$9</x:f>
        <x:v>1.2958368660043291</x:v>
      </x:c>
      <x:c r="F872" s="129" t="n">
        <x:f>ABS(D872-E872)</x:f>
        <x:v>0.008170030868546174</x:v>
      </x:c>
    </x:row>
    <x:row r="873">
      <x:c r="A873" s="107" t="n">
        <x:v>872</x:v>
      </x:c>
      <x:c r="B873" s="128" t="n">
        <x:v>1.0462801891638929</x:v>
      </x:c>
      <x:c r="C873" s="128" t="n">
        <x:f>LN(B873)</x:f>
        <x:v>0.04524119704219564</x:v>
      </x:c>
      <x:c r="D873" s="128" t="n">
        <x:f>'Итоги'!$B$8*AVERAGE($C$2:C873)</x:f>
        <x:v>1.2862939171987973</x:v>
      </x:c>
      <x:c r="E873" s="128" t="n">
        <x:f>'Итоги'!$B$9</x:f>
        <x:v>1.2958368660043291</x:v>
      </x:c>
      <x:c r="F873" s="129" t="n">
        <x:f>ABS(D873-E873)</x:f>
        <x:v>0.009542948805531859</x:v>
      </x:c>
    </x:row>
    <x:row r="874">
      <x:c r="A874" s="107" t="n">
        <x:v>873</x:v>
      </x:c>
      <x:c r="B874" s="128" t="n">
        <x:v>2.9584492674145593</x:v>
      </x:c>
      <x:c r="C874" s="128" t="n">
        <x:f>LN(B874)</x:f>
        <x:v>1.0846652349107047</x:v>
      </x:c>
      <x:c r="D874" s="128" t="n">
        <x:f>'Итоги'!$B$8*AVERAGE($C$2:C874)</x:f>
        <x:v>1.2873054138226492</x:v>
      </x:c>
      <x:c r="E874" s="128" t="n">
        <x:f>'Итоги'!$B$9</x:f>
        <x:v>1.2958368660043291</x:v>
      </x:c>
      <x:c r="F874" s="129" t="n">
        <x:f>ABS(D874-E874)</x:f>
        <x:v>0.008531452181679944</x:v>
      </x:c>
    </x:row>
    <x:row r="875">
      <x:c r="A875" s="107" t="n">
        <x:v>874</x:v>
      </x:c>
      <x:c r="B875" s="128" t="n">
        <x:v>1.7542893607113614</x:v>
      </x:c>
      <x:c r="C875" s="128" t="n">
        <x:f>LN(B875)</x:f>
        <x:v>0.5620638522429178</x:v>
      </x:c>
      <x:c r="D875" s="128" t="n">
        <x:f>'Итоги'!$B$8*AVERAGE($C$2:C875)</x:f>
        <x:v>1.2871187116380531</x:v>
      </x:c>
      <x:c r="E875" s="128" t="n">
        <x:f>'Итоги'!$B$9</x:f>
        <x:v>1.2958368660043291</x:v>
      </x:c>
      <x:c r="F875" s="129" t="n">
        <x:f>ABS(D875-E875)</x:f>
        <x:v>0.008718154366275987</x:v>
      </x:c>
    </x:row>
    <x:row r="876">
      <x:c r="A876" s="107" t="n">
        <x:v>875</x:v>
      </x:c>
      <x:c r="B876" s="128" t="n">
        <x:v>2.438625067381647</x:v>
      </x:c>
      <x:c r="C876" s="128" t="n">
        <x:f>LN(B876)</x:f>
        <x:v>0.891434383506288</x:v>
      </x:c>
      <x:c r="D876" s="128" t="n">
        <x:f>'Итоги'!$B$8*AVERAGE($C$2:C876)</x:f>
        <x:v>1.2876852831299097</x:v>
      </x:c>
      <x:c r="E876" s="128" t="n">
        <x:f>'Итоги'!$B$9</x:f>
        <x:v>1.2958368660043291</x:v>
      </x:c>
      <x:c r="F876" s="129" t="n">
        <x:f>ABS(D876-E876)</x:f>
        <x:v>0.008151582874419416</x:v>
      </x:c>
    </x:row>
    <x:row r="877">
      <x:c r="A877" s="107" t="n">
        <x:v>876</x:v>
      </x:c>
      <x:c r="B877" s="128" t="n">
        <x:v>2.775142176976087</x:v>
      </x:c>
      <x:c r="C877" s="128" t="n">
        <x:f>LN(B877)</x:f>
        <x:v>1.0207019808322704</x:v>
      </x:c>
      <x:c r="D877" s="128" t="n">
        <x:f>'Итоги'!$B$8*AVERAGE($C$2:C877)</x:f>
        <x:v>1.2885456925802918</x:v>
      </x:c>
      <x:c r="E877" s="128" t="n">
        <x:f>'Итоги'!$B$9</x:f>
        <x:v>1.2958368660043291</x:v>
      </x:c>
      <x:c r="F877" s="129" t="n">
        <x:f>ABS(D877-E877)</x:f>
        <x:v>0.007291173424037289</x:v>
      </x:c>
    </x:row>
    <x:row r="878">
      <x:c r="A878" s="107" t="n">
        <x:v>877</x:v>
      </x:c>
      <x:c r="B878" s="128" t="n">
        <x:v>1.7892597763001645</x:v>
      </x:c>
      <x:c r="C878" s="128" t="n">
        <x:f>LN(B878)</x:f>
        <x:v>0.581802001531194</x:v>
      </x:c>
      <x:c r="D878" s="128" t="n">
        <x:f>'Итоги'!$B$8*AVERAGE($C$2:C878)</x:f>
        <x:v>1.2884032277119704</x:v>
      </x:c>
      <x:c r="E878" s="128" t="n">
        <x:f>'Итоги'!$B$9</x:f>
        <x:v>1.2958368660043291</x:v>
      </x:c>
      <x:c r="F878" s="129" t="n">
        <x:f>ABS(D878-E878)</x:f>
        <x:v>0.0074336382923587685</x:v>
      </x:c>
    </x:row>
    <x:row r="879">
      <x:c r="A879" s="107" t="n">
        <x:v>878</x:v>
      </x:c>
      <x:c r="B879" s="128" t="n">
        <x:v>1.638264977199332</x:v>
      </x:c>
      <x:c r="C879" s="128" t="n">
        <x:f>LN(B879)</x:f>
        <x:v>0.49363774108968667</x:v>
      </x:c>
      <x:c r="D879" s="128" t="n">
        <x:f>'Итоги'!$B$8*AVERAGE($C$2:C879)</x:f>
        <x:v>1.288060257614553</x:v>
      </x:c>
      <x:c r="E879" s="128" t="n">
        <x:f>'Итоги'!$B$9</x:f>
        <x:v>1.2958368660043291</x:v>
      </x:c>
      <x:c r="F879" s="129" t="n">
        <x:f>ABS(D879-E879)</x:f>
        <x:v>0.0077766083897761185</x:v>
      </x:c>
    </x:row>
    <x:row r="880">
      <x:c r="A880" s="107" t="n">
        <x:v>879</x:v>
      </x:c>
      <x:c r="B880" s="128" t="n">
        <x:v>2.2174822577964934</x:v>
      </x:c>
      <x:c r="C880" s="128" t="n">
        <x:f>LN(B880)</x:f>
        <x:v>0.7963724341758999</x:v>
      </x:c>
      <x:c r="D880" s="128" t="n">
        <x:f>'Итоги'!$B$8*AVERAGE($C$2:C880)</x:f>
        <x:v>1.2884068840203973</x:v>
      </x:c>
      <x:c r="E880" s="128" t="n">
        <x:f>'Итоги'!$B$9</x:f>
        <x:v>1.2958368660043291</x:v>
      </x:c>
      <x:c r="F880" s="129" t="n">
        <x:f>ABS(D880-E880)</x:f>
        <x:v>0.007429981983931855</x:v>
      </x:c>
    </x:row>
    <x:row r="881">
      <x:c r="A881" s="107" t="n">
        <x:v>880</x:v>
      </x:c>
      <x:c r="B881" s="128" t="n">
        <x:v>2.1619787474961014</x:v>
      </x:c>
      <x:c r="C881" s="128" t="n">
        <x:f>LN(B881)</x:f>
        <x:v>0.7710238891483969</x:v>
      </x:c>
      <x:c r="D881" s="128" t="n">
        <x:f>'Итоги'!$B$8*AVERAGE($C$2:C881)</x:f>
        <x:v>1.2886951123093477</x:v>
      </x:c>
      <x:c r="E881" s="128" t="n">
        <x:f>'Итоги'!$B$9</x:f>
        <x:v>1.2958368660043291</x:v>
      </x:c>
      <x:c r="F881" s="129" t="n">
        <x:f>ABS(D881-E881)</x:f>
        <x:v>0.007141753694981379</x:v>
      </x:c>
    </x:row>
    <x:row r="882">
      <x:c r="A882" s="107" t="n">
        <x:v>881</x:v>
      </x:c>
      <x:c r="B882" s="128" t="n">
        <x:v>1.8182799552495943</x:v>
      </x:c>
      <x:c r="C882" s="128" t="n">
        <x:f>LN(B882)</x:f>
        <x:v>0.5978909746862785</x:v>
      </x:c>
      <x:c r="D882" s="128" t="n">
        <x:f>'Итоги'!$B$8*AVERAGE($C$2:C882)</x:f>
        <x:v>1.2885896490143003</x:v>
      </x:c>
      <x:c r="E882" s="128" t="n">
        <x:f>'Итоги'!$B$9</x:f>
        <x:v>1.2958368660043291</x:v>
      </x:c>
      <x:c r="F882" s="129" t="n">
        <x:f>ABS(D882-E882)</x:f>
        <x:v>0.0072472169900288375</x:v>
      </x:c>
    </x:row>
    <x:row r="883">
      <x:c r="A883" s="107" t="n">
        <x:v>882</x:v>
      </x:c>
      <x:c r="B883" s="128" t="n">
        <x:v>2.203549511735417</x:v>
      </x:c>
      <x:c r="C883" s="128" t="n">
        <x:f>LN(B883)</x:f>
        <x:v>0.7900694746346771</x:v>
      </x:c>
      <x:c r="D883" s="128" t="n">
        <x:f>'Итоги'!$B$8*AVERAGE($C$2:C883)</x:f>
        <x:v>1.2889202037764944</x:v>
      </x:c>
      <x:c r="E883" s="128" t="n">
        <x:f>'Итоги'!$B$9</x:f>
        <x:v>1.2958368660043291</x:v>
      </x:c>
      <x:c r="F883" s="129" t="n">
        <x:f>ABS(D883-E883)</x:f>
        <x:v>0.006916662227834713</x:v>
      </x:c>
    </x:row>
    <x:row r="884">
      <x:c r="A884" s="107" t="n">
        <x:v>883</x:v>
      </x:c>
      <x:c r="B884" s="128" t="n">
        <x:v>2.8707627391329895</x:v>
      </x:c>
      <x:c r="C884" s="128" t="n">
        <x:f>LN(B884)</x:f>
        <x:v>1.05457775722697</x:v>
      </x:c>
      <x:c r="D884" s="128" t="n">
        <x:f>'Итоги'!$B$8*AVERAGE($C$2:C884)</x:f>
        <x:v>1.2898491225881337</x:v>
      </x:c>
      <x:c r="E884" s="128" t="n">
        <x:f>'Итоги'!$B$9</x:f>
        <x:v>1.2958368660043291</x:v>
      </x:c>
      <x:c r="F884" s="129" t="n">
        <x:f>ABS(D884-E884)</x:f>
        <x:v>0.005987743416195457</x:v>
      </x:c>
    </x:row>
    <x:row r="885">
      <x:c r="A885" s="107" t="n">
        <x:v>884</x:v>
      </x:c>
      <x:c r="B885" s="128" t="n">
        <x:v>1.935280513253193</x:v>
      </x:c>
      <x:c r="C885" s="128" t="n">
        <x:f>LN(B885)</x:f>
        <x:v>0.6602522840643925</x:v>
      </x:c>
      <x:c r="D885" s="128" t="n">
        <x:f>'Итоги'!$B$8*AVERAGE($C$2:C885)</x:f>
        <x:v>1.289883800693949</x:v>
      </x:c>
      <x:c r="E885" s="128" t="n">
        <x:f>'Итоги'!$B$9</x:f>
        <x:v>1.2958368660043291</x:v>
      </x:c>
      <x:c r="F885" s="129" t="n">
        <x:f>ABS(D885-E885)</x:f>
        <x:v>0.00595306531038009</x:v>
      </x:c>
    </x:row>
    <x:row r="886">
      <x:c r="A886" s="107" t="n">
        <x:v>885</x:v>
      </x:c>
      <x:c r="B886" s="128" t="n">
        <x:v>1.3934843615012626</x:v>
      </x:c>
      <x:c r="C886" s="128" t="n">
        <x:f>LN(B886)</x:f>
        <x:v>0.3318073454163716</x:v>
      </x:c>
      <x:c r="D886" s="128" t="n">
        <x:f>'Итоги'!$B$8*AVERAGE($C$2:C886)</x:f>
        <x:v>1.2891761519822413</x:v>
      </x:c>
      <x:c r="E886" s="128" t="n">
        <x:f>'Итоги'!$B$9</x:f>
        <x:v>1.2958368660043291</x:v>
      </x:c>
      <x:c r="F886" s="129" t="n">
        <x:f>ABS(D886-E886)</x:f>
        <x:v>0.006660714022087788</x:v>
      </x:c>
    </x:row>
    <x:row r="887">
      <x:c r="A887" s="107" t="n">
        <x:v>886</x:v>
      </x:c>
      <x:c r="B887" s="128" t="n">
        <x:v>1.7544119657660078</x:v>
      </x:c>
      <x:c r="C887" s="128" t="n">
        <x:f>LN(B887)</x:f>
        <x:v>0.5621337385303433</x:v>
      </x:c>
      <x:c r="D887" s="128" t="n">
        <x:f>'Итоги'!$B$8*AVERAGE($C$2:C887)</x:f>
        <x:v>1.2889900248096435</x:v>
      </x:c>
      <x:c r="E887" s="128" t="n">
        <x:f>'Итоги'!$B$9</x:f>
        <x:v>1.2958368660043291</x:v>
      </x:c>
      <x:c r="F887" s="129" t="n">
        <x:f>ABS(D887-E887)</x:f>
        <x:v>0.006846841194685593</x:v>
      </x:c>
    </x:row>
    <x:row r="888">
      <x:c r="A888" s="107" t="n">
        <x:v>887</x:v>
      </x:c>
      <x:c r="B888" s="128" t="n">
        <x:v>1.7882139651862372</x:v>
      </x:c>
      <x:c r="C888" s="128" t="n">
        <x:f>LN(B888)</x:f>
        <x:v>0.5812173369218689</x:v>
      </x:c>
      <x:c r="D888" s="128" t="n">
        <x:f>'Итоги'!$B$8*AVERAGE($C$2:C888)</x:f>
        <x:v>1.2888473468491408</x:v>
      </x:c>
      <x:c r="E888" s="128" t="n">
        <x:f>'Итоги'!$B$9</x:f>
        <x:v>1.2958368660043291</x:v>
      </x:c>
      <x:c r="F888" s="129" t="n">
        <x:f>ABS(D888-E888)</x:f>
        <x:v>0.006989519155188306</x:v>
      </x:c>
    </x:row>
    <x:row r="889">
      <x:c r="A889" s="107" t="n">
        <x:v>888</x:v>
      </x:c>
      <x:c r="B889" s="128" t="n">
        <x:v>1.2622173860524397</x:v>
      </x:c>
      <x:c r="C889" s="128" t="n">
        <x:f>LN(B889)</x:f>
        <x:v>0.23287000447690684</x:v>
      </x:c>
      <x:c r="D889" s="128" t="n">
        <x:f>'Итоги'!$B$8*AVERAGE($C$2:C889)</x:f>
        <x:v>1.287920424171331</x:v>
      </x:c>
      <x:c r="E889" s="128" t="n">
        <x:f>'Итоги'!$B$9</x:f>
        <x:v>1.2958368660043291</x:v>
      </x:c>
      <x:c r="F889" s="129" t="n">
        <x:f>ABS(D889-E889)</x:f>
        <x:v>0.007916441832998222</x:v>
      </x:c>
    </x:row>
    <x:row r="890">
      <x:c r="A890" s="107" t="n">
        <x:v>889</x:v>
      </x:c>
      <x:c r="B890" s="128" t="n">
        <x:v>1.3257430011091098</x:v>
      </x:c>
      <x:c r="C890" s="128" t="n">
        <x:f>LN(B890)</x:f>
        <x:v>0.2819730578275862</x:v>
      </x:c>
      <x:c r="D890" s="128" t="n">
        <x:f>'Итоги'!$B$8*AVERAGE($C$2:C890)</x:f>
        <x:v>1.2871060548704127</x:v>
      </x:c>
      <x:c r="E890" s="128" t="n">
        <x:f>'Итоги'!$B$9</x:f>
        <x:v>1.2958368660043291</x:v>
      </x:c>
      <x:c r="F890" s="129" t="n">
        <x:f>ABS(D890-E890)</x:f>
        <x:v>0.008730811133916383</x:v>
      </x:c>
    </x:row>
    <x:row r="891">
      <x:c r="A891" s="107" t="n">
        <x:v>890</x:v>
      </x:c>
      <x:c r="B891" s="128" t="n">
        <x:v>2.3691241467873545</x:v>
      </x:c>
      <x:c r="C891" s="128" t="n">
        <x:f>LN(B891)</x:f>
        <x:v>0.8625203285259643</x:v>
      </x:c>
      <x:c r="D891" s="128" t="n">
        <x:f>'Итоги'!$B$8*AVERAGE($C$2:C891)</x:f>
        <x:v>1.2875981162211785</x:v>
      </x:c>
      <x:c r="E891" s="128" t="n">
        <x:f>'Итоги'!$B$9</x:f>
        <x:v>1.2958368660043291</x:v>
      </x:c>
      <x:c r="F891" s="129" t="n">
        <x:f>ABS(D891-E891)</x:f>
        <x:v>0.008238749783150645</x:v>
      </x:c>
    </x:row>
    <x:row r="892">
      <x:c r="A892" s="107" t="n">
        <x:v>891</x:v>
      </x:c>
      <x:c r="B892" s="128" t="n">
        <x:v>1.6789555084178054</x:v>
      </x:c>
      <x:c r="C892" s="128" t="n">
        <x:f>LN(B892)</x:f>
        <x:v>0.5181718788865336</x:v>
      </x:c>
      <x:c r="D892" s="128" t="n">
        <x:f>'Итоги'!$B$8*AVERAGE($C$2:C892)</x:f>
        <x:v>1.2873161247975555</x:v>
      </x:c>
      <x:c r="E892" s="128" t="n">
        <x:f>'Итоги'!$B$9</x:f>
        <x:v>1.2958368660043291</x:v>
      </x:c>
      <x:c r="F892" s="129" t="n">
        <x:f>ABS(D892-E892)</x:f>
        <x:v>0.008520741206773597</x:v>
      </x:c>
    </x:row>
    <x:row r="893">
      <x:c r="A893" s="107" t="n">
        <x:v>892</x:v>
      </x:c>
      <x:c r="B893" s="128" t="n">
        <x:v>2.909796783711615</x:v>
      </x:c>
      <x:c r="C893" s="128" t="n">
        <x:f>LN(B893)</x:f>
        <x:v>1.0680832449688322</x:v>
      </x:c>
      <x:c r="D893" s="128" t="n">
        <x:f>'Итоги'!$B$8*AVERAGE($C$2:C893)</x:f>
        <x:v>1.2882677507674436</x:v>
      </x:c>
      <x:c r="E893" s="128" t="n">
        <x:f>'Итоги'!$B$9</x:f>
        <x:v>1.2958368660043291</x:v>
      </x:c>
      <x:c r="F893" s="129" t="n">
        <x:f>ABS(D893-E893)</x:f>
        <x:v>0.007569115236885526</x:v>
      </x:c>
    </x:row>
    <x:row r="894">
      <x:c r="A894" s="107" t="n">
        <x:v>893</x:v>
      </x:c>
      <x:c r="B894" s="128" t="n">
        <x:v>1.4871934907172148</x:v>
      </x:c>
      <x:c r="C894" s="128" t="n">
        <x:f>LN(B894)</x:f>
        <x:v>0.3968907805443614</x:v>
      </x:c>
      <x:c r="D894" s="128" t="n">
        <x:f>'Итоги'!$B$8*AVERAGE($C$2:C894)</x:f>
        <x:v>1.287714014832753</x:v>
      </x:c>
      <x:c r="E894" s="128" t="n">
        <x:f>'Итоги'!$B$9</x:f>
        <x:v>1.2958368660043291</x:v>
      </x:c>
      <x:c r="F894" s="129" t="n">
        <x:f>ABS(D894-E894)</x:f>
        <x:v>0.008122851171576073</x:v>
      </x:c>
    </x:row>
    <x:row r="895">
      <x:c r="A895" s="107" t="n">
        <x:v>894</x:v>
      </x:c>
      <x:c r="B895" s="128" t="n">
        <x:v>1.1978490102096446</x:v>
      </x:c>
      <x:c r="C895" s="128" t="n">
        <x:f>LN(B895)</x:f>
        <x:v>0.18052745686675908</x:v>
      </x:c>
      <x:c r="D895" s="128" t="n">
        <x:f>'Итоги'!$B$8*AVERAGE($C$2:C895)</x:f>
        <x:v>1.286677483399756</x:v>
      </x:c>
      <x:c r="E895" s="128" t="n">
        <x:f>'Итоги'!$B$9</x:f>
        <x:v>1.2958368660043291</x:v>
      </x:c>
      <x:c r="F895" s="129" t="n">
        <x:f>ABS(D895-E895)</x:f>
        <x:v>0.009159382604573052</x:v>
      </x:c>
    </x:row>
    <x:row r="896">
      <x:c r="A896" s="107" t="n">
        <x:v>895</x:v>
      </x:c>
      <x:c r="B896" s="128" t="n">
        <x:v>2.507009126000516</x:v>
      </x:c>
      <x:c r="C896" s="128" t="n">
        <x:f>LN(B896)</x:f>
        <x:v>0.9190904593771558</x:v>
      </x:c>
      <x:c r="D896" s="128" t="n">
        <x:f>'Итоги'!$B$8*AVERAGE($C$2:C896)</x:f>
        <x:v>1.2872936883554595</x:v>
      </x:c>
      <x:c r="E896" s="128" t="n">
        <x:f>'Итоги'!$B$9</x:f>
        <x:v>1.2958368660043291</x:v>
      </x:c>
      <x:c r="F896" s="129" t="n">
        <x:f>ABS(D896-E896)</x:f>
        <x:v>0.008543177648869582</x:v>
      </x:c>
    </x:row>
    <x:row r="897">
      <x:c r="A897" s="107" t="n">
        <x:v>896</x:v>
      </x:c>
      <x:c r="B897" s="128" t="n">
        <x:v>2.76207210383574</x:v>
      </x:c>
      <x:c r="C897" s="128" t="n">
        <x:f>LN(B897)</x:f>
        <x:v>1.0159811603073745</x:v>
      </x:c>
      <x:c r="D897" s="128" t="n">
        <x:f>'Итоги'!$B$8*AVERAGE($C$2:C897)</x:f>
        <x:v>1.2881247917396774</x:v>
      </x:c>
      <x:c r="E897" s="128" t="n">
        <x:f>'Итоги'!$B$9</x:f>
        <x:v>1.2958368660043291</x:v>
      </x:c>
      <x:c r="F897" s="129" t="n">
        <x:f>ABS(D897-E897)</x:f>
        <x:v>0.007712074264651703</x:v>
      </x:c>
    </x:row>
    <x:row r="898">
      <x:c r="A898" s="107" t="n">
        <x:v>897</x:v>
      </x:c>
      <x:c r="B898" s="128" t="n">
        <x:v>1.5562267137429757</x:v>
      </x:c>
      <x:c r="C898" s="128" t="n">
        <x:f>LN(B898)</x:f>
        <x:v>0.4422641180622106</x:v>
      </x:c>
      <x:c r="D898" s="128" t="n">
        <x:f>'Итоги'!$B$8*AVERAGE($C$2:C898)</x:f>
        <x:v>1.2876748513209313</x:v>
      </x:c>
      <x:c r="E898" s="128" t="n">
        <x:f>'Итоги'!$B$9</x:f>
        <x:v>1.2958368660043291</x:v>
      </x:c>
      <x:c r="F898" s="129" t="n">
        <x:f>ABS(D898-E898)</x:f>
        <x:v>0.008162014683397834</x:v>
      </x:c>
    </x:row>
    <x:row r="899">
      <x:c r="A899" s="107" t="n">
        <x:v>898</x:v>
      </x:c>
      <x:c r="B899" s="128" t="n">
        <x:v>1.404176203290956</x:v>
      </x:c>
      <x:c r="C899" s="128" t="n">
        <x:f>LN(B899)</x:f>
        <x:v>0.3394507986485221</x:v>
      </x:c>
      <x:c r="D899" s="128" t="n">
        <x:f>'Итоги'!$B$8*AVERAGE($C$2:C899)</x:f>
        <x:v>1.2869969301026418</x:v>
      </x:c>
      <x:c r="E899" s="128" t="n">
        <x:f>'Итоги'!$B$9</x:f>
        <x:v>1.2958368660043291</x:v>
      </x:c>
      <x:c r="F899" s="129" t="n">
        <x:f>ABS(D899-E899)</x:f>
        <x:v>0.008839935901687301</x:v>
      </x:c>
    </x:row>
    <x:row r="900">
      <x:c r="A900" s="107" t="n">
        <x:v>899</x:v>
      </x:c>
      <x:c r="B900" s="128" t="n">
        <x:v>1.3715322697421743</x:v>
      </x:c>
      <x:c r="C900" s="128" t="n">
        <x:f>LN(B900)</x:f>
        <x:v>0.3159285599136005</x:v>
      </x:c>
      <x:c r="D900" s="128" t="n">
        <x:f>'Итоги'!$B$8*AVERAGE($C$2:C900)</x:f>
        <x:v>1.2862681872658503</x:v>
      </x:c>
      <x:c r="E900" s="128" t="n">
        <x:f>'Итоги'!$B$9</x:f>
        <x:v>1.2958368660043291</x:v>
      </x:c>
      <x:c r="F900" s="129" t="n">
        <x:f>ABS(D900-E900)</x:f>
        <x:v>0.009568678738478775</x:v>
      </x:c>
    </x:row>
    <x:row r="901">
      <x:c r="A901" s="107" t="n">
        <x:v>900</x:v>
      </x:c>
      <x:c r="B901" s="128" t="n">
        <x:v>2.0440246027330247</x:v>
      </x:c>
      <x:c r="C901" s="128" t="n">
        <x:f>LN(B901)</x:f>
        <x:v>0.7149207088311643</x:v>
      </x:c>
      <x:c r="D901" s="128" t="n">
        <x:f>'Итоги'!$B$8*AVERAGE($C$2:C901)</x:f>
        <x:v>1.286427713077402</x:v>
      </x:c>
      <x:c r="E901" s="128" t="n">
        <x:f>'Итоги'!$B$9</x:f>
        <x:v>1.2958368660043291</x:v>
      </x:c>
      <x:c r="F901" s="129" t="n">
        <x:f>ABS(D901-E901)</x:f>
        <x:v>0.009409152926927122</x:v>
      </x:c>
    </x:row>
    <x:row r="902">
      <x:c r="A902" s="107" t="n">
        <x:v>901</x:v>
      </x:c>
      <x:c r="B902" s="128" t="n">
        <x:v>1.936833282493542</x:v>
      </x:c>
      <x:c r="C902" s="128" t="n">
        <x:f>LN(B902)</x:f>
        <x:v>0.6610543107637571</x:v>
      </x:c>
      <x:c r="D902" s="128" t="n">
        <x:f>'Итоги'!$B$8*AVERAGE($C$2:C902)</x:f>
        <x:v>1.286467314529622</x:v>
      </x:c>
      <x:c r="E902" s="128" t="n">
        <x:f>'Итоги'!$B$9</x:f>
        <x:v>1.2958368660043291</x:v>
      </x:c>
      <x:c r="F902" s="129" t="n">
        <x:f>ABS(D902-E902)</x:f>
        <x:v>0.009369551474707194</x:v>
      </x:c>
    </x:row>
    <x:row r="903">
      <x:c r="A903" s="107" t="n">
        <x:v>902</x:v>
      </x:c>
      <x:c r="B903" s="128" t="n">
        <x:v>1.5188796797090685</x:v>
      </x:c>
      <x:c r="C903" s="128" t="n">
        <x:f>LN(B903)</x:f>
        <x:v>0.41797301027823075</x:v>
      </x:c>
      <x:c r="D903" s="128" t="n">
        <x:f>'Итоги'!$B$8*AVERAGE($C$2:C903)</x:f>
        <x:v>1.285967845245838</x:v>
      </x:c>
      <x:c r="E903" s="128" t="n">
        <x:f>'Итоги'!$B$9</x:f>
        <x:v>1.2958368660043291</x:v>
      </x:c>
      <x:c r="F903" s="129" t="n">
        <x:f>ABS(D903-E903)</x:f>
        <x:v>0.009869020758491054</x:v>
      </x:c>
    </x:row>
    <x:row r="904">
      <x:c r="A904" s="107" t="n">
        <x:v>903</x:v>
      </x:c>
      <x:c r="B904" s="128" t="n">
        <x:v>1.0903462339788528</x:v>
      </x:c>
      <x:c r="C904" s="128" t="n">
        <x:f>LN(B904)</x:f>
        <x:v>0.08649529165444797</x:v>
      </x:c>
      <x:c r="D904" s="128" t="n">
        <x:f>'Итоги'!$B$8*AVERAGE($C$2:C904)</x:f>
        <x:v>1.2847353122868825</x:v>
      </x:c>
      <x:c r="E904" s="128" t="n">
        <x:f>'Итоги'!$B$9</x:f>
        <x:v>1.2958368660043291</x:v>
      </x:c>
      <x:c r="F904" s="129" t="n">
        <x:f>ABS(D904-E904)</x:f>
        <x:v>0.011101553717446588</x:v>
      </x:c>
    </x:row>
    <x:row r="905">
      <x:c r="A905" s="107" t="n">
        <x:v>904</x:v>
      </x:c>
      <x:c r="B905" s="128" t="n">
        <x:v>1.9629826806525614</x:v>
      </x:c>
      <x:c r="C905" s="128" t="n">
        <x:f>LN(B905)</x:f>
        <x:v>0.6744650923580823</x:v>
      </x:c>
      <x:c r="D905" s="128" t="n">
        <x:f>'Итоги'!$B$8*AVERAGE($C$2:C905)</x:f>
        <x:v>1.2848063243139063</x:v>
      </x:c>
      <x:c r="E905" s="128" t="n">
        <x:f>'Итоги'!$B$9</x:f>
        <x:v>1.2958368660043291</x:v>
      </x:c>
      <x:c r="F905" s="129" t="n">
        <x:f>ABS(D905-E905)</x:f>
        <x:v>0.011030541690422835</x:v>
      </x:c>
    </x:row>
    <x:row r="906">
      <x:c r="A906" s="107" t="n">
        <x:v>905</x:v>
      </x:c>
      <x:c r="B906" s="128" t="n">
        <x:v>2.9186646952712167</x:v>
      </x:c>
      <x:c r="C906" s="128" t="n">
        <x:f>LN(B906)</x:f>
        <x:v>1.071126215548429</x:v>
      </x:c>
      <x:c r="D906" s="128" t="n">
        <x:f>'Итоги'!$B$8*AVERAGE($C$2:C906)</x:f>
        <x:v>1.2857537785755448</x:v>
      </x:c>
      <x:c r="E906" s="128" t="n">
        <x:f>'Итоги'!$B$9</x:f>
        <x:v>1.2958368660043291</x:v>
      </x:c>
      <x:c r="F906" s="129" t="n">
        <x:f>ABS(D906-E906)</x:f>
        <x:v>0.010083087428784276</x:v>
      </x:c>
    </x:row>
    <x:row r="907">
      <x:c r="A907" s="107" t="n">
        <x:v>906</x:v>
      </x:c>
      <x:c r="B907" s="128" t="n">
        <x:v>2.3050384015053265</x:v>
      </x:c>
      <x:c r="C907" s="128" t="n">
        <x:f>LN(B907)</x:f>
        <x:v>0.8350973363989128</x:v>
      </x:c>
      <x:c r="D907" s="128" t="n">
        <x:f>'Итоги'!$B$8*AVERAGE($C$2:C907)</x:f>
        <x:v>1.286178106273362</x:v>
      </x:c>
      <x:c r="E907" s="128" t="n">
        <x:f>'Итоги'!$B$9</x:f>
        <x:v>1.2958368660043291</x:v>
      </x:c>
      <x:c r="F907" s="129" t="n">
        <x:f>ABS(D907-E907)</x:f>
        <x:v>0.009658759730967192</x:v>
      </x:c>
    </x:row>
    <x:row r="908">
      <x:c r="A908" s="107" t="n">
        <x:v>907</x:v>
      </x:c>
      <x:c r="B908" s="128" t="n">
        <x:v>1.9910131132572368</x:v>
      </x:c>
      <x:c r="C908" s="128" t="n">
        <x:f>LN(B908)</x:f>
        <x:v>0.688643611327189</x:v>
      </x:c>
      <x:c r="D908" s="128" t="n">
        <x:f>'Итоги'!$B$8*AVERAGE($C$2:C908)</x:f>
        <x:v>1.2862785573388316</x:v>
      </x:c>
      <x:c r="E908" s="128" t="n">
        <x:f>'Итоги'!$B$9</x:f>
        <x:v>1.2958368660043291</x:v>
      </x:c>
      <x:c r="F908" s="129" t="n">
        <x:f>ABS(D908-E908)</x:f>
        <x:v>0.009558308665497561</x:v>
      </x:c>
    </x:row>
    <x:row r="909">
      <x:c r="A909" s="107" t="n">
        <x:v>908</x:v>
      </x:c>
      <x:c r="B909" s="128" t="n">
        <x:v>1.2213841480592322</x:v>
      </x:c>
      <x:c r="C909" s="128" t="n">
        <x:f>LN(B909)</x:f>
        <x:v>0.1999847632219654</x:v>
      </x:c>
      <x:c r="D909" s="128" t="n">
        <x:f>'Итоги'!$B$8*AVERAGE($C$2:C909)</x:f>
        <x:v>1.2853024460713263</x:v>
      </x:c>
      <x:c r="E909" s="128" t="n">
        <x:f>'Итоги'!$B$9</x:f>
        <x:v>1.2958368660043291</x:v>
      </x:c>
      <x:c r="F909" s="129" t="n">
        <x:f>ABS(D909-E909)</x:f>
        <x:v>0.010534419933002859</x:v>
      </x:c>
    </x:row>
    <x:row r="910">
      <x:c r="A910" s="107" t="n">
        <x:v>909</x:v>
      </x:c>
      <x:c r="B910" s="128" t="n">
        <x:v>1.5048725810991745</x:v>
      </x:c>
      <x:c r="C910" s="128" t="n">
        <x:f>LN(B910)</x:f>
        <x:v>0.40870823089518515</x:v>
      </x:c>
      <x:c r="D910" s="128" t="n">
        <x:f>'Итоги'!$B$8*AVERAGE($C$2:C910)</x:f>
        <x:v>1.2847877200160118</x:v>
      </x:c>
      <x:c r="E910" s="128" t="n">
        <x:f>'Итоги'!$B$9</x:f>
        <x:v>1.2958368660043291</x:v>
      </x:c>
      <x:c r="F910" s="129" t="n">
        <x:f>ABS(D910-E910)</x:f>
        <x:v>0.0110491459883173</x:v>
      </x:c>
    </x:row>
    <x:row r="911">
      <x:c r="A911" s="107" t="n">
        <x:v>910</x:v>
      </x:c>
      <x:c r="B911" s="128" t="n">
        <x:v>1.5895478991490855</x:v>
      </x:c>
      <x:c r="C911" s="128" t="n">
        <x:f>LN(B911)</x:f>
        <x:v>0.46344963564200503</x:v>
      </x:c>
      <x:c r="D911" s="128" t="n">
        <x:f>'Итоги'!$B$8*AVERAGE($C$2:C911)</x:f>
        <x:v>1.284394436006416</x:v>
      </x:c>
      <x:c r="E911" s="128" t="n">
        <x:f>'Итоги'!$B$9</x:f>
        <x:v>1.2958368660043291</x:v>
      </x:c>
      <x:c r="F911" s="129" t="n">
        <x:f>ABS(D911-E911)</x:f>
        <x:v>0.011442429997913228</x:v>
      </x:c>
    </x:row>
    <x:row r="912">
      <x:c r="A912" s="107" t="n">
        <x:v>911</x:v>
      </x:c>
      <x:c r="B912" s="128" t="n">
        <x:v>2.5296071052144686</x:v>
      </x:c>
      <x:c r="C912" s="128" t="n">
        <x:f>LN(B912)</x:f>
        <x:v>0.9280639962983749</x:v>
      </x:c>
      <x:c r="D912" s="128" t="n">
        <x:f>'Итоги'!$B$8*AVERAGE($C$2:C912)</x:f>
        <x:v>1.2850220249818172</x:v>
      </x:c>
      <x:c r="E912" s="128" t="n">
        <x:f>'Итоги'!$B$9</x:f>
        <x:v>1.2958368660043291</x:v>
      </x:c>
      <x:c r="F912" s="129" t="n">
        <x:f>ABS(D912-E912)</x:f>
        <x:v>0.010814841022511956</x:v>
      </x:c>
    </x:row>
    <x:row r="913">
      <x:c r="A913" s="107" t="n">
        <x:v>912</x:v>
      </x:c>
      <x:c r="B913" s="128" t="n">
        <x:v>2.7534215945292386</x:v>
      </x:c>
      <x:c r="C913" s="128" t="n">
        <x:f>LN(B913)</x:f>
        <x:v>1.0128443544754113</x:v>
      </x:c>
      <x:c r="D913" s="128" t="n">
        <x:f>'Итоги'!$B$8*AVERAGE($C$2:C913)</x:f>
        <x:v>1.285834159503713</x:v>
      </x:c>
      <x:c r="E913" s="128" t="n">
        <x:f>'Итоги'!$B$9</x:f>
        <x:v>1.2958368660043291</x:v>
      </x:c>
      <x:c r="F913" s="129" t="n">
        <x:f>ABS(D913-E913)</x:f>
        <x:v>0.010002706500616076</x:v>
      </x:c>
    </x:row>
    <x:row r="914">
      <x:c r="A914" s="107" t="n">
        <x:v>913</x:v>
      </x:c>
      <x:c r="B914" s="128" t="n">
        <x:v>2.803283707132877</x:v>
      </x:c>
      <x:c r="C914" s="128" t="n">
        <x:f>LN(B914)</x:f>
        <x:v>1.030791482591521</x:v>
      </x:c>
      <x:c r="D914" s="128" t="n">
        <x:f>'Итоги'!$B$8*AVERAGE($C$2:C914)</x:f>
        <x:v>1.2866838296085097</x:v>
      </x:c>
      <x:c r="E914" s="128" t="n">
        <x:f>'Итоги'!$B$9</x:f>
        <x:v>1.2958368660043291</x:v>
      </x:c>
      <x:c r="F914" s="129" t="n">
        <x:f>ABS(D914-E914)</x:f>
        <x:v>0.009153036395819436</x:v>
      </x:c>
    </x:row>
    <x:row r="915">
      <x:c r="A915" s="107" t="n">
        <x:v>914</x:v>
      </x:c>
      <x:c r="B915" s="128" t="n">
        <x:v>2.969137216501508</x:v>
      </x:c>
      <x:c r="C915" s="128" t="n">
        <x:f>LN(B915)</x:f>
        <x:v>1.0882714111170149</x:v>
      </x:c>
      <x:c r="D915" s="128" t="n">
        <x:f>'Итоги'!$B$8*AVERAGE($C$2:C915)</x:f>
        <x:v>1.2876574171277937</x:v>
      </x:c>
      <x:c r="E915" s="128" t="n">
        <x:f>'Итоги'!$B$9</x:f>
        <x:v>1.2958368660043291</x:v>
      </x:c>
      <x:c r="F915" s="129" t="n">
        <x:f>ABS(D915-E915)</x:f>
        <x:v>0.008179448876535433</x:v>
      </x:c>
    </x:row>
    <x:row r="916">
      <x:c r="A916" s="107" t="n">
        <x:v>915</x:v>
      </x:c>
      <x:c r="B916" s="128" t="n">
        <x:v>2.9647333662090647</x:v>
      </x:c>
      <x:c r="C916" s="128" t="n">
        <x:f>LN(B916)</x:f>
        <x:v>1.086787101326433</x:v>
      </x:c>
      <x:c r="D916" s="128" t="n">
        <x:f>'Итоги'!$B$8*AVERAGE($C$2:C916)</x:f>
        <x:v>1.2886256321939413</x:v>
      </x:c>
      <x:c r="E916" s="128" t="n">
        <x:f>'Итоги'!$B$9</x:f>
        <x:v>1.2958368660043291</x:v>
      </x:c>
      <x:c r="F916" s="129" t="n">
        <x:f>ABS(D916-E916)</x:f>
        <x:v>0.007211233810387796</x:v>
      </x:c>
    </x:row>
    <x:row r="917">
      <x:c r="A917" s="107" t="n">
        <x:v>916</x:v>
      </x:c>
      <x:c r="B917" s="128" t="n">
        <x:v>2.905998265535963</x:v>
      </x:c>
      <x:c r="C917" s="128" t="n">
        <x:f>LN(B917)</x:f>
        <x:v>1.0667769682917405</x:v>
      </x:c>
      <x:c r="D917" s="128" t="n">
        <x:f>'Итоги'!$B$8*AVERAGE($C$2:C917)</x:f>
        <x:v>1.2895480430065935</x:v>
      </x:c>
      <x:c r="E917" s="128" t="n">
        <x:f>'Итоги'!$B$9</x:f>
        <x:v>1.2958368660043291</x:v>
      </x:c>
      <x:c r="F917" s="129" t="n">
        <x:f>ABS(D917-E917)</x:f>
        <x:v>0.006288822997735588</x:v>
      </x:c>
    </x:row>
    <x:row r="918">
      <x:c r="A918" s="107" t="n">
        <x:v>917</x:v>
      </x:c>
      <x:c r="B918" s="128" t="n">
        <x:v>1.1436442810057688</x:v>
      </x:c>
      <x:c r="C918" s="128" t="n">
        <x:f>LN(B918)</x:f>
        <x:v>0.1342199014279774</x:v>
      </x:c>
      <x:c r="D918" s="128" t="n">
        <x:f>'Итоги'!$B$8*AVERAGE($C$2:C918)</x:f>
        <x:v>1.2884345116650988</x:v>
      </x:c>
      <x:c r="E918" s="128" t="n">
        <x:f>'Итоги'!$B$9</x:f>
        <x:v>1.2958368660043291</x:v>
      </x:c>
      <x:c r="F918" s="129" t="n">
        <x:f>ABS(D918-E918)</x:f>
        <x:v>0.00740235433923031</x:v>
      </x:c>
    </x:row>
    <x:row r="919">
      <x:c r="A919" s="107" t="n">
        <x:v>918</x:v>
      </x:c>
      <x:c r="B919" s="128" t="n">
        <x:v>1.2755870718556104</x:v>
      </x:c>
      <x:c r="C919" s="128" t="n">
        <x:f>LN(B919)</x:f>
        <x:v>0.24340652115070566</x:v>
      </x:c>
      <x:c r="D919" s="128" t="n">
        <x:f>'Итоги'!$B$8*AVERAGE($C$2:C919)</x:f>
        <x:v>1.2875612856636134</x:v>
      </x:c>
      <x:c r="E919" s="128" t="n">
        <x:f>'Итоги'!$B$9</x:f>
        <x:v>1.2958368660043291</x:v>
      </x:c>
      <x:c r="F919" s="129" t="n">
        <x:f>ABS(D919-E919)</x:f>
        <x:v>0.008275580340715738</x:v>
      </x:c>
    </x:row>
    <x:row r="920">
      <x:c r="A920" s="107" t="n">
        <x:v>919</x:v>
      </x:c>
      <x:c r="B920" s="128" t="n">
        <x:v>1.6089330529520658</x:v>
      </x:c>
      <x:c r="C920" s="128" t="n">
        <x:f>LN(B920)</x:f>
        <x:v>0.4755712592838729</x:v>
      </x:c>
      <x:c r="D920" s="128" t="n">
        <x:f>'Итоги'!$B$8*AVERAGE($C$2:C920)</x:f>
        <x:v>1.2871952151879924</x:v>
      </x:c>
      <x:c r="E920" s="128" t="n">
        <x:f>'Итоги'!$B$9</x:f>
        <x:v>1.2958368660043291</x:v>
      </x:c>
      <x:c r="F920" s="129" t="n">
        <x:f>ABS(D920-E920)</x:f>
        <x:v>0.008641650816336721</x:v>
      </x:c>
    </x:row>
    <x:row r="921">
      <x:c r="A921" s="107" t="n">
        <x:v>920</x:v>
      </x:c>
      <x:c r="B921" s="128" t="n">
        <x:v>2.1057965081289227</x:v>
      </x:c>
      <x:c r="C921" s="128" t="n">
        <x:f>LN(B921)</x:f>
        <x:v>0.7446937842232304</x:v>
      </x:c>
      <x:c r="D921" s="128" t="n">
        <x:f>'Итоги'!$B$8*AVERAGE($C$2:C921)</x:f>
        <x:v>1.2874149894850124</x:v>
      </x:c>
      <x:c r="E921" s="128" t="n">
        <x:f>'Итоги'!$B$9</x:f>
        <x:v>1.2958368660043291</x:v>
      </x:c>
      <x:c r="F921" s="129" t="n">
        <x:f>ABS(D921-E921)</x:f>
        <x:v>0.008421876519316696</x:v>
      </x:c>
    </x:row>
    <x:row r="922">
      <x:c r="A922" s="107" t="n">
        <x:v>921</x:v>
      </x:c>
      <x:c r="B922" s="128" t="n">
        <x:v>1.1939557774109586</x:v>
      </x:c>
      <x:c r="C922" s="128" t="n">
        <x:f>LN(B922)</x:f>
        <x:v>0.1772719769402552</x:v>
      </x:c>
      <x:c r="D922" s="128" t="n">
        <x:f>'Итоги'!$B$8*AVERAGE($C$2:C922)</x:f>
        <x:v>1.2864021001955397</x:v>
      </x:c>
      <x:c r="E922" s="128" t="n">
        <x:f>'Итоги'!$B$9</x:f>
        <x:v>1.2958368660043291</x:v>
      </x:c>
      <x:c r="F922" s="129" t="n">
        <x:f>ABS(D922-E922)</x:f>
        <x:v>0.009434765808789436</x:v>
      </x:c>
    </x:row>
    <x:row r="923">
      <x:c r="A923" s="107" t="n">
        <x:v>922</x:v>
      </x:c>
      <x:c r="B923" s="128" t="n">
        <x:v>2.691593915604285</x:v>
      </x:c>
      <x:c r="C923" s="128" t="n">
        <x:f>LN(B923)</x:f>
        <x:v>0.9901335518168706</x:v>
      </x:c>
      <x:c r="D923" s="128" t="n">
        <x:f>'Итоги'!$B$8*AVERAGE($C$2:C923)</x:f>
        <x:v>1.2871546652751904</x:v>
      </x:c>
      <x:c r="E923" s="128" t="n">
        <x:f>'Итоги'!$B$9</x:f>
        <x:v>1.2958368660043291</x:v>
      </x:c>
      <x:c r="F923" s="129" t="n">
        <x:f>ABS(D923-E923)</x:f>
        <x:v>0.008682200729138723</x:v>
      </x:c>
    </x:row>
    <x:row r="924">
      <x:c r="A924" s="107" t="n">
        <x:v>923</x:v>
      </x:c>
      <x:c r="B924" s="128" t="n">
        <x:v>2.233512358154618</x:v>
      </x:c>
      <x:c r="C924" s="128" t="n">
        <x:f>LN(B924)</x:f>
        <x:v>0.8035753948838795</x:v>
      </x:c>
      <x:c r="D924" s="128" t="n">
        <x:f>'Итоги'!$B$8*AVERAGE($C$2:C924)</x:f>
        <x:v>1.2875013566343374</x:v>
      </x:c>
      <x:c r="E924" s="128" t="n">
        <x:f>'Итоги'!$B$9</x:f>
        <x:v>1.2958368660043291</x:v>
      </x:c>
      <x:c r="F924" s="129" t="n">
        <x:f>ABS(D924-E924)</x:f>
        <x:v>0.008335509369991723</x:v>
      </x:c>
    </x:row>
    <x:row r="925">
      <x:c r="A925" s="107" t="n">
        <x:v>924</x:v>
      </x:c>
      <x:c r="B925" s="128" t="n">
        <x:v>2.08472880460441</x:v>
      </x:c>
      <x:c r="C925" s="128" t="n">
        <x:f>LN(B925)</x:f>
        <x:v>0.7346387770568673</x:v>
      </x:c>
      <x:c r="D925" s="128" t="n">
        <x:f>'Итоги'!$B$8*AVERAGE($C$2:C925)</x:f>
        <x:v>1.2876980841207868</x:v>
      </x:c>
      <x:c r="E925" s="128" t="n">
        <x:f>'Итоги'!$B$9</x:f>
        <x:v>1.2958368660043291</x:v>
      </x:c>
      <x:c r="F925" s="129" t="n">
        <x:f>ABS(D925-E925)</x:f>
        <x:v>0.008138781883542334</x:v>
      </x:c>
    </x:row>
    <x:row r="926">
      <x:c r="A926" s="107" t="n">
        <x:v>925</x:v>
      </x:c>
      <x:c r="B926" s="128" t="n">
        <x:v>1.3306226467345823</x:v>
      </x:c>
      <x:c r="C926" s="128" t="n">
        <x:f>LN(B926)</x:f>
        <x:v>0.28564698812262995</x:v>
      </x:c>
      <x:c r="D926" s="128" t="n">
        <x:f>'Итоги'!$B$8*AVERAGE($C$2:C926)</x:f>
        <x:v>1.2869235931933538</x:v>
      </x:c>
      <x:c r="E926" s="128" t="n">
        <x:f>'Итоги'!$B$9</x:f>
        <x:v>1.2958368660043291</x:v>
      </x:c>
      <x:c r="F926" s="129" t="n">
        <x:f>ABS(D926-E926)</x:f>
        <x:v>0.008913272810975315</x:v>
      </x:c>
    </x:row>
    <x:row r="927">
      <x:c r="A927" s="107" t="n">
        <x:v>926</x:v>
      </x:c>
      <x:c r="B927" s="128" t="n">
        <x:v>1.5065109488003947</x:v>
      </x:c>
      <x:c r="C927" s="128" t="n">
        <x:f>LN(B927)</x:f>
        <x:v>0.4097963472686759</x:v>
      </x:c>
      <x:c r="D927" s="128" t="n">
        <x:f>'Итоги'!$B$8*AVERAGE($C$2:C927)</x:f>
        <x:v>1.286418916196965</x:v>
      </x:c>
      <x:c r="E927" s="128" t="n">
        <x:f>'Итоги'!$B$9</x:f>
        <x:v>1.2958368660043291</x:v>
      </x:c>
      <x:c r="F927" s="129" t="n">
        <x:f>ABS(D927-E927)</x:f>
        <x:v>0.009417949807364101</x:v>
      </x:c>
    </x:row>
    <x:row r="928">
      <x:c r="A928" s="107" t="n">
        <x:v>927</x:v>
      </x:c>
      <x:c r="B928" s="128" t="n">
        <x:v>1.320624049964516</x:v>
      </x:c>
      <x:c r="C928" s="128" t="n">
        <x:f>LN(B928)</x:f>
        <x:v>0.27810439000469095</x:v>
      </x:c>
      <x:c r="D928" s="128" t="n">
        <x:f>'Итоги'!$B$8*AVERAGE($C$2:C928)</x:f>
        <x:v>1.2856312029971941</x:v>
      </x:c>
      <x:c r="E928" s="128" t="n">
        <x:f>'Итоги'!$B$9</x:f>
        <x:v>1.2958368660043291</x:v>
      </x:c>
      <x:c r="F928" s="129" t="n">
        <x:f>ABS(D928-E928)</x:f>
        <x:v>0.01020566300713499</x:v>
      </x:c>
    </x:row>
    <x:row r="929">
      <x:c r="A929" s="107" t="n">
        <x:v>928</x:v>
      </x:c>
      <x:c r="B929" s="128" t="n">
        <x:v>2.7038663155895972</x:v>
      </x:c>
      <x:c r="C929" s="128" t="n">
        <x:f>LN(B929)</x:f>
        <x:v>0.9946827174576567</x:v>
      </x:c>
      <x:c r="D929" s="128" t="n">
        <x:f>'Итоги'!$B$8*AVERAGE($C$2:C929)</x:f>
        <x:v>1.28638953729883</x:v>
      </x:c>
      <x:c r="E929" s="128" t="n">
        <x:f>'Итоги'!$B$9</x:f>
        <x:v>1.2958368660043291</x:v>
      </x:c>
      <x:c r="F929" s="129" t="n">
        <x:f>ABS(D929-E929)</x:f>
        <x:v>0.009447328705499025</x:v>
      </x:c>
    </x:row>
    <x:row r="930">
      <x:c r="A930" s="107" t="n">
        <x:v>929</x:v>
      </x:c>
      <x:c r="B930" s="128" t="n">
        <x:v>2.168455720122436</x:v>
      </x:c>
      <x:c r="C930" s="128" t="n">
        <x:f>LN(B930)</x:f>
        <x:v>0.7740152644963466</x:v>
      </x:c>
      <x:c r="D930" s="128" t="n">
        <x:f>'Итоги'!$B$8*AVERAGE($C$2:C930)</x:f>
        <x:v>1.2866711745342378</x:v>
      </x:c>
      <x:c r="E930" s="128" t="n">
        <x:f>'Итоги'!$B$9</x:f>
        <x:v>1.2958368660043291</x:v>
      </x:c>
      <x:c r="F930" s="129" t="n">
        <x:f>ABS(D930-E930)</x:f>
        <x:v>0.009165691470091275</x:v>
      </x:c>
    </x:row>
    <x:row r="931">
      <x:c r="A931" s="107" t="n">
        <x:v>930</x:v>
      </x:c>
      <x:c r="B931" s="128" t="n">
        <x:v>2.470258855039267</x:v>
      </x:c>
      <x:c r="C931" s="128" t="n">
        <x:f>LN(B931)</x:f>
        <x:v>0.9043229447598294</x:v>
      </x:c>
      <x:c r="D931" s="128" t="n">
        <x:f>'Итоги'!$B$8*AVERAGE($C$2:C931)</x:f>
        <x:v>1.2872324376686308</x:v>
      </x:c>
      <x:c r="E931" s="128" t="n">
        <x:f>'Итоги'!$B$9</x:f>
        <x:v>1.2958368660043291</x:v>
      </x:c>
      <x:c r="F931" s="129" t="n">
        <x:f>ABS(D931-E931)</x:f>
        <x:v>0.0086044283356983</x:v>
      </x:c>
    </x:row>
    <x:row r="932">
      <x:c r="A932" s="107" t="n">
        <x:v>931</x:v>
      </x:c>
      <x:c r="B932" s="128" t="n">
        <x:v>1.5920657258200515</x:v>
      </x:c>
      <x:c r="C932" s="128" t="n">
        <x:f>LN(B932)</x:f>
        <x:v>0.4650323716328329</x:v>
      </x:c>
      <x:c r="D932" s="128" t="n">
        <x:f>'Итоги'!$B$8*AVERAGE($C$2:C932)</x:f>
        <x:v>1.2868487988991324</x:v>
      </x:c>
      <x:c r="E932" s="128" t="n">
        <x:f>'Итоги'!$B$9</x:f>
        <x:v>1.2958368660043291</x:v>
      </x:c>
      <x:c r="F932" s="129" t="n">
        <x:f>ABS(D932-E932)</x:f>
        <x:v>0.008988067105196729</x:v>
      </x:c>
    </x:row>
    <x:row r="933">
      <x:c r="A933" s="107" t="n">
        <x:v>932</x:v>
      </x:c>
      <x:c r="B933" s="128" t="n">
        <x:v>1.7425052741765543</x:v>
      </x:c>
      <x:c r="C933" s="128" t="n">
        <x:f>LN(B933)</x:f>
        <x:v>0.5553238904350799</x:v>
      </x:c>
      <x:c r="D933" s="128" t="n">
        <x:f>'Итоги'!$B$8*AVERAGE($C$2:C933)</x:f>
        <x:v>1.2866597420128352</x:v>
      </x:c>
      <x:c r="E933" s="128" t="n">
        <x:f>'Итоги'!$B$9</x:f>
        <x:v>1.2958368660043291</x:v>
      </x:c>
      <x:c r="F933" s="129" t="n">
        <x:f>ABS(D933-E933)</x:f>
        <x:v>0.009177123991493952</x:v>
      </x:c>
    </x:row>
    <x:row r="934">
      <x:c r="A934" s="107" t="n">
        <x:v>933</x:v>
      </x:c>
      <x:c r="B934" s="128" t="n">
        <x:v>1.8097099288530676</x:v>
      </x:c>
      <x:c r="C934" s="128" t="n">
        <x:f>LN(B934)</x:f>
        <x:v>0.5931665721325073</x:v>
      </x:c>
      <x:c r="D934" s="128" t="n">
        <x:f>'Итоги'!$B$8*AVERAGE($C$2:C934)</x:f>
        <x:v>1.2865522108255385</x:v>
      </x:c>
      <x:c r="E934" s="128" t="n">
        <x:f>'Итоги'!$B$9</x:f>
        <x:v>1.2958368660043291</x:v>
      </x:c>
      <x:c r="F934" s="129" t="n">
        <x:f>ABS(D934-E934)</x:f>
        <x:v>0.009284655178790624</x:v>
      </x:c>
    </x:row>
    <x:row r="935">
      <x:c r="A935" s="107" t="n">
        <x:v>934</x:v>
      </x:c>
      <x:c r="B935" s="128" t="n">
        <x:v>2.52002994348807</x:v>
      </x:c>
      <x:c r="C935" s="128" t="n">
        <x:f>LN(B935)</x:f>
        <x:v>0.9242707837892732</x:v>
      </x:c>
      <x:c r="D935" s="128" t="n">
        <x:f>'Итоги'!$B$8*AVERAGE($C$2:C935)</x:f>
        <x:v>1.2871539124922977</x:v>
      </x:c>
      <x:c r="E935" s="128" t="n">
        <x:f>'Итоги'!$B$9</x:f>
        <x:v>1.2958368660043291</x:v>
      </x:c>
      <x:c r="F935" s="129" t="n">
        <x:f>ABS(D935-E935)</x:f>
        <x:v>0.00868295351203141</x:v>
      </x:c>
    </x:row>
    <x:row r="936">
      <x:c r="A936" s="107" t="n">
        <x:v>935</x:v>
      </x:c>
      <x:c r="B936" s="128" t="n">
        <x:v>2.544705975349136</x:v>
      </x:c>
      <x:c r="C936" s="128" t="n">
        <x:f>LN(B936)</x:f>
        <x:v>0.9340151130136639</x:v>
      </x:c>
      <x:c r="D936" s="128" t="n">
        <x:f>'Итоги'!$B$8*AVERAGE($C$2:C936)</x:f>
        <x:v>1.28777517058164</x:v>
      </x:c>
      <x:c r="E936" s="128" t="n">
        <x:f>'Итоги'!$B$9</x:f>
        <x:v>1.2958368660043291</x:v>
      </x:c>
      <x:c r="F936" s="129" t="n">
        <x:f>ABS(D936-E936)</x:f>
        <x:v>0.008061695422689086</x:v>
      </x:c>
    </x:row>
    <x:row r="937">
      <x:c r="A937" s="107" t="n">
        <x:v>936</x:v>
      </x:c>
      <x:c r="B937" s="128" t="n">
        <x:v>1.4136270550280634</x:v>
      </x:c>
      <x:c r="C937" s="128" t="n">
        <x:f>LN(B937)</x:f>
        <x:v>0.3461587809375844</x:v>
      </x:c>
      <x:c r="D937" s="128" t="n">
        <x:f>'Итоги'!$B$8*AVERAGE($C$2:C937)</x:f>
        <x:v>1.2871389979227654</x:v>
      </x:c>
      <x:c r="E937" s="128" t="n">
        <x:f>'Итоги'!$B$9</x:f>
        <x:v>1.2958368660043291</x:v>
      </x:c>
      <x:c r="F937" s="129" t="n">
        <x:f>ABS(D937-E937)</x:f>
        <x:v>0.008697868081563698</x:v>
      </x:c>
    </x:row>
    <x:row r="938">
      <x:c r="A938" s="107" t="n">
        <x:v>937</x:v>
      </x:c>
      <x:c r="B938" s="128" t="n">
        <x:v>2.8830777134761982</x:v>
      </x:c>
      <x:c r="C938" s="128" t="n">
        <x:f>LN(B938)</x:f>
        <x:v>1.058858374059943</x:v>
      </x:c>
      <x:c r="D938" s="128" t="n">
        <x:f>'Итоги'!$B$8*AVERAGE($C$2:C938)</x:f>
        <x:v>1.288025420281567</x:v>
      </x:c>
      <x:c r="E938" s="128" t="n">
        <x:f>'Итоги'!$B$9</x:f>
        <x:v>1.2958368660043291</x:v>
      </x:c>
      <x:c r="F938" s="129" t="n">
        <x:f>ABS(D938-E938)</x:f>
        <x:v>0.007811445722762045</x:v>
      </x:c>
    </x:row>
    <x:row r="939">
      <x:c r="A939" s="107" t="n">
        <x:v>938</x:v>
      </x:c>
      <x:c r="B939" s="128" t="n">
        <x:v>1.2413106748873728</x:v>
      </x:c>
      <x:c r="C939" s="128" t="n">
        <x:f>LN(B939)</x:f>
        <x:v>0.2161678172670448</x:v>
      </x:c>
      <x:c r="D939" s="128" t="n">
        <x:f>'Итоги'!$B$8*AVERAGE($C$2:C939)</x:f>
        <x:v>1.2871131710430304</x:v>
      </x:c>
      <x:c r="E939" s="128" t="n">
        <x:f>'Итоги'!$B$9</x:f>
        <x:v>1.2958368660043291</x:v>
      </x:c>
      <x:c r="F939" s="129" t="n">
        <x:f>ABS(D939-E939)</x:f>
        <x:v>0.008723694961298767</x:v>
      </x:c>
    </x:row>
    <x:row r="940">
      <x:c r="A940" s="107" t="n">
        <x:v>939</x:v>
      </x:c>
      <x:c r="B940" s="128" t="n">
        <x:v>2.7922441648472605</x:v>
      </x:c>
      <x:c r="C940" s="128" t="n">
        <x:f>LN(B940)</x:f>
        <x:v>1.0268456326693167</x:v>
      </x:c>
      <x:c r="D940" s="128" t="n">
        <x:f>'Итоги'!$B$8*AVERAGE($C$2:C940)</x:f>
        <x:v>1.2879295481402568</x:v>
      </x:c>
      <x:c r="E940" s="128" t="n">
        <x:f>'Итоги'!$B$9</x:f>
        <x:v>1.2958368660043291</x:v>
      </x:c>
      <x:c r="F940" s="129" t="n">
        <x:f>ABS(D940-E940)</x:f>
        <x:v>0.007907317864072283</x:v>
      </x:c>
    </x:row>
    <x:row r="941">
      <x:c r="A941" s="107" t="n">
        <x:v>940</x:v>
      </x:c>
      <x:c r="B941" s="128" t="n">
        <x:v>1.2007912912996186</x:v>
      </x:c>
      <x:c r="C941" s="128" t="n">
        <x:f>LN(B941)</x:f>
        <x:v>0.182980748895442</x:v>
      </x:c>
      <x:c r="D941" s="128" t="n">
        <x:f>'Итоги'!$B$8*AVERAGE($C$2:C941)</x:f>
        <x:v>1.286948731065417</x:v>
      </x:c>
      <x:c r="E941" s="128" t="n">
        <x:f>'Итоги'!$B$9</x:f>
        <x:v>1.2958368660043291</x:v>
      </x:c>
      <x:c r="F941" s="129" t="n">
        <x:f>ABS(D941-E941)</x:f>
        <x:v>0.008888134938912051</x:v>
      </x:c>
    </x:row>
    <x:row r="942">
      <x:c r="A942" s="107" t="n">
        <x:v>941</x:v>
      </x:c>
      <x:c r="B942" s="128" t="n">
        <x:v>1.5290796223026222</x:v>
      </x:c>
      <x:c r="C942" s="128" t="n">
        <x:f>LN(B942)</x:f>
        <x:v>0.4246660003475388</x:v>
      </x:c>
      <x:c r="D942" s="128" t="n">
        <x:f>'Итоги'!$B$8*AVERAGE($C$2:C942)</x:f>
        <x:v>1.286483676091591</x:v>
      </x:c>
      <x:c r="E942" s="128" t="n">
        <x:f>'Итоги'!$B$9</x:f>
        <x:v>1.2958368660043291</x:v>
      </x:c>
      <x:c r="F942" s="129" t="n">
        <x:f>ABS(D942-E942)</x:f>
        <x:v>0.009353189912738147</x:v>
      </x:c>
    </x:row>
    <x:row r="943">
      <x:c r="A943" s="107" t="n">
        <x:v>942</x:v>
      </x:c>
      <x:c r="B943" s="128" t="n">
        <x:v>2.692957072135914</x:v>
      </x:c>
      <x:c r="C943" s="128" t="n">
        <x:f>LN(B943)</x:f>
        <x:v>0.9906398731661732</x:v>
      </x:c>
      <x:c r="D943" s="128" t="n">
        <x:f>'Итоги'!$B$8*AVERAGE($C$2:C943)</x:f>
        <x:v>1.2872212515377064</x:v>
      </x:c>
      <x:c r="E943" s="128" t="n">
        <x:f>'Итоги'!$B$9</x:f>
        <x:v>1.2958368660043291</x:v>
      </x:c>
      <x:c r="F943" s="129" t="n">
        <x:f>ABS(D943-E943)</x:f>
        <x:v>0.008615614466622734</x:v>
      </x:c>
    </x:row>
    <x:row r="944">
      <x:c r="A944" s="107" t="n">
        <x:v>943</x:v>
      </x:c>
      <x:c r="B944" s="128" t="n">
        <x:v>1.3589841446921749</x:v>
      </x:c>
      <x:c r="C944" s="128" t="n">
        <x:f>LN(B944)</x:f>
        <x:v>0.3067374682077727</x:v>
      </x:c>
      <x:c r="D944" s="128" t="n">
        <x:f>'Итоги'!$B$8*AVERAGE($C$2:C944)</x:f>
        <x:v>1.2865067803657848</x:v>
      </x:c>
      <x:c r="E944" s="128" t="n">
        <x:f>'Итоги'!$B$9</x:f>
        <x:v>1.2958368660043291</x:v>
      </x:c>
      <x:c r="F944" s="129" t="n">
        <x:f>ABS(D944-E944)</x:f>
        <x:v>0.009330085638544316</x:v>
      </x:c>
    </x:row>
    <x:row r="945">
      <x:c r="A945" s="107" t="n">
        <x:v>944</x:v>
      </x:c>
      <x:c r="B945" s="128" t="n">
        <x:v>1.8271358626199397</x:v>
      </x:c>
      <x:c r="C945" s="128" t="n">
        <x:f>LN(B945)</x:f>
        <x:v>0.6027496384076712</x:v>
      </x:c>
      <x:c r="D945" s="128" t="n">
        <x:f>'Итоги'!$B$8*AVERAGE($C$2:C945)</x:f>
        <x:v>1.2864209673323626</x:v>
      </x:c>
      <x:c r="E945" s="128" t="n">
        <x:f>'Итоги'!$B$9</x:f>
        <x:v>1.2958368660043291</x:v>
      </x:c>
      <x:c r="F945" s="129" t="n">
        <x:f>ABS(D945-E945)</x:f>
        <x:v>0.009415898671966572</x:v>
      </x:c>
    </x:row>
    <x:row r="946">
      <x:c r="A946" s="107" t="n">
        <x:v>945</x:v>
      </x:c>
      <x:c r="B946" s="128" t="n">
        <x:v>1.8997185998882524</x:v>
      </x:c>
      <x:c r="C946" s="128" t="n">
        <x:f>LN(B946)</x:f>
        <x:v>0.6417057698817461</x:v>
      </x:c>
      <x:c r="D946" s="128" t="n">
        <x:f>'Итоги'!$B$8*AVERAGE($C$2:C946)</x:f>
        <x:v>1.2864177827529246</x:v>
      </x:c>
      <x:c r="E946" s="128" t="n">
        <x:f>'Итоги'!$B$9</x:f>
        <x:v>1.2958368660043291</x:v>
      </x:c>
      <x:c r="F946" s="129" t="n">
        <x:f>ABS(D946-E946)</x:f>
        <x:v>0.009419083251404503</x:v>
      </x:c>
    </x:row>
    <x:row r="947">
      <x:c r="A947" s="107" t="n">
        <x:v>946</x:v>
      </x:c>
      <x:c r="B947" s="128" t="n">
        <x:v>1.4905179460464193</x:v>
      </x:c>
      <x:c r="C947" s="128" t="n">
        <x:f>LN(B947)</x:f>
        <x:v>0.39912367434959684</x:v>
      </x:c>
      <x:c r="D947" s="128" t="n">
        <x:f>'Итоги'!$B$8*AVERAGE($C$2:C947)</x:f>
        <x:v>1.2859017463532907</x:v>
      </x:c>
      <x:c r="E947" s="128" t="n">
        <x:f>'Итоги'!$B$9</x:f>
        <x:v>1.2958368660043291</x:v>
      </x:c>
      <x:c r="F947" s="129" t="n">
        <x:f>ABS(D947-E947)</x:f>
        <x:v>0.009935119651038438</x:v>
      </x:c>
    </x:row>
    <x:row r="948">
      <x:c r="A948" s="107" t="n">
        <x:v>947</x:v>
      </x:c>
      <x:c r="B948" s="128" t="n">
        <x:v>2.420490402671973</x:v>
      </x:c>
      <x:c r="C948" s="128" t="n">
        <x:f>LN(B948)</x:f>
        <x:v>0.8839701653709424</x:v>
      </x:c>
      <x:c r="D948" s="128" t="n">
        <x:f>'Итоги'!$B$8*AVERAGE($C$2:C948)</x:f>
        <x:v>1.2864107628098784</x:v>
      </x:c>
      <x:c r="E948" s="128" t="n">
        <x:f>'Итоги'!$B$9</x:f>
        <x:v>1.2958368660043291</x:v>
      </x:c>
      <x:c r="F948" s="129" t="n">
        <x:f>ABS(D948-E948)</x:f>
        <x:v>0.009426103194450697</x:v>
      </x:c>
    </x:row>
    <x:row r="949">
      <x:c r="A949" s="107" t="n">
        <x:v>948</x:v>
      </x:c>
      <x:c r="B949" s="128" t="n">
        <x:v>2.7026692988044076</x:v>
      </x:c>
      <x:c r="C949" s="128" t="n">
        <x:f>LN(B949)</x:f>
        <x:v>0.9942399138251192</x:v>
      </x:c>
      <x:c r="D949" s="128" t="n">
        <x:f>'Итоги'!$B$8*AVERAGE($C$2:C949)</x:f>
        <x:v>1.2871513419921994</x:v>
      </x:c>
      <x:c r="E949" s="128" t="n">
        <x:f>'Итоги'!$B$9</x:f>
        <x:v>1.2958368660043291</x:v>
      </x:c>
      <x:c r="F949" s="129" t="n">
        <x:f>ABS(D949-E949)</x:f>
        <x:v>0.008685524012129742</x:v>
      </x:c>
    </x:row>
    <x:row r="950">
      <x:c r="A950" s="107" t="n">
        <x:v>949</x:v>
      </x:c>
      <x:c r="B950" s="128" t="n">
        <x:v>2.7491502797111433</x:v>
      </x:c>
      <x:c r="C950" s="128" t="n">
        <x:f>LN(B950)</x:f>
        <x:v>1.0112918747355346</x:v>
      </x:c>
      <x:c r="D950" s="128" t="n">
        <x:f>'Итоги'!$B$8*AVERAGE($C$2:C950)</x:f>
        <x:v>1.287926297110723</x:v>
      </x:c>
      <x:c r="E950" s="128" t="n">
        <x:f>'Итоги'!$B$9</x:f>
        <x:v>1.2958368660043291</x:v>
      </x:c>
      <x:c r="F950" s="129" t="n">
        <x:f>ABS(D950-E950)</x:f>
        <x:v>0.007910568893606085</x:v>
      </x:c>
    </x:row>
    <x:row r="951">
      <x:c r="A951" s="107" t="n">
        <x:v>950</x:v>
      </x:c>
      <x:c r="B951" s="128" t="n">
        <x:v>1.6786442914731219</x:v>
      </x:c>
      <x:c r="C951" s="128" t="n">
        <x:f>LN(B951)</x:f>
        <x:v>0.5179864982788834</x:v>
      </x:c>
      <x:c r="D951" s="128" t="n">
        <x:f>'Итоги'!$B$8*AVERAGE($C$2:C951)</x:f>
        <x:v>1.2876610831101412</x:v>
      </x:c>
      <x:c r="E951" s="128" t="n">
        <x:f>'Итоги'!$B$9</x:f>
        <x:v>1.2958368660043291</x:v>
      </x:c>
      <x:c r="F951" s="129" t="n">
        <x:f>ABS(D951-E951)</x:f>
        <x:v>0.008175782894187966</x:v>
      </x:c>
    </x:row>
    <x:row r="952">
      <x:c r="A952" s="107" t="n">
        <x:v>951</x:v>
      </x:c>
      <x:c r="B952" s="128" t="n">
        <x:v>2.061700788575629</x:v>
      </x:c>
      <x:c r="C952" s="128" t="n">
        <x:f>LN(B952)</x:f>
        <x:v>0.7235312676823701</x:v>
      </x:c>
      <x:c r="D952" s="128" t="n">
        <x:f>'Итоги'!$B$8*AVERAGE($C$2:C952)</x:f>
        <x:v>1.287828697676129</x:v>
      </x:c>
      <x:c r="E952" s="128" t="n">
        <x:f>'Итоги'!$B$9</x:f>
        <x:v>1.2958368660043291</x:v>
      </x:c>
      <x:c r="F952" s="129" t="n">
        <x:f>ABS(D952-E952)</x:f>
        <x:v>0.00800816832820006</x:v>
      </x:c>
    </x:row>
    <x:row r="953">
      <x:c r="A953" s="107" t="n">
        <x:v>952</x:v>
      </x:c>
      <x:c r="B953" s="128" t="n">
        <x:v>1.496812807731303</x:v>
      </x:c>
      <x:c r="C953" s="128" t="n">
        <x:f>LN(B953)</x:f>
        <x:v>0.4033380526830522</x:v>
      </x:c>
      <x:c r="D953" s="128" t="n">
        <x:f>'Итоги'!$B$8*AVERAGE($C$2:C953)</x:f>
        <x:v>1.2873232852892487</x:v>
      </x:c>
      <x:c r="E953" s="128" t="n">
        <x:f>'Итоги'!$B$9</x:f>
        <x:v>1.2958368660043291</x:v>
      </x:c>
      <x:c r="F953" s="129" t="n">
        <x:f>ABS(D953-E953)</x:f>
        <x:v>0.00851358071508046</x:v>
      </x:c>
    </x:row>
    <x:row r="954">
      <x:c r="A954" s="107" t="n">
        <x:v>953</x:v>
      </x:c>
      <x:c r="B954" s="128" t="n">
        <x:v>1.4895930031002909</x:v>
      </x:c>
      <x:c r="C954" s="128" t="n">
        <x:f>LN(B954)</x:f>
        <x:v>0.39850293036280443</x:v>
      </x:c>
      <x:c r="D954" s="128" t="n">
        <x:f>'Итоги'!$B$8*AVERAGE($C$2:C954)</x:f>
        <x:v>1.2868087864177233</x:v>
      </x:c>
      <x:c r="E954" s="128" t="n">
        <x:f>'Итоги'!$B$9</x:f>
        <x:v>1.2958368660043291</x:v>
      </x:c>
      <x:c r="F954" s="129" t="n">
        <x:f>ABS(D954-E954)</x:f>
        <x:v>0.009028079586605786</x:v>
      </x:c>
    </x:row>
    <x:row r="955">
      <x:c r="A955" s="107" t="n">
        <x:v>954</x:v>
      </x:c>
      <x:c r="B955" s="128" t="n">
        <x:v>1.3225081257038482</x:v>
      </x:c>
      <x:c r="C955" s="128" t="n">
        <x:f>LN(B955)</x:f>
        <x:v>0.279530028930949</x:v>
      </x:c>
      <x:c r="D955" s="128" t="n">
        <x:f>'Итоги'!$B$8*AVERAGE($C$2:C955)</x:f>
        <x:v>1.2860459470796146</x:v>
      </x:c>
      <x:c r="E955" s="128" t="n">
        <x:f>'Итоги'!$B$9</x:f>
        <x:v>1.2958368660043291</x:v>
      </x:c>
      <x:c r="F955" s="129" t="n">
        <x:f>ABS(D955-E955)</x:f>
        <x:v>0.009790918924714509</x:v>
      </x:c>
    </x:row>
    <x:row r="956">
      <x:c r="A956" s="107" t="n">
        <x:v>955</x:v>
      </x:c>
      <x:c r="B956" s="128" t="n">
        <x:v>2.8800380216150296</x:v>
      </x:c>
      <x:c r="C956" s="128" t="n">
        <x:f>LN(B956)</x:f>
        <x:v>1.0578034960103726</x:v>
      </x:c>
      <x:c r="D956" s="128" t="n">
        <x:f>'Итоги'!$B$8*AVERAGE($C$2:C956)</x:f>
        <x:v>1.2869145973884535</x:v>
      </x:c>
      <x:c r="E956" s="128" t="n">
        <x:f>'Итоги'!$B$9</x:f>
        <x:v>1.2958368660043291</x:v>
      </x:c>
      <x:c r="F956" s="129" t="n">
        <x:f>ABS(D956-E956)</x:f>
        <x:v>0.00892226861587564</x:v>
      </x:c>
    </x:row>
    <x:row r="957">
      <x:c r="A957" s="107" t="n">
        <x:v>956</x:v>
      </x:c>
      <x:c r="B957" s="128" t="n">
        <x:v>2.77597765721116</x:v>
      </x:c>
      <x:c r="C957" s="128" t="n">
        <x:f>LN(B957)</x:f>
        <x:v>1.0210029940571106</x:v>
      </x:c>
      <x:c r="D957" s="128" t="n">
        <x:f>'Итоги'!$B$8*AVERAGE($C$2:C957)</x:f>
        <x:v>1.2877044419394217</x:v>
      </x:c>
      <x:c r="E957" s="128" t="n">
        <x:f>'Итоги'!$B$9</x:f>
        <x:v>1.2958368660043291</x:v>
      </x:c>
      <x:c r="F957" s="129" t="n">
        <x:f>ABS(D957-E957)</x:f>
        <x:v>0.00813242406490744</x:v>
      </x:c>
    </x:row>
    <x:row r="958">
      <x:c r="A958" s="107" t="n">
        <x:v>957</x:v>
      </x:c>
      <x:c r="B958" s="128" t="n">
        <x:v>2.5547174266553845</x:v>
      </x:c>
      <x:c r="C958" s="128" t="n">
        <x:f>LN(B958)</x:f>
        <x:v>0.9379416213184703</x:v>
      </x:c>
      <x:c r="D958" s="128" t="n">
        <x:f>'Итоги'!$B$8*AVERAGE($C$2:C958)</x:f>
        <x:v>1.2883190488367025</x:v>
      </x:c>
      <x:c r="E958" s="128" t="n">
        <x:f>'Итоги'!$B$9</x:f>
        <x:v>1.2958368660043291</x:v>
      </x:c>
      <x:c r="F958" s="129" t="n">
        <x:f>ABS(D958-E958)</x:f>
        <x:v>0.0075178171676266725</x:v>
      </x:c>
    </x:row>
    <x:row r="959">
      <x:c r="A959" s="107" t="n">
        <x:v>958</x:v>
      </x:c>
      <x:c r="B959" s="128" t="n">
        <x:v>2.035323042575458</x:v>
      </x:c>
      <x:c r="C959" s="128" t="n">
        <x:f>LN(B959)</x:f>
        <x:v>0.7106545495765003</x:v>
      </x:c>
      <x:c r="D959" s="128" t="n">
        <x:f>'Итоги'!$B$8*AVERAGE($C$2:C959)</x:f>
        <x:v>1.2884578693485147</x:v>
      </x:c>
      <x:c r="E959" s="128" t="n">
        <x:f>'Итоги'!$B$9</x:f>
        <x:v>1.2958368660043291</x:v>
      </x:c>
      <x:c r="F959" s="129" t="n">
        <x:f>ABS(D959-E959)</x:f>
        <x:v>0.007378996655814429</x:v>
      </x:c>
    </x:row>
    <x:row r="960">
      <x:c r="A960" s="107" t="n">
        <x:v>959</x:v>
      </x:c>
      <x:c r="B960" s="128" t="n">
        <x:v>1.9812158310237438</x:v>
      </x:c>
      <x:c r="C960" s="128" t="n">
        <x:f>LN(B960)</x:f>
        <x:v>0.6837107123237557</x:v>
      </x:c>
      <x:c r="D960" s="128" t="n">
        <x:f>'Итоги'!$B$8*AVERAGE($C$2:C960)</x:f>
        <x:v>1.2885402088222364</x:v>
      </x:c>
      <x:c r="E960" s="128" t="n">
        <x:f>'Итоги'!$B$9</x:f>
        <x:v>1.2958368660043291</x:v>
      </x:c>
      <x:c r="F960" s="129" t="n">
        <x:f>ABS(D960-E960)</x:f>
        <x:v>0.007296657182092714</x:v>
      </x:c>
    </x:row>
    <x:row r="961">
      <x:c r="A961" s="107" t="n">
        <x:v>960</x:v>
      </x:c>
      <x:c r="B961" s="128" t="n">
        <x:v>2.059491332364996</x:v>
      </x:c>
      <x:c r="C961" s="128" t="n">
        <x:f>LN(B961)</x:f>
        <x:v>0.7224590262738267</x:v>
      </x:c>
      <x:c r="D961" s="128" t="n">
        <x:f>'Итоги'!$B$8*AVERAGE($C$2:C961)</x:f>
        <x:v>1.2887031024094502</x:v>
      </x:c>
      <x:c r="E961" s="128" t="n">
        <x:f>'Итоги'!$B$9</x:f>
        <x:v>1.2958368660043291</x:v>
      </x:c>
      <x:c r="F961" s="129" t="n">
        <x:f>ABS(D961-E961)</x:f>
        <x:v>0.007133763594878939</x:v>
      </x:c>
    </x:row>
    <x:row r="962">
      <x:c r="A962" s="107" t="n">
        <x:v>961</x:v>
      </x:c>
      <x:c r="B962" s="128" t="n">
        <x:v>2.0731360271541783</x:v>
      </x:c>
      <x:c r="C962" s="128" t="n">
        <x:f>LN(B962)</x:f>
        <x:v>0.7290624498026173</x:v>
      </x:c>
      <x:c r="D962" s="128" t="n">
        <x:f>'Итоги'!$B$8*AVERAGE($C$2:C962)</x:f>
        <x:v>1.2888793998050754</x:v>
      </x:c>
      <x:c r="E962" s="128" t="n">
        <x:f>'Итоги'!$B$9</x:f>
        <x:v>1.2958368660043291</x:v>
      </x:c>
      <x:c r="F962" s="129" t="n">
        <x:f>ABS(D962-E962)</x:f>
        <x:v>0.006957466199253748</x:v>
      </x:c>
    </x:row>
    <x:row r="963">
      <x:c r="A963" s="107" t="n">
        <x:v>962</x:v>
      </x:c>
      <x:c r="B963" s="128" t="n">
        <x:v>1.8691261693953807</x:v>
      </x:c>
      <x:c r="C963" s="128" t="n">
        <x:f>LN(B963)</x:f>
        <x:v>0.6254710325595434</x:v>
      </x:c>
      <x:c r="D963" s="128" t="n">
        <x:f>'Итоги'!$B$8*AVERAGE($C$2:C963)</x:f>
        <x:v>1.2888399639062333</x:v>
      </x:c>
      <x:c r="E963" s="128" t="n">
        <x:f>'Итоги'!$B$9</x:f>
        <x:v>1.2958368660043291</x:v>
      </x:c>
      <x:c r="F963" s="129" t="n">
        <x:f>ABS(D963-E963)</x:f>
        <x:v>0.006996902098095781</x:v>
      </x:c>
    </x:row>
    <x:row r="964">
      <x:c r="A964" s="107" t="n">
        <x:v>963</x:v>
      </x:c>
      <x:c r="B964" s="128" t="n">
        <x:v>1.263509665784135</x:v>
      </x:c>
      <x:c r="C964" s="128" t="n">
        <x:f>LN(B964)</x:f>
        <x:v>0.23389329782408055</x:v>
      </x:c>
      <x:c r="D964" s="128" t="n">
        <x:f>'Итоги'!$B$8*AVERAGE($C$2:C964)</x:f>
        <x:v>1.2879873643545636</x:v>
      </x:c>
      <x:c r="E964" s="128" t="n">
        <x:f>'Итоги'!$B$9</x:f>
        <x:v>1.2958368660043291</x:v>
      </x:c>
      <x:c r="F964" s="129" t="n">
        <x:f>ABS(D964-E964)</x:f>
        <x:v>0.0078495016497655</x:v>
      </x:c>
    </x:row>
    <x:row r="965">
      <x:c r="A965" s="107" t="n">
        <x:v>964</x:v>
      </x:c>
      <x:c r="B965" s="128" t="n">
        <x:v>1.251327705737072</x:v>
      </x:c>
      <x:c r="C965" s="128" t="n">
        <x:f>LN(B965)</x:f>
        <x:v>0.22420515220618406</x:v>
      </x:c>
      <x:c r="D965" s="128" t="n">
        <x:f>'Итоги'!$B$8*AVERAGE($C$2:C965)</x:f>
        <x:v>1.2871164337944576</x:v>
      </x:c>
      <x:c r="E965" s="128" t="n">
        <x:f>'Итоги'!$B$9</x:f>
        <x:v>1.2958368660043291</x:v>
      </x:c>
      <x:c r="F965" s="129" t="n">
        <x:f>ABS(D965-E965)</x:f>
        <x:v>0.00872043220987151</x:v>
      </x:c>
    </x:row>
    <x:row r="966">
      <x:c r="A966" s="107" t="n">
        <x:v>965</x:v>
      </x:c>
      <x:c r="B966" s="128" t="n">
        <x:v>2.9044994316913666</x:v>
      </x:c>
      <x:c r="C966" s="128" t="n">
        <x:f>LN(B966)</x:f>
        <x:v>1.0662610627855547</x:v>
      </x:c>
      <x:c r="D966" s="128" t="n">
        <x:f>'Итоги'!$B$8*AVERAGE($C$2:C966)</x:f>
        <x:v>1.2879925018688376</x:v>
      </x:c>
      <x:c r="E966" s="128" t="n">
        <x:f>'Итоги'!$B$9</x:f>
        <x:v>1.2958368660043291</x:v>
      </x:c>
      <x:c r="F966" s="129" t="n">
        <x:f>ABS(D966-E966)</x:f>
        <x:v>0.0078443641354915</x:v>
      </x:c>
    </x:row>
    <x:row r="967">
      <x:c r="A967" s="107" t="n">
        <x:v>966</x:v>
      </x:c>
      <x:c r="B967" s="128" t="n">
        <x:v>1.964061519172701</x:v>
      </x:c>
      <x:c r="C967" s="128" t="n">
        <x:f>LN(B967)</x:f>
        <x:v>0.6750145328493954</x:v>
      </x:c>
      <x:c r="D967" s="128" t="n">
        <x:f>'Итоги'!$B$8*AVERAGE($C$2:C967)</x:f>
        <x:v>1.2880567219142103</x:v>
      </x:c>
      <x:c r="E967" s="128" t="n">
        <x:f>'Итоги'!$B$9</x:f>
        <x:v>1.2958368660043291</x:v>
      </x:c>
      <x:c r="F967" s="129" t="n">
        <x:f>ABS(D967-E967)</x:f>
        <x:v>0.007780144090118846</x:v>
      </x:c>
    </x:row>
    <x:row r="968">
      <x:c r="A968" s="107" t="n">
        <x:v>967</x:v>
      </x:c>
      <x:c r="B968" s="128" t="n">
        <x:v>2.906411049810378</x:v>
      </x:c>
      <x:c r="C968" s="128" t="n">
        <x:f>LN(B968)</x:f>
        <x:v>1.0669190038066927</x:v>
      </x:c>
      <x:c r="D968" s="128" t="n">
        <x:f>'Итоги'!$B$8*AVERAGE($C$2:C968)</x:f>
        <x:v>1.288931366470259</x:v>
      </x:c>
      <x:c r="E968" s="128" t="n">
        <x:f>'Итоги'!$B$9</x:f>
        <x:v>1.2958368660043291</x:v>
      </x:c>
      <x:c r="F968" s="129" t="n">
        <x:f>ABS(D968-E968)</x:f>
        <x:v>0.006905499534070048</x:v>
      </x:c>
    </x:row>
    <x:row r="969">
      <x:c r="A969" s="107" t="n">
        <x:v>968</x:v>
      </x:c>
      <x:c r="B969" s="128" t="n">
        <x:v>1.32715375542022</x:v>
      </x:c>
      <x:c r="C969" s="128" t="n">
        <x:f>LN(B969)</x:f>
        <x:v>0.28303661557111304</x:v>
      </x:c>
      <x:c r="D969" s="128" t="n">
        <x:f>'Итоги'!$B$8*AVERAGE($C$2:C969)</x:f>
        <x:v>1.2881846121982259</x:v>
      </x:c>
      <x:c r="E969" s="128" t="n">
        <x:f>'Итоги'!$B$9</x:f>
        <x:v>1.2958368660043291</x:v>
      </x:c>
      <x:c r="F969" s="129" t="n">
        <x:f>ABS(D969-E969)</x:f>
        <x:v>0.0076522538061032375</x:v>
      </x:c>
    </x:row>
    <x:row r="970">
      <x:c r="A970" s="107" t="n">
        <x:v>969</x:v>
      </x:c>
      <x:c r="B970" s="128" t="n">
        <x:v>2.108833104079867</x:v>
      </x:c>
      <x:c r="C970" s="128" t="n">
        <x:f>LN(B970)</x:f>
        <x:v>0.7461347632680251</x:v>
      </x:c>
      <x:c r="D970" s="128" t="n">
        <x:f>'Итоги'!$B$8*AVERAGE($C$2:C970)</x:f>
        <x:v>1.288395226144911</x:v>
      </x:c>
      <x:c r="E970" s="128" t="n">
        <x:f>'Итоги'!$B$9</x:f>
        <x:v>1.2958368660043291</x:v>
      </x:c>
      <x:c r="F970" s="129" t="n">
        <x:f>ABS(D970-E970)</x:f>
        <x:v>0.007441639859418148</x:v>
      </x:c>
    </x:row>
    <x:row r="971">
      <x:c r="A971" s="107" t="n">
        <x:v>970</x:v>
      </x:c>
      <x:c r="B971" s="128" t="n">
        <x:v>1.4154345067030785</x:v>
      </x:c>
      <x:c r="C971" s="128" t="n">
        <x:f>LN(B971)</x:f>
        <x:v>0.3474365558332492</x:v>
      </x:c>
      <x:c r="D971" s="128" t="n">
        <x:f>'Итоги'!$B$8*AVERAGE($C$2:C971)</x:f>
        <x:v>1.2877833476763767</x:v>
      </x:c>
      <x:c r="E971" s="128" t="n">
        <x:f>'Итоги'!$B$9</x:f>
        <x:v>1.2958368660043291</x:v>
      </x:c>
      <x:c r="F971" s="129" t="n">
        <x:f>ABS(D971-E971)</x:f>
        <x:v>0.008053518327952425</x:v>
      </x:c>
    </x:row>
    <x:row r="972">
      <x:c r="A972" s="107" t="n">
        <x:v>971</x:v>
      </x:c>
      <x:c r="B972" s="128" t="n">
        <x:v>1.506369212253203</x:v>
      </x:c>
      <x:c r="C972" s="128" t="n">
        <x:f>LN(B972)</x:f>
        <x:v>0.4097022601893899</x:v>
      </x:c>
      <x:c r="D972" s="128" t="n">
        <x:f>'Итоги'!$B$8*AVERAGE($C$2:C972)</x:f>
        <x:v>1.2873009801920332</x:v>
      </x:c>
      <x:c r="E972" s="128" t="n">
        <x:f>'Итоги'!$B$9</x:f>
        <x:v>1.2958368660043291</x:v>
      </x:c>
      <x:c r="F972" s="129" t="n">
        <x:f>ABS(D972-E972)</x:f>
        <x:v>0.008535885812295918</x:v>
      </x:c>
    </x:row>
    <x:row r="973">
      <x:c r="A973" s="107" t="n">
        <x:v>972</x:v>
      </x:c>
      <x:c r="B973" s="128" t="n">
        <x:v>1.0601091575223576</x:v>
      </x:c>
      <x:c r="C973" s="128" t="n">
        <x:f>LN(B973)</x:f>
        <x:v>0.05837188161670064</x:v>
      </x:c>
      <x:c r="D973" s="128" t="n">
        <x:f>'Итоги'!$B$8*AVERAGE($C$2:C973)</x:f>
        <x:v>1.2860967032198536</x:v>
      </x:c>
      <x:c r="E973" s="128" t="n">
        <x:f>'Итоги'!$B$9</x:f>
        <x:v>1.2958368660043291</x:v>
      </x:c>
      <x:c r="F973" s="129" t="n">
        <x:f>ABS(D973-E973)</x:f>
        <x:v>0.009740162784475537</x:v>
      </x:c>
    </x:row>
    <x:row r="974">
      <x:c r="A974" s="107" t="n">
        <x:v>973</x:v>
      </x:c>
      <x:c r="B974" s="128" t="n">
        <x:v>1.2379066214804226</x:v>
      </x:c>
      <x:c r="C974" s="128" t="n">
        <x:f>LN(B974)</x:f>
        <x:v>0.21342174450361498</x:v>
      </x:c>
      <x:c r="D974" s="128" t="n">
        <x:f>'Итоги'!$B$8*AVERAGE($C$2:C974)</x:f>
        <x:v>1.2852136063912691</x:v>
      </x:c>
      <x:c r="E974" s="128" t="n">
        <x:f>'Итоги'!$B$9</x:f>
        <x:v>1.2958368660043291</x:v>
      </x:c>
      <x:c r="F974" s="129" t="n">
        <x:f>ABS(D974-E974)</x:f>
        <x:v>0.010623259613059988</x:v>
      </x:c>
    </x:row>
    <x:row r="975">
      <x:c r="A975" s="107" t="n">
        <x:v>974</x:v>
      </x:c>
      <x:c r="B975" s="128" t="n">
        <x:v>2.8336968152583912</x:v>
      </x:c>
      <x:c r="C975" s="128" t="n">
        <x:f>LN(B975)</x:f>
        <x:v>1.0415821543382486</x:v>
      </x:c>
      <x:c r="D975" s="128" t="n">
        <x:f>'Итоги'!$B$8*AVERAGE($C$2:C975)</x:f>
        <x:v>1.2860328576256481</x:v>
      </x:c>
      <x:c r="E975" s="128" t="n">
        <x:f>'Итоги'!$B$9</x:f>
        <x:v>1.2958368660043291</x:v>
      </x:c>
      <x:c r="F975" s="129" t="n">
        <x:f>ABS(D975-E975)</x:f>
        <x:v>0.009804008378681006</x:v>
      </x:c>
    </x:row>
    <x:row r="976">
      <x:c r="A976" s="107" t="n">
        <x:v>975</x:v>
      </x:c>
      <x:c r="B976" s="128" t="n">
        <x:v>1.6430659829646634</x:v>
      </x:c>
      <x:c r="C976" s="128" t="n">
        <x:f>LN(B976)</x:f>
        <x:v>0.49656399830026754</x:v>
      </x:c>
      <x:c r="D976" s="128" t="n">
        <x:f>'Итоги'!$B$8*AVERAGE($C$2:C976)</x:f>
        <x:v>1.2857324423835712</x:v>
      </x:c>
      <x:c r="E976" s="128" t="n">
        <x:f>'Итоги'!$B$9</x:f>
        <x:v>1.2958368660043291</x:v>
      </x:c>
      <x:c r="F976" s="129" t="n">
        <x:f>ABS(D976-E976)</x:f>
        <x:v>0.010104423620757919</x:v>
      </x:c>
    </x:row>
    <x:row r="977">
      <x:c r="A977" s="107" t="n">
        <x:v>976</x:v>
      </x:c>
      <x:c r="B977" s="128" t="n">
        <x:v>2.216258423829183</x:v>
      </x:c>
      <x:c r="C977" s="128" t="n">
        <x:f>LN(B977)</x:f>
        <x:v>0.7958203793372107</x:v>
      </x:c>
      <x:c r="D977" s="128" t="n">
        <x:f>'Итоги'!$B$8*AVERAGE($C$2:C977)</x:f>
        <x:v>1.2860458730355087</x:v>
      </x:c>
      <x:c r="E977" s="128" t="n">
        <x:f>'Итоги'!$B$9</x:f>
        <x:v>1.2958368660043291</x:v>
      </x:c>
      <x:c r="F977" s="129" t="n">
        <x:f>ABS(D977-E977)</x:f>
        <x:v>0.009790992968820467</x:v>
      </x:c>
    </x:row>
    <x:row r="978">
      <x:c r="A978" s="107" t="n">
        <x:v>977</x:v>
      </x:c>
      <x:c r="B978" s="128" t="n">
        <x:v>1.930028263978546</x:v>
      </x:c>
      <x:c r="C978" s="128" t="n">
        <x:f>LN(B978)</x:f>
        <x:v>0.6575346473580332</x:v>
      </x:c>
      <x:c r="D978" s="128" t="n">
        <x:f>'Итоги'!$B$8*AVERAGE($C$2:C978)</x:f>
        <x:v>1.286075579710719</x:v>
      </x:c>
      <x:c r="E978" s="128" t="n">
        <x:f>'Итоги'!$B$9</x:f>
        <x:v>1.2958368660043291</x:v>
      </x:c>
      <x:c r="F978" s="129" t="n">
        <x:f>ABS(D978-E978)</x:f>
        <x:v>0.00976128629361006</x:v>
      </x:c>
    </x:row>
    <x:row r="979">
      <x:c r="A979" s="107" t="n">
        <x:v>978</x:v>
      </x:c>
      <x:c r="B979" s="128" t="n">
        <x:v>1.8009024904905566</x:v>
      </x:c>
      <x:c r="C979" s="128" t="n">
        <x:f>LN(B979)</x:f>
        <x:v>0.5882879228572214</x:v>
      </x:c>
      <x:c r="D979" s="128" t="n">
        <x:f>'Итоги'!$B$8*AVERAGE($C$2:C979)</x:f>
        <x:v>1.2859636167925226</x:v>
      </x:c>
      <x:c r="E979" s="128" t="n">
        <x:f>'Итоги'!$B$9</x:f>
        <x:v>1.2958368660043291</x:v>
      </x:c>
      <x:c r="F979" s="129" t="n">
        <x:f>ABS(D979-E979)</x:f>
        <x:v>0.009873249211806545</x:v>
      </x:c>
    </x:row>
    <x:row r="980">
      <x:c r="A980" s="107" t="n">
        <x:v>979</x:v>
      </x:c>
      <x:c r="B980" s="128" t="n">
        <x:v>2.0637721826921362</x:v>
      </x:c>
      <x:c r="C980" s="128" t="n">
        <x:f>LN(B980)</x:f>
        <x:v>0.7245354649247236</x:v>
      </x:c>
      <x:c r="D980" s="128" t="n">
        <x:f>'Итоги'!$B$8*AVERAGE($C$2:C980)</x:f>
        <x:v>1.2861302228324174</x:v>
      </x:c>
      <x:c r="E980" s="128" t="n">
        <x:f>'Итоги'!$B$9</x:f>
        <x:v>1.2958368660043291</x:v>
      </x:c>
      <x:c r="F980" s="129" t="n">
        <x:f>ABS(D980-E980)</x:f>
        <x:v>0.009706643171911722</x:v>
      </x:c>
    </x:row>
    <x:row r="981">
      <x:c r="A981" s="107" t="n">
        <x:v>980</x:v>
      </x:c>
      <x:c r="B981" s="128" t="n">
        <x:v>1.374477889230683</x:v>
      </x:c>
      <x:c r="C981" s="128" t="n">
        <x:f>LN(B981)</x:f>
        <x:v>0.3180739420846691</x:v>
      </x:c>
      <x:c r="D981" s="128" t="n">
        <x:f>'Итоги'!$B$8*AVERAGE($C$2:C981)</x:f>
        <x:v>1.2854669755480672</x:v>
      </x:c>
      <x:c r="E981" s="128" t="n">
        <x:f>'Итоги'!$B$9</x:f>
        <x:v>1.2958368660043291</x:v>
      </x:c>
      <x:c r="F981" s="129" t="n">
        <x:f>ABS(D981-E981)</x:f>
        <x:v>0.01036989045626191</x:v>
      </x:c>
    </x:row>
    <x:row r="982">
      <x:c r="A982" s="107" t="n">
        <x:v>981</x:v>
      </x:c>
      <x:c r="B982" s="128" t="n">
        <x:v>2.977207797039153</x:v>
      </x:c>
      <x:c r="C982" s="128" t="n">
        <x:f>LN(B982)</x:f>
        <x:v>1.090985880417008</x:v>
      </x:c>
      <x:c r="D982" s="128" t="n">
        <x:f>'Итоги'!$B$8*AVERAGE($C$2:C982)</x:f>
        <x:v>1.2863808438307236</x:v>
      </x:c>
      <x:c r="E982" s="128" t="n">
        <x:f>'Итоги'!$B$9</x:f>
        <x:v>1.2958368660043291</x:v>
      </x:c>
      <x:c r="F982" s="129" t="n">
        <x:f>ABS(D982-E982)</x:f>
        <x:v>0.009456022173605527</x:v>
      </x:c>
    </x:row>
    <x:row r="983">
      <x:c r="A983" s="107" t="n">
        <x:v>982</x:v>
      </x:c>
      <x:c r="B983" s="128" t="n">
        <x:v>2.636615737407726</x:v>
      </x:c>
      <x:c r="C983" s="128" t="n">
        <x:f>LN(B983)</x:f>
        <x:v>0.9694961771503342</x:v>
      </x:c>
      <x:c r="D983" s="128" t="n">
        <x:f>'Итоги'!$B$8*AVERAGE($C$2:C983)</x:f>
        <x:v>1.287045417670306</x:v>
      </x:c>
      <x:c r="E983" s="128" t="n">
        <x:f>'Итоги'!$B$9</x:f>
        <x:v>1.2958368660043291</x:v>
      </x:c>
      <x:c r="F983" s="129" t="n">
        <x:f>ABS(D983-E983)</x:f>
        <x:v>0.008791448334023233</x:v>
      </x:c>
    </x:row>
    <x:row r="984">
      <x:c r="A984" s="107" t="n">
        <x:v>983</x:v>
      </x:c>
      <x:c r="B984" s="128" t="n">
        <x:v>2.483229265463031</x:v>
      </x:c>
      <x:c r="C984" s="128" t="n">
        <x:f>LN(B984)</x:f>
        <x:v>0.9095598363203015</x:v>
      </x:c>
      <x:c r="D984" s="128" t="n">
        <x:f>'Итоги'!$B$8*AVERAGE($C$2:C984)</x:f>
        <x:v>1.2875866936163591</x:v>
      </x:c>
      <x:c r="E984" s="128" t="n">
        <x:f>'Итоги'!$B$9</x:f>
        <x:v>1.2958368660043291</x:v>
      </x:c>
      <x:c r="F984" s="129" t="n">
        <x:f>ABS(D984-E984)</x:f>
        <x:v>0.00825017238796999</x:v>
      </x:c>
    </x:row>
    <x:row r="985">
      <x:c r="A985" s="107" t="n">
        <x:v>984</x:v>
      </x:c>
      <x:c r="B985" s="128" t="n">
        <x:v>1.937518594027905</x:v>
      </x:c>
      <x:c r="C985" s="128" t="n">
        <x:f>LN(B985)</x:f>
        <x:v>0.6614080791169432</x:v>
      </x:c>
      <x:c r="D985" s="128" t="n">
        <x:f>'Итоги'!$B$8*AVERAGE($C$2:C985)</x:f>
        <x:v>1.2876224959177998</x:v>
      </x:c>
      <x:c r="E985" s="128" t="n">
        <x:f>'Итоги'!$B$9</x:f>
        <x:v>1.2958368660043291</x:v>
      </x:c>
      <x:c r="F985" s="129" t="n">
        <x:f>ABS(D985-E985)</x:f>
        <x:v>0.008214370086529366</x:v>
      </x:c>
    </x:row>
    <x:row r="986">
      <x:c r="A986" s="107" t="n">
        <x:v>985</x:v>
      </x:c>
      <x:c r="B986" s="128" t="n">
        <x:v>1.305754244252672</x:v>
      </x:c>
      <x:c r="C986" s="128" t="n">
        <x:f>LN(B986)</x:f>
        <x:v>0.2667808387618216</x:v>
      </x:c>
      <x:c r="D986" s="128" t="n">
        <x:f>'Итоги'!$B$8*AVERAGE($C$2:C986)</x:f>
        <x:v>1.2868569519397348</x:v>
      </x:c>
      <x:c r="E986" s="128" t="n">
        <x:f>'Итоги'!$B$9</x:f>
        <x:v>1.2958368660043291</x:v>
      </x:c>
      <x:c r="F986" s="129" t="n">
        <x:f>ABS(D986-E986)</x:f>
        <x:v>0.008979914064594308</x:v>
      </x:c>
    </x:row>
    <x:row r="987">
      <x:c r="A987" s="107" t="n">
        <x:v>986</x:v>
      </x:c>
      <x:c r="B987" s="128" t="n">
        <x:v>2.8413317165471357</x:v>
      </x:c>
      <x:c r="C987" s="128" t="n">
        <x:f>LN(B987)</x:f>
        <x:v>1.0442728565443318</x:v>
      </x:c>
      <x:c r="D987" s="128" t="n">
        <x:f>'Итоги'!$B$8*AVERAGE($C$2:C987)</x:f>
        <x:v>1.287670023705606</x:v>
      </x:c>
      <x:c r="E987" s="128" t="n">
        <x:f>'Итоги'!$B$9</x:f>
        <x:v>1.2958368660043291</x:v>
      </x:c>
      <x:c r="F987" s="129" t="n">
        <x:f>ABS(D987-E987)</x:f>
        <x:v>0.00816684229872311</x:v>
      </x:c>
    </x:row>
    <x:row r="988">
      <x:c r="A988" s="107" t="n">
        <x:v>987</x:v>
      </x:c>
      <x:c r="B988" s="128" t="n">
        <x:v>1.6827741347634553</x:v>
      </x:c>
      <x:c r="C988" s="128" t="n">
        <x:f>LN(B988)</x:f>
        <x:v>0.5204437022592313</x:v>
      </x:c>
      <x:c r="D988" s="128" t="n">
        <x:f>'Итоги'!$B$8*AVERAGE($C$2:C988)</x:f>
        <x:v>1.2874199906567843</x:v>
      </x:c>
      <x:c r="E988" s="128" t="n">
        <x:f>'Итоги'!$B$9</x:f>
        <x:v>1.2958368660043291</x:v>
      </x:c>
      <x:c r="F988" s="129" t="n">
        <x:f>ABS(D988-E988)</x:f>
        <x:v>0.008416875347544872</x:v>
      </x:c>
    </x:row>
    <x:row r="989">
      <x:c r="A989" s="107" t="n">
        <x:v>988</x:v>
      </x:c>
      <x:c r="B989" s="128" t="n">
        <x:v>1.1002133793938675</x:v>
      </x:c>
      <x:c r="C989" s="128" t="n">
        <x:f>LN(B989)</x:f>
        <x:v>0.0955041422595439</x:v>
      </x:c>
      <x:c r="D989" s="128" t="n">
        <x:f>'Итоги'!$B$8*AVERAGE($C$2:C989)</x:f>
        <x:v>1.2863102622092764</x:v>
      </x:c>
      <x:c r="E989" s="128" t="n">
        <x:f>'Итоги'!$B$9</x:f>
        <x:v>1.2958368660043291</x:v>
      </x:c>
      <x:c r="F989" s="129" t="n">
        <x:f>ABS(D989-E989)</x:f>
        <x:v>0.009526603795052768</x:v>
      </x:c>
    </x:row>
    <x:row r="990">
      <x:c r="A990" s="107" t="n">
        <x:v>989</x:v>
      </x:c>
      <x:c r="B990" s="128" t="n">
        <x:v>1.6848073536212573</x:v>
      </x:c>
      <x:c r="C990" s="128" t="n">
        <x:f>LN(B990)</x:f>
        <x:v>0.5216512270730306</x:v>
      </x:c>
      <x:c r="D990" s="128" t="n">
        <x:f>'Итоги'!$B$8*AVERAGE($C$2:C990)</x:f>
        <x:v>1.2860645515843387</x:v>
      </x:c>
      <x:c r="E990" s="128" t="n">
        <x:f>'Итоги'!$B$9</x:f>
        <x:v>1.2958368660043291</x:v>
      </x:c>
      <x:c r="F990" s="129" t="n">
        <x:f>ABS(D990-E990)</x:f>
        <x:v>0.00977231441999038</x:v>
      </x:c>
    </x:row>
    <x:row r="991">
      <x:c r="A991" s="107" t="n">
        <x:v>990</x:v>
      </x:c>
      <x:c r="B991" s="128" t="n">
        <x:v>2.588914060991769</x:v>
      </x:c>
      <x:c r="C991" s="128" t="n">
        <x:f>LN(B991)</x:f>
        <x:v>0.951238506318034</x:v>
      </x:c>
      <x:c r="D991" s="128" t="n">
        <x:f>'Итоги'!$B$8*AVERAGE($C$2:C991)</x:f>
        <x:v>1.2866871904338861</x:v>
      </x:c>
      <x:c r="E991" s="128" t="n">
        <x:f>'Итоги'!$B$9</x:f>
        <x:v>1.2958368660043291</x:v>
      </x:c>
      <x:c r="F991" s="129" t="n">
        <x:f>ABS(D991-E991)</x:f>
        <x:v>0.009149675570442994</x:v>
      </x:c>
    </x:row>
    <x:row r="992">
      <x:c r="A992" s="107" t="n">
        <x:v>991</x:v>
      </x:c>
      <x:c r="B992" s="128" t="n">
        <x:v>2.2454174899764165</x:v>
      </x:c>
      <x:c r="C992" s="128" t="n">
        <x:f>LN(B992)</x:f>
        <x:v>0.8088914682597417</x:v>
      </x:c>
      <x:c r="D992" s="128" t="n">
        <x:f>'Итоги'!$B$8*AVERAGE($C$2:C992)</x:f>
        <x:v>1.2870212931040026</x:v>
      </x:c>
      <x:c r="E992" s="128" t="n">
        <x:f>'Итоги'!$B$9</x:f>
        <x:v>1.2958368660043291</x:v>
      </x:c>
      <x:c r="F992" s="129" t="n">
        <x:f>ABS(D992-E992)</x:f>
        <x:v>0.00881557290032653</x:v>
      </x:c>
    </x:row>
    <x:row r="993">
      <x:c r="A993" s="107" t="n">
        <x:v>992</x:v>
      </x:c>
      <x:c r="B993" s="128" t="n">
        <x:v>2.501677169489719</x:v>
      </x:c>
      <x:c r="C993" s="128" t="n">
        <x:f>LN(B993)</x:f>
        <x:v>0.9169613747388367</x:v>
      </x:c>
      <x:c r="D993" s="128" t="n">
        <x:f>'Итоги'!$B$8*AVERAGE($C$2:C993)</x:f>
        <x:v>1.2875726050559924</x:v>
      </x:c>
      <x:c r="E993" s="128" t="n">
        <x:f>'Итоги'!$B$9</x:f>
        <x:v>1.2958368660043291</x:v>
      </x:c>
      <x:c r="F993" s="129" t="n">
        <x:f>ABS(D993-E993)</x:f>
        <x:v>0.008264260948336766</x:v>
      </x:c>
    </x:row>
    <x:row r="994">
      <x:c r="A994" s="107" t="n">
        <x:v>993</x:v>
      </x:c>
      <x:c r="B994" s="128" t="n">
        <x:v>2.587270767724755</x:v>
      </x:c>
      <x:c r="C994" s="128" t="n">
        <x:f>LN(B994)</x:f>
        <x:v>0.9506035624832986</x:v>
      </x:c>
      <x:c r="D994" s="128" t="n">
        <x:f>'Итоги'!$B$8*AVERAGE($C$2:C994)</x:f>
        <x:v>1.288190565297594</x:v>
      </x:c>
      <x:c r="E994" s="128" t="n">
        <x:f>'Итоги'!$B$9</x:f>
        <x:v>1.2958368660043291</x:v>
      </x:c>
      <x:c r="F994" s="129" t="n">
        <x:f>ABS(D994-E994)</x:f>
        <x:v>0.00764630070673511</x:v>
      </x:c>
    </x:row>
    <x:row r="995">
      <x:c r="A995" s="107" t="n">
        <x:v>994</x:v>
      </x:c>
      <x:c r="B995" s="128" t="n">
        <x:v>1.4239092221610852</x:v>
      </x:c>
      <x:c r="C995" s="128" t="n">
        <x:f>LN(B995)</x:f>
        <x:v>0.35340606247537915</x:v>
      </x:c>
      <x:c r="D995" s="128" t="n">
        <x:f>'Итоги'!$B$8*AVERAGE($C$2:C995)</x:f>
        <x:v>1.2876056775306457</x:v>
      </x:c>
      <x:c r="E995" s="128" t="n">
        <x:f>'Итоги'!$B$9</x:f>
        <x:v>1.2958368660043291</x:v>
      </x:c>
      <x:c r="F995" s="129" t="n">
        <x:f>ABS(D995-E995)</x:f>
        <x:v>0.008231188473683426</x:v>
      </x:c>
    </x:row>
    <x:row r="996">
      <x:c r="A996" s="107" t="n">
        <x:v>995</x:v>
      </x:c>
      <x:c r="B996" s="128" t="n">
        <x:v>2.8475666321863606</x:v>
      </x:c>
      <x:c r="C996" s="128" t="n">
        <x:f>LN(B996)</x:f>
        <x:v>1.0464648163064585</x:v>
      </x:c>
      <x:c r="D996" s="128" t="n">
        <x:f>'Итоги'!$B$8*AVERAGE($C$2:C996)</x:f>
        <x:v>1.2884150483397734</x:v>
      </x:c>
      <x:c r="E996" s="128" t="n">
        <x:f>'Итоги'!$B$9</x:f>
        <x:v>1.2958368660043291</x:v>
      </x:c>
      <x:c r="F996" s="129" t="n">
        <x:f>ABS(D996-E996)</x:f>
        <x:v>0.007421817664555741</x:v>
      </x:c>
    </x:row>
    <x:row r="997">
      <x:c r="A997" s="107" t="n">
        <x:v>996</x:v>
      </x:c>
      <x:c r="B997" s="128" t="n">
        <x:v>1.8759792058407452</x:v>
      </x:c>
      <x:c r="C997" s="128" t="n">
        <x:f>LN(B997)</x:f>
        <x:v>0.6291307662159625</x:v>
      </x:c>
      <x:c r="D997" s="128" t="n">
        <x:f>'Итоги'!$B$8*AVERAGE($C$2:C997)</x:f>
        <x:v>1.2883847737254082</x:v>
      </x:c>
      <x:c r="E997" s="128" t="n">
        <x:f>'Итоги'!$B$9</x:f>
        <x:v>1.2958368660043291</x:v>
      </x:c>
      <x:c r="F997" s="129" t="n">
        <x:f>ABS(D997-E997)</x:f>
        <x:v>0.007452092278920963</x:v>
      </x:c>
    </x:row>
    <x:row r="998">
      <x:c r="A998" s="107" t="n">
        <x:v>997</x:v>
      </x:c>
      <x:c r="B998" s="128" t="n">
        <x:v>2.278027298528329</x:v>
      </x:c>
      <x:c r="C998" s="128" t="n">
        <x:f>LN(B998)</x:f>
        <x:v>0.8233098485038155</x:v>
      </x:c>
      <x:c r="D998" s="128" t="n">
        <x:f>'Итоги'!$B$8*AVERAGE($C$2:C998)</x:f>
        <x:v>1.2887440865872761</x:v>
      </x:c>
      <x:c r="E998" s="128" t="n">
        <x:f>'Итоги'!$B$9</x:f>
        <x:v>1.2958368660043291</x:v>
      </x:c>
      <x:c r="F998" s="129" t="n">
        <x:f>ABS(D998-E998)</x:f>
        <x:v>0.007092779417052997</x:v>
      </x:c>
    </x:row>
    <x:row r="999">
      <x:c r="A999" s="107" t="n">
        <x:v>998</x:v>
      </x:c>
      <x:c r="B999" s="128" t="n">
        <x:v>1.004617545173484</x:v>
      </x:c>
      <x:c r="C999" s="128" t="n">
        <x:f>LN(B999)</x:f>
        <x:v>0.00460691701654072</x:v>
      </x:c>
      <x:c r="D999" s="128" t="n">
        <x:f>'Итоги'!$B$8*AVERAGE($C$2:C999)</x:f>
        <x:v>1.287461992145839</x:v>
      </x:c>
      <x:c r="E999" s="128" t="n">
        <x:f>'Итоги'!$B$9</x:f>
        <x:v>1.2958368660043291</x:v>
      </x:c>
      <x:c r="F999" s="129" t="n">
        <x:f>ABS(D999-E999)</x:f>
        <x:v>0.008374873858490117</x:v>
      </x:c>
    </x:row>
    <x:row r="1000">
      <x:c r="A1000" s="107" t="n">
        <x:v>999</x:v>
      </x:c>
      <x:c r="B1000" s="128" t="n">
        <x:v>2.986736996822356</x:v>
      </x:c>
      <x:c r="C1000" s="128" t="n">
        <x:f>LN(B1000)</x:f>
        <x:v>1.0941814860846781</x:v>
      </x:c>
      <x:c r="D1000" s="128" t="n">
        <x:f>'Итоги'!$B$8*AVERAGE($C$2:C1000)</x:f>
        <x:v>1.2883637949286455</x:v>
      </x:c>
      <x:c r="E1000" s="128" t="n">
        <x:f>'Итоги'!$B$9</x:f>
        <x:v>1.2958368660043291</x:v>
      </x:c>
      <x:c r="F1000" s="129" t="n">
        <x:f>ABS(D1000-E1000)</x:f>
        <x:v>0.007473071075683624</x:v>
      </x:c>
    </x:row>
    <x:row r="1001">
      <x:c r="A1001" s="107" t="n">
        <x:v>1000</x:v>
      </x:c>
      <x:c r="B1001" s="128" t="n">
        <x:v>1.5617927719283102</x:v>
      </x:c>
      <x:c r="C1001" s="128" t="n">
        <x:f>LN(B1001)</x:f>
        <x:v>0.4458343741964852</x:v>
      </x:c>
      <x:c r="D1001" s="128" t="n">
        <x:f>'Итоги'!$B$8*AVERAGE($C$2:C1001)</x:f>
        <x:v>1.2879670998821098</x:v>
      </x:c>
      <x:c r="E1001" s="128" t="n">
        <x:f>'Итоги'!$B$9</x:f>
        <x:v>1.2958368660043291</x:v>
      </x:c>
      <x:c r="F1001" s="129" t="n">
        <x:f>ABS(D1001-E1001)</x:f>
        <x:v>0.007869766122219346</x:v>
      </x:c>
    </x:row>
    <x:row r="1002">
      <x:c r="A1002" s="107" t="n">
        <x:v>1001</x:v>
      </x:c>
      <x:c r="B1002" s="128" t="n">
        <x:v>1.1241262130803105</x:v>
      </x:c>
      <x:c r="C1002" s="128" t="n">
        <x:f>LN(B1002)</x:f>
        <x:v>0.11700603438489514</x:v>
      </x:c>
      <x:c r="D1002" s="128" t="n">
        <x:f>'Итоги'!$B$8*AVERAGE($C$2:C1002)</x:f>
        <x:v>1.2869141977531264</x:v>
      </x:c>
      <x:c r="E1002" s="128" t="n">
        <x:f>'Итоги'!$B$9</x:f>
        <x:v>1.2958368660043291</x:v>
      </x:c>
      <x:c r="F1002" s="129" t="n">
        <x:f>ABS(D1002-E1002)</x:f>
        <x:v>0.008922668251202692</x:v>
      </x:c>
    </x:row>
    <x:row r="1003">
      <x:c r="A1003" s="107" t="n">
        <x:v>1002</x:v>
      </x:c>
      <x:c r="B1003" s="128" t="n">
        <x:v>1.916524083073028</x:v>
      </x:c>
      <x:c r="C1003" s="128" t="n">
        <x:f>LN(B1003)</x:f>
        <x:v>0.6505131719338096</x:v>
      </x:c>
      <x:c r="D1003" s="128" t="n">
        <x:f>'Итоги'!$B$8*AVERAGE($C$2:C1003)</x:f>
        <x:v>1.2869282817312846</x:v>
      </x:c>
      <x:c r="E1003" s="128" t="n">
        <x:f>'Итоги'!$B$9</x:f>
        <x:v>1.2958368660043291</x:v>
      </x:c>
      <x:c r="F1003" s="129" t="n">
        <x:f>ABS(D1003-E1003)</x:f>
        <x:v>0.008908584273044529</x:v>
      </x:c>
    </x:row>
    <x:row r="1004">
      <x:c r="A1004" s="107" t="n">
        <x:v>1003</x:v>
      </x:c>
      <x:c r="B1004" s="128" t="n">
        <x:v>1.2580601143640835</x:v>
      </x:c>
      <x:c r="C1004" s="128" t="n">
        <x:f>LN(B1004)</x:f>
        <x:v>0.2295709427995738</x:v>
      </x:c>
      <x:c r="D1004" s="128" t="n">
        <x:f>'Итоги'!$B$8*AVERAGE($C$2:C1004)</x:f>
        <x:v>1.2861029712665466</x:v>
      </x:c>
      <x:c r="E1004" s="128" t="n">
        <x:f>'Итоги'!$B$9</x:f>
        <x:v>1.2958368660043291</x:v>
      </x:c>
      <x:c r="F1004" s="129" t="n">
        <x:f>ABS(D1004-E1004)</x:f>
        <x:v>0.009733894737782522</x:v>
      </x:c>
    </x:row>
    <x:row r="1005">
      <x:c r="A1005" s="107" t="n">
        <x:v>1004</x:v>
      </x:c>
      <x:c r="B1005" s="128" t="n">
        <x:v>1.3046534203151514</x:v>
      </x:c>
      <x:c r="C1005" s="128" t="n">
        <x:f>LN(B1005)</x:f>
        <x:v>0.2659374271999282</x:v>
      </x:c>
      <x:c r="D1005" s="128" t="n">
        <x:f>'Итоги'!$B$8*AVERAGE($C$2:C1005)</x:f>
        <x:v>1.2853517480425758</x:v>
      </x:c>
      <x:c r="E1005" s="128" t="n">
        <x:f>'Итоги'!$B$9</x:f>
        <x:v>1.2958368660043291</x:v>
      </x:c>
      <x:c r="F1005" s="129" t="n">
        <x:f>ABS(D1005-E1005)</x:f>
        <x:v>0.010485117961753332</x:v>
      </x:c>
    </x:row>
    <x:row r="1006">
      <x:c r="A1006" s="107" t="n">
        <x:v>1005</x:v>
      </x:c>
      <x:c r="B1006" s="128" t="n">
        <x:v>2.2645656260604206</x:v>
      </x:c>
      <x:c r="C1006" s="128" t="n">
        <x:f>LN(B1006)</x:f>
        <x:v>0.8173829639697531</x:v>
      </x:c>
      <x:c r="D1006" s="128" t="n">
        <x:f>'Итоги'!$B$8*AVERAGE($C$2:C1006)</x:f>
        <x:v>1.2856994238434682</x:v>
      </x:c>
      <x:c r="E1006" s="128" t="n">
        <x:f>'Итоги'!$B$9</x:f>
        <x:v>1.2958368660043291</x:v>
      </x:c>
      <x:c r="F1006" s="129" t="n">
        <x:f>ABS(D1006-E1006)</x:f>
        <x:v>0.010137442160860877</x:v>
      </x:c>
    </x:row>
    <x:row r="1007">
      <x:c r="A1007" s="107" t="n">
        <x:v>1006</x:v>
      </x:c>
      <x:c r="B1007" s="128" t="n">
        <x:v>1.7858547831404665</x:v>
      </x:c>
      <x:c r="C1007" s="128" t="n">
        <x:f>LN(B1007)</x:f>
        <x:v>0.579897170716608</x:v>
      </x:c>
      <x:c r="D1007" s="128" t="n">
        <x:f>'Итоги'!$B$8*AVERAGE($C$2:C1007)</x:f>
        <x:v>1.2855742696860029</x:v>
      </x:c>
      <x:c r="E1007" s="128" t="n">
        <x:f>'Итоги'!$B$9</x:f>
        <x:v>1.2958368660043291</x:v>
      </x:c>
      <x:c r="F1007" s="129" t="n">
        <x:f>ABS(D1007-E1007)</x:f>
        <x:v>0.010262596318326267</x:v>
      </x:c>
    </x:row>
    <x:row r="1008">
      <x:c r="A1008" s="107" t="n">
        <x:v>1007</x:v>
      </x:c>
      <x:c r="B1008" s="128" t="n">
        <x:v>2.84370490030999</x:v>
      </x:c>
      <x:c r="C1008" s="128" t="n">
        <x:f>LN(B1008)</x:f>
        <x:v>1.0451077443597125</x:v>
      </x:c>
      <x:c r="D1008" s="128" t="n">
        <x:f>'Итоги'!$B$8*AVERAGE($C$2:C1008)</x:f>
        <x:v>1.2863733175698493</x:v>
      </x:c>
      <x:c r="E1008" s="128" t="n">
        <x:f>'Итоги'!$B$9</x:f>
        <x:v>1.2958368660043291</x:v>
      </x:c>
      <x:c r="F1008" s="129" t="n">
        <x:f>ABS(D1008-E1008)</x:f>
        <x:v>0.00946354843447983</x:v>
      </x:c>
    </x:row>
    <x:row r="1009">
      <x:c r="A1009" s="107" t="n">
        <x:v>1008</x:v>
      </x:c>
      <x:c r="B1009" s="128" t="n">
        <x:v>1.63831298921614</x:v>
      </x:c>
      <x:c r="C1009" s="128" t="n">
        <x:f>LN(B1009)</x:f>
        <x:v>0.49366704728493277</x:v>
      </x:c>
      <x:c r="D1009" s="128" t="n">
        <x:f>'Итоги'!$B$8*AVERAGE($C$2:C1009)</x:f>
        <x:v>1.286076651674016</x:v>
      </x:c>
      <x:c r="E1009" s="128" t="n">
        <x:f>'Итоги'!$B$9</x:f>
        <x:v>1.2958368660043291</x:v>
      </x:c>
      <x:c r="F1009" s="129" t="n">
        <x:f>ABS(D1009-E1009)</x:f>
        <x:v>0.009760214330313044</x:v>
      </x:c>
    </x:row>
    <x:row r="1010">
      <x:c r="A1010" s="107" t="n">
        <x:v>1009</x:v>
      </x:c>
      <x:c r="B1010" s="128" t="n">
        <x:v>2.4523602567678022</x:v>
      </x:c>
      <x:c r="C1010" s="128" t="n">
        <x:f>LN(B1010)</x:f>
        <x:v>0.8970509309227725</x:v>
      </x:c>
      <x:c r="D1010" s="128" t="n">
        <x:f>'Итоги'!$B$8*AVERAGE($C$2:C1010)</x:f>
        <x:v>1.286580145440291</x:v>
      </x:c>
      <x:c r="E1010" s="128" t="n">
        <x:f>'Итоги'!$B$9</x:f>
        <x:v>1.2958368660043291</x:v>
      </x:c>
      <x:c r="F1010" s="129" t="n">
        <x:f>ABS(D1010-E1010)</x:f>
        <x:v>0.009256720564038146</x:v>
      </x:c>
    </x:row>
    <x:row r="1011">
      <x:c r="A1011" s="107" t="n">
        <x:v>1010</x:v>
      </x:c>
      <x:c r="B1011" s="128" t="n">
        <x:v>1.9221988603098152</x:v>
      </x:c>
      <x:c r="C1011" s="128" t="n">
        <x:f>LN(B1011)</x:f>
        <x:v>0.6534697704976085</x:v>
      </x:c>
      <x:c r="D1011" s="128" t="n">
        <x:f>'Итоги'!$B$8*AVERAGE($C$2:C1011)</x:f>
        <x:v>1.2866003032576723</x:v>
      </x:c>
      <x:c r="E1011" s="128" t="n">
        <x:f>'Итоги'!$B$9</x:f>
        <x:v>1.2958368660043291</x:v>
      </x:c>
      <x:c r="F1011" s="129" t="n">
        <x:f>ABS(D1011-E1011)</x:f>
        <x:v>0.009236562746656851</x:v>
      </x:c>
    </x:row>
    <x:row r="1012">
      <x:c r="A1012" s="107" t="n">
        <x:v>1011</x:v>
      </x:c>
      <x:c r="B1012" s="128" t="n">
        <x:v>2.3199026022585576</x:v>
      </x:c>
      <x:c r="C1012" s="128" t="n">
        <x:f>LN(B1012)</x:f>
        <x:v>0.8415252030118543</x:v>
      </x:c>
      <x:c r="D1012" s="128" t="n">
        <x:f>'Итоги'!$B$8*AVERAGE($C$2:C1012)</x:f>
        <x:v>1.2869924398578365</x:v>
      </x:c>
      <x:c r="E1012" s="128" t="n">
        <x:f>'Итоги'!$B$9</x:f>
        <x:v>1.2958368660043291</x:v>
      </x:c>
      <x:c r="F1012" s="129" t="n">
        <x:f>ABS(D1012-E1012)</x:f>
        <x:v>0.008844426146492612</x:v>
      </x:c>
    </x:row>
    <x:row r="1013">
      <x:c r="A1013" s="107" t="n">
        <x:v>1012</x:v>
      </x:c>
      <x:c r="B1013" s="128" t="n">
        <x:v>2.199390713431981</x:v>
      </x:c>
      <x:c r="C1013" s="128" t="n">
        <x:f>LN(B1013)</x:f>
        <x:v>0.78818037356696</x:v>
      </x:c>
      <x:c r="D1013" s="128" t="n">
        <x:f>'Итоги'!$B$8*AVERAGE($C$2:C1013)</x:f>
        <x:v>1.2872783769203624</x:v>
      </x:c>
      <x:c r="E1013" s="128" t="n">
        <x:f>'Итоги'!$B$9</x:f>
        <x:v>1.2958368660043291</x:v>
      </x:c>
      <x:c r="F1013" s="129" t="n">
        <x:f>ABS(D1013-E1013)</x:f>
        <x:v>0.008558489083966725</x:v>
      </x:c>
    </x:row>
    <x:row r="1014">
      <x:c r="A1014" s="107" t="n">
        <x:v>1013</x:v>
      </x:c>
      <x:c r="B1014" s="128" t="n">
        <x:v>1.9455679455179964</x:v>
      </x:c>
      <x:c r="C1014" s="128" t="n">
        <x:f>LN(B1014)</x:f>
        <x:v>0.6655539372828948</x:v>
      </x:c>
      <x:c r="D1014" s="128" t="n">
        <x:f>'Итоги'!$B$8*AVERAGE($C$2:C1014)</x:f>
        <x:v>1.2873216439466657</x:v>
      </x:c>
      <x:c r="E1014" s="128" t="n">
        <x:f>'Итоги'!$B$9</x:f>
        <x:v>1.2958368660043291</x:v>
      </x:c>
      <x:c r="F1014" s="129" t="n">
        <x:f>ABS(D1014-E1014)</x:f>
        <x:v>0.008515222057663419</x:v>
      </x:c>
    </x:row>
    <x:row r="1015">
      <x:c r="A1015" s="107" t="n">
        <x:v>1014</x:v>
      </x:c>
      <x:c r="B1015" s="128" t="n">
        <x:v>2.900122189248874</x:v>
      </x:c>
      <x:c r="C1015" s="128" t="n">
        <x:f>LN(B1015)</x:f>
        <x:v>1.0647528703285565</x:v>
      </x:c>
      <x:c r="D1015" s="128" t="n">
        <x:f>'Итоги'!$B$8*AVERAGE($C$2:C1015)</x:f>
        <x:v>1.2881522002550587</x:v>
      </x:c>
      <x:c r="E1015" s="128" t="n">
        <x:f>'Итоги'!$B$9</x:f>
        <x:v>1.2958368660043291</x:v>
      </x:c>
      <x:c r="F1015" s="129" t="n">
        <x:f>ABS(D1015-E1015)</x:f>
        <x:v>0.007684665749270403</x:v>
      </x:c>
    </x:row>
    <x:row r="1016">
      <x:c r="A1016" s="107" t="n">
        <x:v>1015</x:v>
      </x:c>
      <x:c r="B1016" s="128" t="n">
        <x:v>1.6854272855099117</x:v>
      </x:c>
      <x:c r="C1016" s="128" t="n">
        <x:f>LN(B1016)</x:f>
        <x:v>0.5220191135628602</x:v>
      </x:c>
      <x:c r="D1016" s="128" t="n">
        <x:f>'Итоги'!$B$8*AVERAGE($C$2:C1016)</x:f>
        <x:v>1.2879116938775912</x:v>
      </x:c>
      <x:c r="E1016" s="128" t="n">
        <x:f>'Итоги'!$B$9</x:f>
        <x:v>1.2958368660043291</x:v>
      </x:c>
      <x:c r="F1016" s="129" t="n">
        <x:f>ABS(D1016-E1016)</x:f>
        <x:v>0.007925172126737934</x:v>
      </x:c>
    </x:row>
    <x:row r="1017">
      <x:c r="A1017" s="107" t="n">
        <x:v>1016</x:v>
      </x:c>
      <x:c r="B1017" s="128" t="n">
        <x:v>1.3544710024985451</x:v>
      </x:c>
      <x:c r="C1017" s="128" t="n">
        <x:f>LN(B1017)</x:f>
        <x:v>0.30341097404404455</x:v>
      </x:c>
      <x:c r="D1017" s="128" t="n">
        <x:f>'Итоги'!$B$8*AVERAGE($C$2:C1017)</x:f>
        <x:v>1.2872413299545702</x:v>
      </x:c>
      <x:c r="E1017" s="128" t="n">
        <x:f>'Итоги'!$B$9</x:f>
        <x:v>1.2958368660043291</x:v>
      </x:c>
      <x:c r="F1017" s="129" t="n">
        <x:f>ABS(D1017-E1017)</x:f>
        <x:v>0.008595536049758934</x:v>
      </x:c>
    </x:row>
    <x:row r="1018">
      <x:c r="A1018" s="107" t="n">
        <x:v>1017</x:v>
      </x:c>
      <x:c r="B1018" s="128" t="n">
        <x:v>2.3561881217596565</x:v>
      </x:c>
      <x:c r="C1018" s="128" t="n">
        <x:f>LN(B1018)</x:f>
        <x:v>0.8570451105471876</x:v>
      </x:c>
      <x:c r="D1018" s="128" t="n">
        <x:f>'Итоги'!$B$8*AVERAGE($C$2:C1018)</x:f>
        <x:v>1.2876610437118365</x:v>
      </x:c>
      <x:c r="E1018" s="128" t="n">
        <x:f>'Итоги'!$B$9</x:f>
        <x:v>1.2958368660043291</x:v>
      </x:c>
      <x:c r="F1018" s="129" t="n">
        <x:f>ABS(D1018-E1018)</x:f>
        <x:v>0.008175822292492585</x:v>
      </x:c>
    </x:row>
    <x:row r="1019">
      <x:c r="A1019" s="107" t="n">
        <x:v>1018</x:v>
      </x:c>
      <x:c r="B1019" s="128" t="n">
        <x:v>2.6920151226158175</x:v>
      </x:c>
      <x:c r="C1019" s="128" t="n">
        <x:f>LN(B1019)</x:f>
        <x:v>0.990290029380305</x:v>
      </x:c>
      <x:c r="D1019" s="128" t="n">
        <x:f>'Итоги'!$B$8*AVERAGE($C$2:C1019)</x:f>
        <x:v>1.2883417107207251</x:v>
      </x:c>
      <x:c r="E1019" s="128" t="n">
        <x:f>'Итоги'!$B$9</x:f>
        <x:v>1.2958368660043291</x:v>
      </x:c>
      <x:c r="F1019" s="129" t="n">
        <x:f>ABS(D1019-E1019)</x:f>
        <x:v>0.007495155283604005</x:v>
      </x:c>
    </x:row>
    <x:row r="1020">
      <x:c r="A1020" s="107" t="n">
        <x:v>1019</x:v>
      </x:c>
      <x:c r="B1020" s="128" t="n">
        <x:v>1.0805074798798475</x:v>
      </x:c>
      <x:c r="C1020" s="128" t="n">
        <x:f>LN(B1020)</x:f>
        <x:v>0.07743081955060417</x:v>
      </x:c>
      <x:c r="D1020" s="128" t="n">
        <x:f>'Итоги'!$B$8*AVERAGE($C$2:C1020)</x:f>
        <x:v>1.2872293652137383</x:v>
      </x:c>
      <x:c r="E1020" s="128" t="n">
        <x:f>'Итоги'!$B$9</x:f>
        <x:v>1.2958368660043291</x:v>
      </x:c>
      <x:c r="F1020" s="129" t="n">
        <x:f>ABS(D1020-E1020)</x:f>
        <x:v>0.008607500790590805</x:v>
      </x:c>
    </x:row>
    <x:row r="1021">
      <x:c r="A1021" s="107" t="n">
        <x:v>1020</x:v>
      </x:c>
      <x:c r="B1021" s="128" t="n">
        <x:v>1.8992653768453611</x:v>
      </x:c>
      <x:c r="C1021" s="128" t="n">
        <x:f>LN(B1021)</x:f>
        <x:v>0.6414671676408221</x:v>
      </x:c>
      <x:c r="D1021" s="128" t="n">
        <x:f>'Итоги'!$B$8*AVERAGE($C$2:C1021)</x:f>
        <x:v>1.2872251544000795</x:v>
      </x:c>
      <x:c r="E1021" s="128" t="n">
        <x:f>'Итоги'!$B$9</x:f>
        <x:v>1.2958368660043291</x:v>
      </x:c>
      <x:c r="F1021" s="129" t="n">
        <x:f>ABS(D1021-E1021)</x:f>
        <x:v>0.008611711604249672</x:v>
      </x:c>
    </x:row>
    <x:row r="1022">
      <x:c r="A1022" s="107" t="n">
        <x:v>1021</x:v>
      </x:c>
      <x:c r="B1022" s="128" t="n">
        <x:v>2.784975379374653</x:v>
      </x:c>
      <x:c r="C1022" s="128" t="n">
        <x:f>LN(B1022)</x:f>
        <x:v>1.0242390329001894</x:v>
      </x:c>
      <x:c r="D1022" s="128" t="n">
        <x:f>'Итоги'!$B$8*AVERAGE($C$2:C1022)</x:f>
        <x:v>1.2879707498079151</x:v>
      </x:c>
      <x:c r="E1022" s="128" t="n">
        <x:f>'Итоги'!$B$9</x:f>
        <x:v>1.2958368660043291</x:v>
      </x:c>
      <x:c r="F1022" s="129" t="n">
        <x:f>ABS(D1022-E1022)</x:f>
        <x:v>0.007866116196413975</x:v>
      </x:c>
    </x:row>
    <x:row r="1023">
      <x:c r="A1023" s="107" t="n">
        <x:v>1022</x:v>
      </x:c>
      <x:c r="B1023" s="128" t="n">
        <x:v>2.499237237845735</x:v>
      </x:c>
      <x:c r="C1023" s="128" t="n">
        <x:f>LN(B1023)</x:f>
        <x:v>0.9159855804584913</x:v>
      </x:c>
      <x:c r="D1023" s="128" t="n">
        <x:f>'Итоги'!$B$8*AVERAGE($C$2:C1023)</x:f>
        <x:v>1.2885030398383546</x:v>
      </x:c>
      <x:c r="E1023" s="128" t="n">
        <x:f>'Итоги'!$B$9</x:f>
        <x:v>1.2958368660043291</x:v>
      </x:c>
      <x:c r="F1023" s="129" t="n">
        <x:f>ABS(D1023-E1023)</x:f>
        <x:v>0.007333826165974555</x:v>
      </x:c>
    </x:row>
    <x:row r="1024">
      <x:c r="A1024" s="107" t="n">
        <x:v>1023</x:v>
      </x:c>
      <x:c r="B1024" s="128" t="n">
        <x:v>2.9836154329952564</x:v>
      </x:c>
      <x:c r="C1024" s="128" t="n">
        <x:f>LN(B1024)</x:f>
        <x:v>1.093135797694173</x:v>
      </x:c>
      <x:c r="D1024" s="128" t="n">
        <x:f>'Итоги'!$B$8*AVERAGE($C$2:C1024)</x:f>
        <x:v>1.2893806239591268</x:v>
      </x:c>
      <x:c r="E1024" s="128" t="n">
        <x:f>'Итоги'!$B$9</x:f>
        <x:v>1.2958368660043291</x:v>
      </x:c>
      <x:c r="F1024" s="129" t="n">
        <x:f>ABS(D1024-E1024)</x:f>
        <x:v>0.006456242045202343</x:v>
      </x:c>
    </x:row>
    <x:row r="1025">
      <x:c r="A1025" s="107" t="n">
        <x:v>1024</x:v>
      </x:c>
      <x:c r="B1025" s="128" t="n">
        <x:v>2.0628276231944875</x:v>
      </x:c>
      <x:c r="C1025" s="128" t="n">
        <x:f>LN(B1025)</x:f>
        <x:v>0.7240776742212018</x:v>
      </x:c>
      <x:c r="D1025" s="128" t="n">
        <x:f>'Итоги'!$B$8*AVERAGE($C$2:C1025)</x:f>
        <x:v>1.289535677401005</x:v>
      </x:c>
      <x:c r="E1025" s="128" t="n">
        <x:f>'Итоги'!$B$9</x:f>
        <x:v>1.2958368660043291</x:v>
      </x:c>
      <x:c r="F1025" s="129" t="n">
        <x:f>ABS(D1025-E1025)</x:f>
        <x:v>0.0063011886033241815</x:v>
      </x:c>
    </x:row>
    <x:row r="1026">
      <x:c r="A1026" s="107" t="n">
        <x:v>1025</x:v>
      </x:c>
      <x:c r="B1026" s="128" t="n">
        <x:v>2.3199914376023028</x:v>
      </x:c>
      <x:c r="C1026" s="128" t="n">
        <x:f>LN(B1026)</x:f>
        <x:v>0.8415634949827454</x:v>
      </x:c>
      <x:c r="D1026" s="128" t="n">
        <x:f>'Итоги'!$B$8*AVERAGE($C$2:C1026)</x:f>
        <x:v>1.2899196689254582</x:v>
      </x:c>
      <x:c r="E1026" s="128" t="n">
        <x:f>'Итоги'!$B$9</x:f>
        <x:v>1.2958368660043291</x:v>
      </x:c>
      <x:c r="F1026" s="129" t="n">
        <x:f>ABS(D1026-E1026)</x:f>
        <x:v>0.0059171970788709505</x:v>
      </x:c>
    </x:row>
    <x:row r="1027">
      <x:c r="A1027" s="107" t="n">
        <x:v>1026</x:v>
      </x:c>
      <x:c r="B1027" s="128" t="n">
        <x:v>1.6049605622758563</x:v>
      </x:c>
      <x:c r="C1027" s="128" t="n">
        <x:f>LN(B1027)</x:f>
        <x:v>0.473099184489344</x:v>
      </x:c>
      <x:c r="D1027" s="128" t="n">
        <x:f>'Итоги'!$B$8*AVERAGE($C$2:C1027)</x:f>
        <x:v>1.2895846579118648</x:v>
      </x:c>
      <x:c r="E1027" s="128" t="n">
        <x:f>'Итоги'!$B$9</x:f>
        <x:v>1.2958368660043291</x:v>
      </x:c>
      <x:c r="F1027" s="129" t="n">
        <x:f>ABS(D1027-E1027)</x:f>
        <x:v>0.006252208092464295</x:v>
      </x:c>
    </x:row>
    <x:row r="1028">
      <x:c r="A1028" s="107" t="n">
        <x:v>1027</x:v>
      </x:c>
      <x:c r="B1028" s="128" t="n">
        <x:v>2.8950711993319844</x:v>
      </x:c>
      <x:c r="C1028" s="128" t="n">
        <x:f>LN(B1028)</x:f>
        <x:v>1.063009704619592</x:v>
      </x:c>
      <x:c r="D1028" s="128" t="n">
        <x:f>'Итоги'!$B$8*AVERAGE($C$2:C1028)</x:f>
        <x:v>1.2903991026551243</x:v>
      </x:c>
      <x:c r="E1028" s="128" t="n">
        <x:f>'Итоги'!$B$9</x:f>
        <x:v>1.2958368660043291</x:v>
      </x:c>
      <x:c r="F1028" s="129" t="n">
        <x:f>ABS(D1028-E1028)</x:f>
        <x:v>0.005437763349204872</x:v>
      </x:c>
    </x:row>
    <x:row r="1029">
      <x:c r="A1029" s="107" t="n">
        <x:v>1028</x:v>
      </x:c>
      <x:c r="B1029" s="128" t="n">
        <x:v>1.7326709771130726</x:v>
      </x:c>
      <x:c r="C1029" s="128" t="n">
        <x:f>LN(B1029)</x:f>
        <x:v>0.5496641353009258</x:v>
      </x:c>
      <x:c r="D1029" s="128" t="n">
        <x:f>'Итоги'!$B$8*AVERAGE($C$2:C1029)</x:f>
        <x:v>1.290213236086979</x:v>
      </x:c>
      <x:c r="E1029" s="128" t="n">
        <x:f>'Итоги'!$B$9</x:f>
        <x:v>1.2958368660043291</x:v>
      </x:c>
      <x:c r="F1029" s="129" t="n">
        <x:f>ABS(D1029-E1029)</x:f>
        <x:v>0.005623629917350215</x:v>
      </x:c>
    </x:row>
    <x:row r="1030">
      <x:c r="A1030" s="107" t="n">
        <x:v>1029</x:v>
      </x:c>
      <x:c r="B1030" s="128" t="n">
        <x:v>2.477021425373257</x:v>
      </x:c>
      <x:c r="C1030" s="128" t="n">
        <x:f>LN(B1030)</x:f>
        <x:v>0.9070568001966032</x:v>
      </x:c>
      <x:c r="D1030" s="128" t="n">
        <x:f>'Итоги'!$B$8*AVERAGE($C$2:C1030)</x:f>
        <x:v>1.2907223715236225</x:v>
      </x:c>
      <x:c r="E1030" s="128" t="n">
        <x:f>'Итоги'!$B$9</x:f>
        <x:v>1.2958368660043291</x:v>
      </x:c>
      <x:c r="F1030" s="129" t="n">
        <x:f>ABS(D1030-E1030)</x:f>
        <x:v>0.005114494480706666</x:v>
      </x:c>
    </x:row>
    <x:row r="1031">
      <x:c r="A1031" s="107" t="n">
        <x:v>1030</x:v>
      </x:c>
      <x:c r="B1031" s="128" t="n">
        <x:v>1.8062804082381638</x:v>
      </x:c>
      <x:c r="C1031" s="128" t="n">
        <x:f>LN(B1031)</x:f>
        <x:v>0.5912697077476462</x:v>
      </x:c>
      <x:c r="D1031" s="128" t="n">
        <x:f>'Итоги'!$B$8*AVERAGE($C$2:C1031)</x:f>
        <x:v>1.2906173395274785</x:v>
      </x:c>
      <x:c r="E1031" s="128" t="n">
        <x:f>'Итоги'!$B$9</x:f>
        <x:v>1.2958368660043291</x:v>
      </x:c>
      <x:c r="F1031" s="129" t="n">
        <x:f>ABS(D1031-E1031)</x:f>
        <x:v>0.005219526476850644</x:v>
      </x:c>
    </x:row>
    <x:row r="1032">
      <x:c r="A1032" s="107" t="n">
        <x:v>1031</x:v>
      </x:c>
      <x:c r="B1032" s="128" t="n">
        <x:v>2.1236378601259984</x:v>
      </x:c>
      <x:c r="C1032" s="128" t="n">
        <x:f>LN(B1032)</x:f>
        <x:v>0.7531305898440266</x:v>
      </x:c>
      <x:c r="D1032" s="128" t="n">
        <x:f>'Итоги'!$B$8*AVERAGE($C$2:C1032)</x:f>
        <x:v>1.2908264994112424</x:v>
      </x:c>
      <x:c r="E1032" s="128" t="n">
        <x:f>'Итоги'!$B$9</x:f>
        <x:v>1.2958368660043291</x:v>
      </x:c>
      <x:c r="F1032" s="129" t="n">
        <x:f>ABS(D1032-E1032)</x:f>
        <x:v>0.005010366593086735</x:v>
      </x:c>
    </x:row>
    <x:row r="1033">
      <x:c r="A1033" s="107" t="n">
        <x:v>1032</x:v>
      </x:c>
      <x:c r="B1033" s="128" t="n">
        <x:v>2.439565070043092</x:v>
      </x:c>
      <x:c r="C1033" s="128" t="n">
        <x:f>LN(B1033)</x:f>
        <x:v>0.891819773434355</x:v>
      </x:c>
      <x:c r="D1033" s="128" t="n">
        <x:f>'Итоги'!$B$8*AVERAGE($C$2:C1033)</x:f>
        <x:v>1.2913040314339723</x:v>
      </x:c>
      <x:c r="E1033" s="128" t="n">
        <x:f>'Итоги'!$B$9</x:f>
        <x:v>1.2958368660043291</x:v>
      </x:c>
      <x:c r="F1033" s="129" t="n">
        <x:f>ABS(D1033-E1033)</x:f>
        <x:v>0.004532834570356803</x:v>
      </x:c>
    </x:row>
    <x:row r="1034">
      <x:c r="A1034" s="107" t="n">
        <x:v>1033</x:v>
      </x:c>
      <x:c r="B1034" s="128" t="n">
        <x:v>2.0178683035027083</x:v>
      </x:c>
      <x:c r="C1034" s="128" t="n">
        <x:f>LN(B1034)</x:f>
        <x:v>0.702041658901291</x:v>
      </x:c>
      <x:c r="D1034" s="128" t="n">
        <x:f>'Итоги'!$B$8*AVERAGE($C$2:C1034)</x:f>
        <x:v>1.291413207897059</x:v>
      </x:c>
      <x:c r="E1034" s="128" t="n">
        <x:f>'Итоги'!$B$9</x:f>
        <x:v>1.2958368660043291</x:v>
      </x:c>
      <x:c r="F1034" s="129" t="n">
        <x:f>ABS(D1034-E1034)</x:f>
        <x:v>0.004423658107270079</x:v>
      </x:c>
    </x:row>
    <x:row r="1035">
      <x:c r="A1035" s="107" t="n">
        <x:v>1034</x:v>
      </x:c>
      <x:c r="B1035" s="128" t="n">
        <x:v>2.814172653819017</x:v>
      </x:c>
      <x:c r="C1035" s="128" t="n">
        <x:f>LN(B1035)</x:f>
        <x:v>1.0346683121117495</x:v>
      </x:c>
      <x:c r="D1035" s="128" t="n">
        <x:f>'Итоги'!$B$8*AVERAGE($C$2:C1035)</x:f>
        <x:v>1.2921655516265818</x:v>
      </x:c>
      <x:c r="E1035" s="128" t="n">
        <x:f>'Итоги'!$B$9</x:f>
        <x:v>1.2958368660043291</x:v>
      </x:c>
      <x:c r="F1035" s="129" t="n">
        <x:f>ABS(D1035-E1035)</x:f>
        <x:v>0.00367131437774737</x:v>
      </x:c>
    </x:row>
    <x:row r="1036">
      <x:c r="A1036" s="107" t="n">
        <x:v>1035</x:v>
      </x:c>
      <x:c r="B1036" s="128" t="n">
        <x:v>1.8386019758556205</x:v>
      </x:c>
      <x:c r="C1036" s="128" t="n">
        <x:f>LN(B1036)</x:f>
        <x:v>0.6090054870991863</x:v>
      </x:c>
      <x:c r="D1036" s="128" t="n">
        <x:f>'Итоги'!$B$8*AVERAGE($C$2:C1036)</x:f>
        <x:v>1.2920939046918687</x:v>
      </x:c>
      <x:c r="E1036" s="128" t="n">
        <x:f>'Итоги'!$B$9</x:f>
        <x:v>1.2958368660043291</x:v>
      </x:c>
      <x:c r="F1036" s="129" t="n">
        <x:f>ABS(D1036-E1036)</x:f>
        <x:v>0.0037429613124604355</x:v>
      </x:c>
    </x:row>
    <x:row r="1037">
      <x:c r="A1037" s="107" t="n">
        <x:v>1036</x:v>
      </x:c>
      <x:c r="B1037" s="128" t="n">
        <x:v>2.2941435962866503</x:v>
      </x:c>
      <x:c r="C1037" s="128" t="n">
        <x:f>LN(B1037)</x:f>
        <x:v>0.8303596132113324</x:v>
      </x:c>
      <x:c r="D1037" s="128" t="n">
        <x:f>'Итоги'!$B$8*AVERAGE($C$2:C1037)</x:f>
        <x:v>1.2924497206394854</x:v>
      </x:c>
      <x:c r="E1037" s="128" t="n">
        <x:f>'Итоги'!$B$9</x:f>
        <x:v>1.2958368660043291</x:v>
      </x:c>
      <x:c r="F1037" s="129" t="n">
        <x:f>ABS(D1037-E1037)</x:f>
        <x:v>0.0033871453648437466</x:v>
      </x:c>
    </x:row>
    <x:row r="1038">
      <x:c r="A1038" s="107" t="n">
        <x:v>1037</x:v>
      </x:c>
      <x:c r="B1038" s="128" t="n">
        <x:v>1.6847248666001082</x:v>
      </x:c>
      <x:c r="C1038" s="128" t="n">
        <x:f>LN(B1038)</x:f>
        <x:v>0.5216022665552053</x:v>
      </x:c>
      <x:c r="D1038" s="128" t="n">
        <x:f>'Итоги'!$B$8*AVERAGE($C$2:C1038)</x:f>
        <x:v>1.292209368481791</x:v>
      </x:c>
      <x:c r="E1038" s="128" t="n">
        <x:f>'Итоги'!$B$9</x:f>
        <x:v>1.2958368660043291</x:v>
      </x:c>
      <x:c r="F1038" s="129" t="n">
        <x:f>ABS(D1038-E1038)</x:f>
        <x:v>0.0036274975225381034</x:v>
      </x:c>
    </x:row>
    <x:row r="1039">
      <x:c r="A1039" s="107" t="n">
        <x:v>1038</x:v>
      </x:c>
      <x:c r="B1039" s="128" t="n">
        <x:v>1.816313336462026</x:v>
      </x:c>
      <x:c r="C1039" s="128" t="n">
        <x:f>LN(B1039)</x:f>
        <x:v>0.5968088074000646</x:v>
      </x:c>
      <x:c r="D1039" s="128" t="n">
        <x:f>'Итоги'!$B$8*AVERAGE($C$2:C1039)</x:f>
        <x:v>1.2921143860601323</x:v>
      </x:c>
      <x:c r="E1039" s="128" t="n">
        <x:f>'Итоги'!$B$9</x:f>
        <x:v>1.2958368660043291</x:v>
      </x:c>
      <x:c r="F1039" s="129" t="n">
        <x:f>ABS(D1039-E1039)</x:f>
        <x:v>0.0037224799441968326</x:v>
      </x:c>
    </x:row>
    <x:row r="1040">
      <x:c r="A1040" s="107" t="n">
        <x:v>1039</x:v>
      </x:c>
      <x:c r="B1040" s="128" t="n">
        <x:v>1.8801002164671048</x:v>
      </x:c>
      <x:c r="C1040" s="128" t="n">
        <x:f>LN(B1040)</x:f>
        <x:v>0.6313250820525486</x:v>
      </x:c>
      <x:c r="D1040" s="128" t="n">
        <x:f>'Итоги'!$B$8*AVERAGE($C$2:C1040)</x:f>
        <x:v>1.2920860278099349</x:v>
      </x:c>
      <x:c r="E1040" s="128" t="n">
        <x:f>'Итоги'!$B$9</x:f>
        <x:v>1.2958368660043291</x:v>
      </x:c>
      <x:c r="F1040" s="129" t="n">
        <x:f>ABS(D1040-E1040)</x:f>
        <x:v>0.003750838194394257</x:v>
      </x:c>
    </x:row>
    <x:row r="1041">
      <x:c r="A1041" s="107" t="n">
        <x:v>1040</x:v>
      </x:c>
      <x:c r="B1041" s="128" t="n">
        <x:v>1.2516140366245705</x:v>
      </x:c>
      <x:c r="C1041" s="128" t="n">
        <x:f>LN(B1041)</x:f>
        <x:v>0.2244339476942304</x:v>
      </x:c>
      <x:c r="D1041" s="128" t="n">
        <x:f>'Итоги'!$B$8*AVERAGE($C$2:C1041)</x:f>
        <x:v>1.291275241144145</x:v>
      </x:c>
      <x:c r="E1041" s="128" t="n">
        <x:f>'Итоги'!$B$9</x:f>
        <x:v>1.2958368660043291</x:v>
      </x:c>
      <x:c r="F1041" s="129" t="n">
        <x:f>ABS(D1041-E1041)</x:f>
        <x:v>0.004561624860184077</x:v>
      </x:c>
    </x:row>
    <x:row r="1042">
      <x:c r="A1042" s="107" t="n">
        <x:v>1041</x:v>
      </x:c>
      <x:c r="B1042" s="128" t="n">
        <x:v>1.1834473581180134</x:v>
      </x:c>
      <x:c r="C1042" s="128" t="n">
        <x:f>LN(B1042)</x:f>
        <x:v>0.16843166914995616</x:v>
      </x:c>
      <x:c r="D1042" s="128" t="n">
        <x:f>'Итоги'!$B$8*AVERAGE($C$2:C1042)</x:f>
        <x:v>1.2903584189512112</x:v>
      </x:c>
      <x:c r="E1042" s="128" t="n">
        <x:f>'Итоги'!$B$9</x:f>
        <x:v>1.2958368660043291</x:v>
      </x:c>
      <x:c r="F1042" s="129" t="n">
        <x:f>ABS(D1042-E1042)</x:f>
        <x:v>0.005478447053117952</x:v>
      </x:c>
    </x:row>
    <x:row r="1043">
      <x:c r="A1043" s="107" t="n">
        <x:v>1042</x:v>
      </x:c>
      <x:c r="B1043" s="128" t="n">
        <x:v>2.334979846293516</x:v>
      </x:c>
      <x:c r="C1043" s="128" t="n">
        <x:f>LN(B1043)</x:f>
        <x:v>0.8480032599459316</x:v>
      </x:c>
      <x:c r="D1043" s="128" t="n">
        <x:f>'Итоги'!$B$8*AVERAGE($C$2:C1043)</x:f>
        <x:v>1.2907477165528818</x:v>
      </x:c>
      <x:c r="E1043" s="128" t="n">
        <x:f>'Итоги'!$B$9</x:f>
        <x:v>1.2958368660043291</x:v>
      </x:c>
      <x:c r="F1043" s="129" t="n">
        <x:f>ABS(D1043-E1043)</x:f>
        <x:v>0.005089149451447339</x:v>
      </x:c>
    </x:row>
    <x:row r="1044">
      <x:c r="A1044" s="107" t="n">
        <x:v>1043</x:v>
      </x:c>
      <x:c r="B1044" s="128" t="n">
        <x:v>2.3110354766861043</x:v>
      </x:c>
      <x:c r="C1044" s="128" t="n">
        <x:f>LN(B1044)</x:f>
        <x:v>0.8376956824016343</x:v>
      </x:c>
      <x:c r="D1044" s="128" t="n">
        <x:f>'Итоги'!$B$8*AVERAGE($C$2:C1044)</x:f>
        <x:v>1.2911165024093059</x:v>
      </x:c>
      <x:c r="E1044" s="128" t="n">
        <x:f>'Итоги'!$B$9</x:f>
        <x:v>1.2958368660043291</x:v>
      </x:c>
      <x:c r="F1044" s="129" t="n">
        <x:f>ABS(D1044-E1044)</x:f>
        <x:v>0.004720363595023258</x:v>
      </x:c>
    </x:row>
    <x:row r="1045">
      <x:c r="A1045" s="107" t="n">
        <x:v>1044</x:v>
      </x:c>
      <x:c r="B1045" s="128" t="n">
        <x:v>2.3258194284201905</x:v>
      </x:c>
      <x:c r="C1045" s="128" t="n">
        <x:f>LN(B1045)</x:f>
        <x:v>0.844072419277375</x:v>
      </x:c>
      <x:c r="D1045" s="128" t="n">
        <x:f>'Итоги'!$B$8*AVERAGE($C$2:C1045)</x:f>
        <x:v>1.2914967977504415</x:v>
      </x:c>
      <x:c r="E1045" s="128" t="n">
        <x:f>'Итоги'!$B$9</x:f>
        <x:v>1.2958368660043291</x:v>
      </x:c>
      <x:c r="F1045" s="129" t="n">
        <x:f>ABS(D1045-E1045)</x:f>
        <x:v>0.004340068253887663</x:v>
      </x:c>
    </x:row>
    <x:row r="1046">
      <x:c r="A1046" s="107" t="n">
        <x:v>1045</x:v>
      </x:c>
      <x:c r="B1046" s="128" t="n">
        <x:v>1.0395328906853833</x:v>
      </x:c>
      <x:c r="C1046" s="128" t="n">
        <x:f>LN(B1046)</x:f>
        <x:v>0.03877146868634841</x:v>
      </x:c>
      <x:c r="D1046" s="128" t="n">
        <x:f>'Итоги'!$B$8*AVERAGE($C$2:C1046)</x:f>
        <x:v>1.2903351194151518</x:v>
      </x:c>
      <x:c r="E1046" s="128" t="n">
        <x:f>'Итоги'!$B$9</x:f>
        <x:v>1.2958368660043291</x:v>
      </x:c>
      <x:c r="F1046" s="129" t="n">
        <x:f>ABS(D1046-E1046)</x:f>
        <x:v>0.005501746589177348</x:v>
      </x:c>
    </x:row>
    <x:row r="1047">
      <x:c r="A1047" s="107" t="n">
        <x:v>1046</x:v>
      </x:c>
      <x:c r="B1047" s="128" t="n">
        <x:v>1.6530936853435598</x:v>
      </x:c>
      <x:c r="C1047" s="128" t="n">
        <x:f>LN(B1047)</x:f>
        <x:v>0.5026484931817833</x:v>
      </x:c>
      <x:c r="D1047" s="128" t="n">
        <x:f>'Итоги'!$B$8*AVERAGE($C$2:C1047)</x:f>
        <x:v>1.2900626164198825</x:v>
      </x:c>
      <x:c r="E1047" s="128" t="n">
        <x:f>'Итоги'!$B$9</x:f>
        <x:v>1.2958368660043291</x:v>
      </x:c>
      <x:c r="F1047" s="129" t="n">
        <x:f>ABS(D1047-E1047)</x:f>
        <x:v>0.005774249584446611</x:v>
      </x:c>
    </x:row>
    <x:row r="1048">
      <x:c r="A1048" s="107" t="n">
        <x:v>1047</x:v>
      </x:c>
      <x:c r="B1048" s="128" t="n">
        <x:v>1.3956196945183938</x:v>
      </x:c>
      <x:c r="C1048" s="128" t="n">
        <x:f>LN(B1048)</x:f>
        <x:v>0.33333854209562386</x:v>
      </x:c>
      <x:c r="D1048" s="128" t="n">
        <x:f>'Итоги'!$B$8*AVERAGE($C$2:C1048)</x:f>
        <x:v>1.289467214765414</x:v>
      </x:c>
      <x:c r="E1048" s="128" t="n">
        <x:f>'Итоги'!$B$9</x:f>
        <x:v>1.2958368660043291</x:v>
      </x:c>
      <x:c r="F1048" s="129" t="n">
        <x:f>ABS(D1048-E1048)</x:f>
        <x:v>0.006369651238915086</x:v>
      </x:c>
    </x:row>
    <x:row r="1049">
      <x:c r="A1049" s="107" t="n">
        <x:v>1048</x:v>
      </x:c>
      <x:c r="B1049" s="128" t="n">
        <x:v>2.556302845088025</x:v>
      </x:c>
      <x:c r="C1049" s="128" t="n">
        <x:f>LN(B1049)</x:f>
        <x:v>0.9385620134903644</x:v>
      </x:c>
      <x:c r="D1049" s="128" t="n">
        <x:f>'Итоги'!$B$8*AVERAGE($C$2:C1049)</x:f>
        <x:v>1.2900279559984438</x:v>
      </x:c>
      <x:c r="E1049" s="128" t="n">
        <x:f>'Итоги'!$B$9</x:f>
        <x:v>1.2958368660043291</x:v>
      </x:c>
      <x:c r="F1049" s="129" t="n">
        <x:f>ABS(D1049-E1049)</x:f>
        <x:v>0.005808910005885348</x:v>
      </x:c>
    </x:row>
    <x:row r="1050">
      <x:c r="A1050" s="107" t="n">
        <x:v>1049</x:v>
      </x:c>
      <x:c r="B1050" s="128" t="n">
        <x:v>2.7212608027922602</x:v>
      </x:c>
      <x:c r="C1050" s="128" t="n">
        <x:f>LN(B1050)</x:f>
        <x:v>1.0010953033491898</x:v>
      </x:c>
      <x:c r="D1050" s="128" t="n">
        <x:f>'Итоги'!$B$8*AVERAGE($C$2:C1050)</x:f>
        <x:v>1.2907068527102645</x:v>
      </x:c>
      <x:c r="E1050" s="128" t="n">
        <x:f>'Итоги'!$B$9</x:f>
        <x:v>1.2958368660043291</x:v>
      </x:c>
      <x:c r="F1050" s="129" t="n">
        <x:f>ABS(D1050-E1050)</x:f>
        <x:v>0.005130013294064595</x:v>
      </x:c>
    </x:row>
    <x:row r="1051">
      <x:c r="A1051" s="107" t="n">
        <x:v>1050</x:v>
      </x:c>
      <x:c r="B1051" s="128" t="n">
        <x:v>1.4933607544522947</x:v>
      </x:c>
      <x:c r="C1051" s="128" t="n">
        <x:f>LN(B1051)</x:f>
        <x:v>0.4010291199466454</x:v>
      </x:c>
      <x:c r="D1051" s="128" t="n">
        <x:f>'Итоги'!$B$8*AVERAGE($C$2:C1051)</x:f>
        <x:v>1.2902414730790104</x:v>
      </x:c>
      <x:c r="E1051" s="128" t="n">
        <x:f>'Итоги'!$B$9</x:f>
        <x:v>1.2958368660043291</x:v>
      </x:c>
      <x:c r="F1051" s="129" t="n">
        <x:f>ABS(D1051-E1051)</x:f>
        <x:v>0.005595392925318743</x:v>
      </x:c>
    </x:row>
    <x:row r="1052">
      <x:c r="A1052" s="107" t="n">
        <x:v>1051</x:v>
      </x:c>
      <x:c r="B1052" s="128" t="n">
        <x:v>2.3356983176959725</x:v>
      </x:c>
      <x:c r="C1052" s="128" t="n">
        <x:f>LN(B1052)</x:f>
        <x:v>0.8483109118041404</x:v>
      </x:c>
      <x:c r="D1052" s="128" t="n">
        <x:f>'Итоги'!$B$8*AVERAGE($C$2:C1052)</x:f>
        <x:v>1.2906281337360315</x:v>
      </x:c>
      <x:c r="E1052" s="128" t="n">
        <x:f>'Итоги'!$B$9</x:f>
        <x:v>1.2958368660043291</x:v>
      </x:c>
      <x:c r="F1052" s="129" t="n">
        <x:f>ABS(D1052-E1052)</x:f>
        <x:v>0.0052087322682976556</x:v>
      </x:c>
    </x:row>
    <x:row r="1053">
      <x:c r="A1053" s="107" t="n">
        <x:v>1052</x:v>
      </x:c>
      <x:c r="B1053" s="128" t="n">
        <x:v>1.258725606916549</x:v>
      </x:c>
      <x:c r="C1053" s="128" t="n">
        <x:f>LN(B1053)</x:f>
        <x:v>0.23009978604780784</x:v>
      </x:c>
      <x:c r="D1053" s="128" t="n">
        <x:f>'Итоги'!$B$8*AVERAGE($C$2:C1053)</x:f>
        <x:v>1.2898387529740158</x:v>
      </x:c>
      <x:c r="E1053" s="128" t="n">
        <x:f>'Итоги'!$B$9</x:f>
        <x:v>1.2958368660043291</x:v>
      </x:c>
      <x:c r="F1053" s="129" t="n">
        <x:f>ABS(D1053-E1053)</x:f>
        <x:v>0.005998113030313279</x:v>
      </x:c>
    </x:row>
    <x:row r="1054">
      <x:c r="A1054" s="107" t="n">
        <x:v>1053</x:v>
      </x:c>
      <x:c r="B1054" s="128" t="n">
        <x:v>1.5503050512034267</x:v>
      </x:c>
      <x:c r="C1054" s="128" t="n">
        <x:f>LN(B1054)</x:f>
        <x:v>0.43845171879517053</x:v>
      </x:c>
      <x:c r="D1054" s="128" t="n">
        <x:f>'Итоги'!$B$8*AVERAGE($C$2:C1054)</x:f>
        <x:v>1.2894466016773551</x:v>
      </x:c>
      <x:c r="E1054" s="128" t="n">
        <x:f>'Итоги'!$B$9</x:f>
        <x:v>1.2958368660043291</x:v>
      </x:c>
      <x:c r="F1054" s="129" t="n">
        <x:f>ABS(D1054-E1054)</x:f>
        <x:v>0.006390264326973982</x:v>
      </x:c>
    </x:row>
    <x:row r="1055">
      <x:c r="A1055" s="107" t="n">
        <x:v>1054</x:v>
      </x:c>
      <x:c r="B1055" s="128" t="n">
        <x:v>1.277308992466839</x:v>
      </x:c>
      <x:c r="C1055" s="128" t="n">
        <x:f>LN(B1055)</x:f>
        <x:v>0.24475551525698377</x:v>
      </x:c>
      <x:c r="D1055" s="128" t="n">
        <x:f>'Итоги'!$B$8*AVERAGE($C$2:C1055)</x:f>
        <x:v>1.2886876495225512</x:v>
      </x:c>
      <x:c r="E1055" s="128" t="n">
        <x:f>'Итоги'!$B$9</x:f>
        <x:v>1.2958368660043291</x:v>
      </x:c>
      <x:c r="F1055" s="129" t="n">
        <x:f>ABS(D1055-E1055)</x:f>
        <x:v>0.007149216481777909</x:v>
      </x:c>
    </x:row>
    <x:row r="1056">
      <x:c r="A1056" s="107" t="n">
        <x:v>1055</x:v>
      </x:c>
      <x:c r="B1056" s="128" t="n">
        <x:v>1.5670415331984584</x:v>
      </x:c>
      <x:c r="C1056" s="128" t="n">
        <x:f>LN(B1056)</x:f>
        <x:v>0.44918946793549913</x:v>
      </x:c>
      <x:c r="D1056" s="128" t="n">
        <x:f>'Итоги'!$B$8*AVERAGE($C$2:C1056)</x:f>
        <x:v>1.2883176886565308</x:v>
      </x:c>
      <x:c r="E1056" s="128" t="n">
        <x:f>'Итоги'!$B$9</x:f>
        <x:v>1.2958368660043291</x:v>
      </x:c>
      <x:c r="F1056" s="129" t="n">
        <x:f>ABS(D1056-E1056)</x:f>
        <x:v>0.007519177347798278</x:v>
      </x:c>
    </x:row>
    <x:row r="1057">
      <x:c r="A1057" s="107" t="n">
        <x:v>1056</x:v>
      </x:c>
      <x:c r="B1057" s="128" t="n">
        <x:v>2.349473094698556</x:v>
      </x:c>
      <x:c r="C1057" s="128" t="n">
        <x:f>LN(B1057)</x:f>
        <x:v>0.8541910879942305</x:v>
      </x:c>
      <x:c r="D1057" s="128" t="n">
        <x:f>'Итоги'!$B$8*AVERAGE($C$2:C1057)</x:f>
        <x:v>1.2887154769968072</x:v>
      </x:c>
      <x:c r="E1057" s="128" t="n">
        <x:f>'Итоги'!$B$9</x:f>
        <x:v>1.2958368660043291</x:v>
      </x:c>
      <x:c r="F1057" s="129" t="n">
        <x:f>ABS(D1057-E1057)</x:f>
        <x:v>0.0071213890075219055</x:v>
      </x:c>
    </x:row>
    <x:row r="1058">
      <x:c r="A1058" s="107" t="n">
        <x:v>1057</x:v>
      </x:c>
      <x:c r="B1058" s="128" t="n">
        <x:v>2.820653820370505</x:v>
      </x:c>
      <x:c r="C1058" s="128" t="n">
        <x:f>LN(B1058)</x:f>
        <x:v>1.036968709271902</x:v>
      </x:c>
      <x:c r="D1058" s="128" t="n">
        <x:f>'Итоги'!$B$8*AVERAGE($C$2:C1058)</x:f>
        <x:v>1.289458354897987</x:v>
      </x:c>
      <x:c r="E1058" s="128" t="n">
        <x:f>'Итоги'!$B$9</x:f>
        <x:v>1.2958368660043291</x:v>
      </x:c>
      <x:c r="F1058" s="129" t="n">
        <x:f>ABS(D1058-E1058)</x:f>
        <x:v>0.006378511106342133</x:v>
      </x:c>
    </x:row>
    <x:row r="1059">
      <x:c r="A1059" s="107" t="n">
        <x:v>1058</x:v>
      </x:c>
      <x:c r="B1059" s="128" t="n">
        <x:v>1.405044815848372</x:v>
      </x:c>
      <x:c r="C1059" s="128" t="n">
        <x:f>LN(B1059)</x:f>
        <x:v>0.3400691996779743</x:v>
      </x:c>
      <x:c r="D1059" s="128" t="n">
        <x:f>'Итоги'!$B$8*AVERAGE($C$2:C1059)</x:f>
        <x:v>1.288882438115811</x:v>
      </x:c>
      <x:c r="E1059" s="128" t="n">
        <x:f>'Итоги'!$B$9</x:f>
        <x:v>1.2958368660043291</x:v>
      </x:c>
      <x:c r="F1059" s="129" t="n">
        <x:f>ABS(D1059-E1059)</x:f>
        <x:v>0.006954427888518078</x:v>
      </x:c>
    </x:row>
    <x:row r="1060">
      <x:c r="A1060" s="107" t="n">
        <x:v>1059</x:v>
      </x:c>
      <x:c r="B1060" s="128" t="n">
        <x:v>2.0841580699014384</x:v>
      </x:c>
      <x:c r="C1060" s="128" t="n">
        <x:f>LN(B1060)</x:f>
        <x:v>0.7343649702956297</x:v>
      </x:c>
      <x:c r="D1060" s="128" t="n">
        <x:f>'Итоги'!$B$8*AVERAGE($C$2:C1060)</x:f>
        <x:v>1.2890522657857595</x:v>
      </x:c>
      <x:c r="E1060" s="128" t="n">
        <x:f>'Итоги'!$B$9</x:f>
        <x:v>1.2958368660043291</x:v>
      </x:c>
      <x:c r="F1060" s="129" t="n">
        <x:f>ABS(D1060-E1060)</x:f>
        <x:v>0.006784600218569636</x:v>
      </x:c>
    </x:row>
    <x:row r="1061">
      <x:c r="A1061" s="107" t="n">
        <x:v>1060</x:v>
      </x:c>
      <x:c r="B1061" s="128" t="n">
        <x:v>2.402782202486865</x:v>
      </x:c>
      <x:c r="C1061" s="128" t="n">
        <x:f>LN(B1061)</x:f>
        <x:v>0.8766273169774516</x:v>
      </x:c>
      <x:c r="D1061" s="128" t="n">
        <x:f>'Итоги'!$B$8*AVERAGE($C$2:C1061)</x:f>
        <x:v>1.2894901925481832</x:v>
      </x:c>
      <x:c r="E1061" s="128" t="n">
        <x:f>'Итоги'!$B$9</x:f>
        <x:v>1.2958368660043291</x:v>
      </x:c>
      <x:c r="F1061" s="129" t="n">
        <x:f>ABS(D1061-E1061)</x:f>
        <x:v>0.006346673456145924</x:v>
      </x:c>
    </x:row>
    <x:row r="1062">
      <x:c r="A1062" s="107" t="n">
        <x:v>1061</x:v>
      </x:c>
      <x:c r="B1062" s="128" t="n">
        <x:v>2.9058449369711314</x:v>
      </x:c>
      <x:c r="C1062" s="128" t="n">
        <x:f>LN(B1062)</x:f>
        <x:v>1.0667242041136564</x:v>
      </x:c>
      <x:c r="D1062" s="128" t="n">
        <x:f>'Итоги'!$B$8*AVERAGE($C$2:C1062)</x:f>
        <x:v>1.2902856291322353</x:v>
      </x:c>
      <x:c r="E1062" s="128" t="n">
        <x:f>'Итоги'!$B$9</x:f>
        <x:v>1.2958368660043291</x:v>
      </x:c>
      <x:c r="F1062" s="129" t="n">
        <x:f>ABS(D1062-E1062)</x:f>
        <x:v>0.005551236872093801</x:v>
      </x:c>
    </x:row>
    <x:row r="1063">
      <x:c r="A1063" s="107" t="n">
        <x:v>1062</x:v>
      </x:c>
      <x:c r="B1063" s="128" t="n">
        <x:v>2.2201209657743477</x:v>
      </x:c>
      <x:c r="C1063" s="128" t="n">
        <x:f>LN(B1063)</x:f>
        <x:v>0.7975616834872556</x:v>
      </x:c>
      <x:c r="D1063" s="128" t="n">
        <x:f>'Итоги'!$B$8*AVERAGE($C$2:C1063)</x:f>
        <x:v>1.2905726703166442</x:v>
      </x:c>
      <x:c r="E1063" s="128" t="n">
        <x:f>'Итоги'!$B$9</x:f>
        <x:v>1.2958368660043291</x:v>
      </x:c>
      <x:c r="F1063" s="129" t="n">
        <x:f>ABS(D1063-E1063)</x:f>
        <x:v>0.0052641956876848806</x:v>
      </x:c>
    </x:row>
    <x:row r="1064">
      <x:c r="A1064" s="107" t="n">
        <x:v>1063</x:v>
      </x:c>
      <x:c r="B1064" s="128" t="n">
        <x:v>1.5102138620547614</x:v>
      </x:c>
      <x:c r="C1064" s="128" t="n">
        <x:f>LN(B1064)</x:f>
        <x:v>0.4122512712980226</x:v>
      </x:c>
      <x:c r="D1064" s="128" t="n">
        <x:f>'Итоги'!$B$8*AVERAGE($C$2:C1064)</x:f>
        <x:v>1.2901342224072176</x:v>
      </x:c>
      <x:c r="E1064" s="128" t="n">
        <x:f>'Итоги'!$B$9</x:f>
        <x:v>1.2958368660043291</x:v>
      </x:c>
      <x:c r="F1064" s="129" t="n">
        <x:f>ABS(D1064-E1064)</x:f>
        <x:v>0.005702643597111479</x:v>
      </x:c>
    </x:row>
    <x:row r="1065">
      <x:c r="A1065" s="107" t="n">
        <x:v>1064</x:v>
      </x:c>
      <x:c r="B1065" s="128" t="n">
        <x:v>2.2509563138278725</x:v>
      </x:c>
      <x:c r="C1065" s="128" t="n">
        <x:f>LN(B1065)</x:f>
        <x:v>0.8113551542853008</x:v>
      </x:c>
      <x:c r="D1065" s="128" t="n">
        <x:f>'Итоги'!$B$8*AVERAGE($C$2:C1065)</x:f>
        <x:v>1.2904467939167694</x:v>
      </x:c>
      <x:c r="E1065" s="128" t="n">
        <x:f>'Итоги'!$B$9</x:f>
        <x:v>1.2958368660043291</x:v>
      </x:c>
      <x:c r="F1065" s="129" t="n">
        <x:f>ABS(D1065-E1065)</x:f>
        <x:v>0.005390072087559705</x:v>
      </x:c>
    </x:row>
    <x:row r="1066">
      <x:c r="A1066" s="107" t="n">
        <x:v>1065</x:v>
      </x:c>
      <x:c r="B1066" s="128" t="n">
        <x:v>1.6409823233560323</x:v>
      </x:c>
      <x:c r="C1066" s="128" t="n">
        <x:f>LN(B1066)</x:f>
        <x:v>0.4952950401767085</x:v>
      </x:c>
      <x:c r="D1066" s="128" t="n">
        <x:f>'Итоги'!$B$8*AVERAGE($C$2:C1066)</x:f>
        <x:v>1.2901652383171796</x:v>
      </x:c>
      <x:c r="E1066" s="128" t="n">
        <x:f>'Итоги'!$B$9</x:f>
        <x:v>1.2958368660043291</x:v>
      </x:c>
      <x:c r="F1066" s="129" t="n">
        <x:f>ABS(D1066-E1066)</x:f>
        <x:v>0.005671627687149572</x:v>
      </x:c>
    </x:row>
    <x:row r="1067">
      <x:c r="A1067" s="107" t="n">
        <x:v>1066</x:v>
      </x:c>
      <x:c r="B1067" s="128" t="n">
        <x:v>2.9522567813834155</x:v>
      </x:c>
      <x:c r="C1067" s="128" t="n">
        <x:f>LN(B1067)</x:f>
        <x:v>1.082569888518689</x:v>
      </x:c>
      <x:c r="D1067" s="128" t="n">
        <x:f>'Итоги'!$B$8*AVERAGE($C$2:C1067)</x:f>
        <x:v>1.2909860399482493</x:v>
      </x:c>
      <x:c r="E1067" s="128" t="n">
        <x:f>'Итоги'!$B$9</x:f>
        <x:v>1.2958368660043291</x:v>
      </x:c>
      <x:c r="F1067" s="129" t="n">
        <x:f>ABS(D1067-E1067)</x:f>
        <x:v>0.004850826056079782</x:v>
      </x:c>
    </x:row>
    <x:row r="1068">
      <x:c r="A1068" s="107" t="n">
        <x:v>1067</x:v>
      </x:c>
      <x:c r="B1068" s="128" t="n">
        <x:v>1.7993522703272737</x:v>
      </x:c>
      <x:c r="C1068" s="128" t="n">
        <x:f>LN(B1068)</x:f>
        <x:v>0.5874267503224552</x:v>
      </x:c>
      <x:c r="D1068" s="128" t="n">
        <x:f>'Итоги'!$B$8*AVERAGE($C$2:C1068)</x:f>
        <x:v>1.2908771997052284</x:v>
      </x:c>
      <x:c r="E1068" s="128" t="n">
        <x:f>'Итоги'!$B$9</x:f>
        <x:v>1.2958368660043291</x:v>
      </x:c>
      <x:c r="F1068" s="129" t="n">
        <x:f>ABS(D1068-E1068)</x:f>
        <x:v>0.004959666299100718</x:v>
      </x:c>
    </x:row>
    <x:row r="1069">
      <x:c r="A1069" s="107" t="n">
        <x:v>1068</x:v>
      </x:c>
      <x:c r="B1069" s="128" t="n">
        <x:v>2.3708554415220284</x:v>
      </x:c>
      <x:c r="C1069" s="128" t="n">
        <x:f>LN(B1069)</x:f>
        <x:v>0.8632508358116643</x:v>
      </x:c>
      <x:c r="D1069" s="128" t="n">
        <x:f>'Итоги'!$B$8*AVERAGE($C$2:C1069)</x:f>
        <x:v>1.2912850877875486</x:v>
      </x:c>
      <x:c r="E1069" s="128" t="n">
        <x:f>'Итоги'!$B$9</x:f>
        <x:v>1.2958368660043291</x:v>
      </x:c>
      <x:c r="F1069" s="129" t="n">
        <x:f>ABS(D1069-E1069)</x:f>
        <x:v>0.004551778216780544</x:v>
      </x:c>
    </x:row>
    <x:row r="1070">
      <x:c r="A1070" s="107" t="n">
        <x:v>1069</x:v>
      </x:c>
      <x:c r="B1070" s="128" t="n">
        <x:v>1.046455164693517</x:v>
      </x:c>
      <x:c r="C1070" s="128" t="n">
        <x:f>LN(B1070)</x:f>
        <x:v>0.04540841888389608</x:v>
      </x:c>
      <x:c r="D1070" s="128" t="n">
        <x:f>'Итоги'!$B$8*AVERAGE($C$2:C1070)</x:f>
        <x:v>1.290162105327287</x:v>
      </x:c>
      <x:c r="E1070" s="128" t="n">
        <x:f>'Итоги'!$B$9</x:f>
        <x:v>1.2958368660043291</x:v>
      </x:c>
      <x:c r="F1070" s="129" t="n">
        <x:f>ABS(D1070-E1070)</x:f>
        <x:v>0.005674760677042201</x:v>
      </x:c>
    </x:row>
    <x:row r="1071">
      <x:c r="A1071" s="107" t="n">
        <x:v>1070</x:v>
      </x:c>
      <x:c r="B1071" s="128" t="n">
        <x:v>1.8001228922695107</x:v>
      </x:c>
      <x:c r="C1071" s="128" t="n">
        <x:f>LN(B1071)</x:f>
        <x:v>0.5878549360546523</x:v>
      </x:c>
      <x:c r="D1071" s="128" t="n">
        <x:f>'Итоги'!$B$8*AVERAGE($C$2:C1071)</x:f>
        <x:v>1.290055140623345</x:v>
      </x:c>
      <x:c r="E1071" s="128" t="n">
        <x:f>'Итоги'!$B$9</x:f>
        <x:v>1.2958368660043291</x:v>
      </x:c>
      <x:c r="F1071" s="129" t="n">
        <x:f>ABS(D1071-E1071)</x:f>
        <x:v>0.005781725380984204</x:v>
      </x:c>
    </x:row>
    <x:row r="1072">
      <x:c r="A1072" s="107" t="n">
        <x:v>1071</x:v>
      </x:c>
      <x:c r="B1072" s="128" t="n">
        <x:v>2.7502152266450235</x:v>
      </x:c>
      <x:c r="C1072" s="128" t="n">
        <x:f>LN(B1072)</x:f>
        <x:v>1.0116791728505485</x:v>
      </x:c>
      <x:c r="D1072" s="128" t="n">
        <x:f>'Итоги'!$B$8*AVERAGE($C$2:C1072)</x:f>
        <x:v>1.2907398308241644</x:v>
      </x:c>
      <x:c r="E1072" s="128" t="n">
        <x:f>'Итоги'!$B$9</x:f>
        <x:v>1.2958368660043291</x:v>
      </x:c>
      <x:c r="F1072" s="129" t="n">
        <x:f>ABS(D1072-E1072)</x:f>
        <x:v>0.0050970351801646885</x:v>
      </x:c>
    </x:row>
    <x:row r="1073">
      <x:c r="A1073" s="107" t="n">
        <x:v>1072</x:v>
      </x:c>
      <x:c r="B1073" s="128" t="n">
        <x:v>2.2204548888664917</x:v>
      </x:c>
      <x:c r="C1073" s="128" t="n">
        <x:f>LN(B1073)</x:f>
        <x:v>0.7977120797888635</x:v>
      </x:c>
      <x:c r="D1073" s="128" t="n">
        <x:f>'Итоги'!$B$8*AVERAGE($C$2:C1073)</x:f>
        <x:v>1.2910240512800915</x:v>
      </x:c>
      <x:c r="E1073" s="128" t="n">
        <x:f>'Итоги'!$B$9</x:f>
        <x:v>1.2958368660043291</x:v>
      </x:c>
      <x:c r="F1073" s="129" t="n">
        <x:f>ABS(D1073-E1073)</x:f>
        <x:v>0.004812814724237668</x:v>
      </x:c>
    </x:row>
    <x:row r="1074">
      <x:c r="A1074" s="107" t="n">
        <x:v>1073</x:v>
      </x:c>
      <x:c r="B1074" s="128" t="n">
        <x:v>1.8878857727919527</x:v>
      </x:c>
      <x:c r="C1074" s="128" t="n">
        <x:f>LN(B1074)</x:f>
        <x:v>0.6354575641938297</x:v>
      </x:c>
      <x:c r="D1074" s="128" t="n">
        <x:f>'Итоги'!$B$8*AVERAGE($C$2:C1074)</x:f>
        <x:v>1.291005310438626</x:v>
      </x:c>
      <x:c r="E1074" s="128" t="n">
        <x:f>'Итоги'!$B$9</x:f>
        <x:v>1.2958368660043291</x:v>
      </x:c>
      <x:c r="F1074" s="129" t="n">
        <x:f>ABS(D1074-E1074)</x:f>
        <x:v>0.004831555565703027</x:v>
      </x:c>
    </x:row>
    <x:row r="1075">
      <x:c r="A1075" s="107" t="n">
        <x:v>1074</x:v>
      </x:c>
      <x:c r="B1075" s="128" t="n">
        <x:v>2.871874998871452</x:v>
      </x:c>
      <x:c r="C1075" s="128" t="n">
        <x:f>LN(B1075)</x:f>
        <x:v>1.0549651261689492</x:v>
      </x:c>
      <x:c r="D1075" s="128" t="n">
        <x:f>'Итоги'!$B$8*AVERAGE($C$2:C1075)</x:f>
        <x:v>1.2917678103845285</x:v>
      </x:c>
      <x:c r="E1075" s="128" t="n">
        <x:f>'Итоги'!$B$9</x:f>
        <x:v>1.2958368660043291</x:v>
      </x:c>
      <x:c r="F1075" s="129" t="n">
        <x:f>ABS(D1075-E1075)</x:f>
        <x:v>0.004069055619800643</x:v>
      </x:c>
    </x:row>
    <x:row r="1076">
      <x:c r="A1076" s="107" t="n">
        <x:v>1075</x:v>
      </x:c>
      <x:c r="B1076" s="128" t="n">
        <x:v>2.707968752294458</x:v>
      </x:c>
      <x:c r="C1076" s="128" t="n">
        <x:f>LN(B1076)</x:f>
        <x:v>0.9961988159489106</x:v>
      </x:c>
      <x:c r="D1076" s="128" t="n">
        <x:f>'Итоги'!$B$8*AVERAGE($C$2:C1076)</x:f>
        <x:v>1.2924195590557035</x:v>
      </x:c>
      <x:c r="E1076" s="128" t="n">
        <x:f>'Итоги'!$B$9</x:f>
        <x:v>1.2958368660043291</x:v>
      </x:c>
      <x:c r="F1076" s="129" t="n">
        <x:f>ABS(D1076-E1076)</x:f>
        <x:v>0.0034173069486256313</x:v>
      </x:c>
    </x:row>
    <x:row r="1077">
      <x:c r="A1077" s="107" t="n">
        <x:v>1076</x:v>
      </x:c>
      <x:c r="B1077" s="128" t="n">
        <x:v>1.6444313476458765</x:v>
      </x:c>
      <x:c r="C1077" s="128" t="n">
        <x:f>LN(B1077)</x:f>
        <x:v>0.4973946391327356</x:v>
      </x:c>
      <x:c r="D1077" s="128" t="n">
        <x:f>'Итоги'!$B$8*AVERAGE($C$2:C1077)</x:f>
        <x:v>1.2921429509880547</x:v>
      </x:c>
      <x:c r="E1077" s="128" t="n">
        <x:f>'Итоги'!$B$9</x:f>
        <x:v>1.2958368660043291</x:v>
      </x:c>
      <x:c r="F1077" s="129" t="n">
        <x:f>ABS(D1077-E1077)</x:f>
        <x:v>0.003693915016274474</x:v>
      </x:c>
    </x:row>
    <x:row r="1078">
      <x:c r="A1078" s="107" t="n">
        <x:v>1077</x:v>
      </x:c>
      <x:c r="B1078" s="128" t="n">
        <x:v>2.089096804082679</x:v>
      </x:c>
      <x:c r="C1078" s="128" t="n">
        <x:f>LN(B1078)</x:f>
        <x:v>0.7367318214158849</x:v>
      </x:c>
      <x:c r="D1078" s="128" t="n">
        <x:f>'Итоги'!$B$8*AVERAGE($C$2:C1078)</x:f>
        <x:v>1.292311308176396</x:v>
      </x:c>
      <x:c r="E1078" s="128" t="n">
        <x:f>'Итоги'!$B$9</x:f>
        <x:v>1.2958368660043291</x:v>
      </x:c>
      <x:c r="F1078" s="129" t="n">
        <x:f>ABS(D1078-E1078)</x:f>
        <x:v>0.003525557827933179</x:v>
      </x:c>
    </x:row>
    <x:row r="1079">
      <x:c r="A1079" s="107" t="n">
        <x:v>1078</x:v>
      </x:c>
      <x:c r="B1079" s="128" t="n">
        <x:v>1.9796485121849254</x:v>
      </x:c>
      <x:c r="C1079" s="128" t="n">
        <x:f>LN(B1079)</x:f>
        <x:v>0.6829193098495412</x:v>
      </x:c>
      <x:c r="D1079" s="128" t="n">
        <x:f>'Итоги'!$B$8*AVERAGE($C$2:C1079)</x:f>
        <x:v>1.2923795153299422</x:v>
      </x:c>
      <x:c r="E1079" s="128" t="n">
        <x:f>'Итоги'!$B$9</x:f>
        <x:v>1.2958368660043291</x:v>
      </x:c>
      <x:c r="F1079" s="129" t="n">
        <x:f>ABS(D1079-E1079)</x:f>
        <x:v>0.0034573506743869054</x:v>
      </x:c>
    </x:row>
    <x:row r="1080">
      <x:c r="A1080" s="107" t="n">
        <x:v>1079</x:v>
      </x:c>
      <x:c r="B1080" s="128" t="n">
        <x:v>2.2644050002297247</x:v>
      </x:c>
      <x:c r="C1080" s="128" t="n">
        <x:f>LN(B1080)</x:f>
        <x:v>0.8173120313698237</x:v>
      </x:c>
      <x:c r="D1080" s="128" t="n">
        <x:f>'Итоги'!$B$8*AVERAGE($C$2:C1080)</x:f>
        <x:v>1.2926967021208688</x:v>
      </x:c>
      <x:c r="E1080" s="128" t="n">
        <x:f>'Итоги'!$B$9</x:f>
        <x:v>1.2958368660043291</x:v>
      </x:c>
      <x:c r="F1080" s="129" t="n">
        <x:f>ABS(D1080-E1080)</x:f>
        <x:v>0.0031401638834602785</x:v>
      </x:c>
    </x:row>
    <x:row r="1081">
      <x:c r="A1081" s="107" t="n">
        <x:v>1080</x:v>
      </x:c>
      <x:c r="B1081" s="128" t="n">
        <x:v>1.6682225339175112</x:v>
      </x:c>
      <x:c r="C1081" s="128" t="n">
        <x:f>LN(B1081)</x:f>
        <x:v>0.5117587086573605</x:v>
      </x:c>
      <x:c r="D1081" s="128" t="n">
        <x:f>'Итоги'!$B$8*AVERAGE($C$2:C1081)</x:f>
        <x:v>1.2924474620423445</x:v>
      </x:c>
      <x:c r="E1081" s="128" t="n">
        <x:f>'Итоги'!$B$9</x:f>
        <x:v>1.2958368660043291</x:v>
      </x:c>
      <x:c r="F1081" s="129" t="n">
        <x:f>ABS(D1081-E1081)</x:f>
        <x:v>0.003389403961984616</x:v>
      </x:c>
    </x:row>
    <x:row r="1082">
      <x:c r="A1082" s="107" t="n">
        <x:v>1081</x:v>
      </x:c>
      <x:c r="B1082" s="128" t="n">
        <x:v>1.4884100015317765</x:v>
      </x:c>
      <x:c r="C1082" s="128" t="n">
        <x:f>LN(B1082)</x:f>
        <x:v>0.39770843712092246</x:v>
      </x:c>
      <x:c r="D1082" s="128" t="n">
        <x:f>'Итоги'!$B$8*AVERAGE($C$2:C1082)</x:f>
        <x:v>1.2919876742645457</x:v>
      </x:c>
      <x:c r="E1082" s="128" t="n">
        <x:f>'Итоги'!$B$9</x:f>
        <x:v>1.2958368660043291</x:v>
      </x:c>
      <x:c r="F1082" s="129" t="n">
        <x:f>ABS(D1082-E1082)</x:f>
        <x:v>0.0038491917397833753</x:v>
      </x:c>
    </x:row>
    <x:row r="1083">
      <x:c r="A1083" s="107" t="n">
        <x:v>1082</x:v>
      </x:c>
      <x:c r="B1083" s="128" t="n">
        <x:v>2.825343670511072</x:v>
      </x:c>
      <x:c r="C1083" s="128" t="n">
        <x:f>LN(B1083)</x:f>
        <x:v>1.0386300104775</x:v>
      </x:c>
      <x:c r="D1083" s="128" t="n">
        <x:f>'Итоги'!$B$8*AVERAGE($C$2:C1083)</x:f>
        <x:v>1.2927134342892135</x:v>
      </x:c>
      <x:c r="E1083" s="128" t="n">
        <x:f>'Итоги'!$B$9</x:f>
        <x:v>1.2958368660043291</x:v>
      </x:c>
      <x:c r="F1083" s="129" t="n">
        <x:f>ABS(D1083-E1083)</x:f>
        <x:v>0.003123431715115643</x:v>
      </x:c>
    </x:row>
    <x:row r="1084">
      <x:c r="A1084" s="107" t="n">
        <x:v>1083</x:v>
      </x:c>
      <x:c r="B1084" s="128" t="n">
        <x:v>2.8477489989970124</x:v>
      </x:c>
      <x:c r="C1084" s="128" t="n">
        <x:f>LN(B1084)</x:f>
        <x:v>1.0465288572911988</x:v>
      </x:c>
      <x:c r="D1084" s="128" t="n">
        <x:f>'Итоги'!$B$8*AVERAGE($C$2:C1084)</x:f>
        <x:v>1.2934524410115524</x:v>
      </x:c>
      <x:c r="E1084" s="128" t="n">
        <x:f>'Итоги'!$B$9</x:f>
        <x:v>1.2958368660043291</x:v>
      </x:c>
      <x:c r="F1084" s="129" t="n">
        <x:f>ABS(D1084-E1084)</x:f>
        <x:v>0.0023844249927766903</x:v>
      </x:c>
    </x:row>
    <x:row r="1085">
      <x:c r="A1085" s="107" t="n">
        <x:v>1084</x:v>
      </x:c>
      <x:c r="B1085" s="128" t="n">
        <x:v>2.686645771523958</x:v>
      </x:c>
      <x:c r="C1085" s="128" t="n">
        <x:f>LN(B1085)</x:f>
        <x:v>0.9882934904717807</x:v>
      </x:c>
      <x:c r="D1085" s="128" t="n">
        <x:f>'Итоги'!$B$8*AVERAGE($C$2:C1085)</x:f>
        <x:v>1.294082638926619</x:v>
      </x:c>
      <x:c r="E1085" s="128" t="n">
        <x:f>'Итоги'!$B$9</x:f>
        <x:v>1.2958368660043291</x:v>
      </x:c>
      <x:c r="F1085" s="129" t="n">
        <x:f>ABS(D1085-E1085)</x:f>
        <x:v>0.0017542270777102242</x:v>
      </x:c>
    </x:row>
    <x:row r="1086">
      <x:c r="A1086" s="107" t="n">
        <x:v>1085</x:v>
      </x:c>
      <x:c r="B1086" s="128" t="n">
        <x:v>2.9564088615291224</x:v>
      </x:c>
      <x:c r="C1086" s="128" t="n">
        <x:f>LN(B1086)</x:f>
        <x:v>1.083975309329434</x:v>
      </x:c>
      <x:c r="D1086" s="128" t="n">
        <x:f>'Итоги'!$B$8*AVERAGE($C$2:C1086)</x:f>
        <x:v>1.2948880472028697</x:v>
      </x:c>
      <x:c r="E1086" s="128" t="n">
        <x:f>'Итоги'!$B$9</x:f>
        <x:v>1.2958368660043291</x:v>
      </x:c>
      <x:c r="F1086" s="129" t="n">
        <x:f>ABS(D1086-E1086)</x:f>
        <x:v>0.0009488188014594723</x:v>
      </x:c>
    </x:row>
    <x:row r="1087">
      <x:c r="A1087" s="107" t="n">
        <x:v>1086</x:v>
      </x:c>
      <x:c r="B1087" s="128" t="n">
        <x:v>2.489983051559377</x:v>
      </x:c>
      <x:c r="C1087" s="128" t="n">
        <x:f>LN(B1087)</x:f>
        <x:v>0.9122759038507913</x:v>
      </x:c>
      <x:c r="D1087" s="128" t="n">
        <x:f>'Итоги'!$B$8*AVERAGE($C$2:C1087)</x:f>
        <x:v>1.295375767055999</x:v>
      </x:c>
      <x:c r="E1087" s="128" t="n">
        <x:f>'Итоги'!$B$9</x:f>
        <x:v>1.2958368660043291</x:v>
      </x:c>
      <x:c r="F1087" s="129" t="n">
        <x:f>ABS(D1087-E1087)</x:f>
        <x:v>0.00046109894833001874</x:v>
      </x:c>
    </x:row>
    <x:row r="1088">
      <x:c r="A1088" s="107" t="n">
        <x:v>1087</x:v>
      </x:c>
      <x:c r="B1088" s="128" t="n">
        <x:v>2.5293344571239995</x:v>
      </x:c>
      <x:c r="C1088" s="128" t="n">
        <x:f>LN(B1088)</x:f>
        <x:v>0.9279562077076694</x:v>
      </x:c>
      <x:c r="D1088" s="128" t="n">
        <x:f>'Итоги'!$B$8*AVERAGE($C$2:C1088)</x:f>
        <x:v>1.2958914401455661</x:v>
      </x:c>
      <x:c r="E1088" s="128" t="n">
        <x:f>'Итоги'!$B$9</x:f>
        <x:v>1.2958368660043291</x:v>
      </x:c>
      <x:c r="F1088" s="129" t="n">
        <x:f>ABS(D1088-E1088)</x:f>
        <x:v>0.000054574141236996</x:v>
      </x:c>
    </x:row>
    <x:row r="1089">
      <x:c r="A1089" s="107" t="n">
        <x:v>1088</x:v>
      </x:c>
      <x:c r="B1089" s="128" t="n">
        <x:v>2.5251801839252814</x:v>
      </x:c>
      <x:c r="C1089" s="128" t="n">
        <x:f>LN(B1089)</x:f>
        <x:v>0.9263124201517301</x:v>
      </x:c>
      <x:c r="D1089" s="128" t="n">
        <x:f>'Итоги'!$B$8*AVERAGE($C$2:C1089)</x:f>
        <x:v>1.2964031436383583</x:v>
      </x:c>
      <x:c r="E1089" s="128" t="n">
        <x:f>'Итоги'!$B$9</x:f>
        <x:v>1.2958368660043291</x:v>
      </x:c>
      <x:c r="F1089" s="129" t="n">
        <x:f>ABS(D1089-E1089)</x:f>
        <x:v>0.0005662776340291664</x:v>
      </x:c>
    </x:row>
    <x:row r="1090">
      <x:c r="A1090" s="107" t="n">
        <x:v>1089</x:v>
      </x:c>
      <x:c r="B1090" s="128" t="n">
        <x:v>1.961215261884613</x:v>
      </x:c>
      <x:c r="C1090" s="128" t="n">
        <x:f>LN(B1090)</x:f>
        <x:v>0.6735643126760497</x:v>
      </x:c>
      <x:c r="D1090" s="128" t="n">
        <x:f>'Итоги'!$B$8*AVERAGE($C$2:C1090)</x:f>
        <x:v>1.2964497235113737</x:v>
      </x:c>
      <x:c r="E1090" s="128" t="n">
        <x:f>'Итоги'!$B$9</x:f>
        <x:v>1.2958368660043291</x:v>
      </x:c>
      <x:c r="F1090" s="129" t="n">
        <x:f>ABS(D1090-E1090)</x:f>
        <x:v>0.0006128575070445397</x:v>
      </x:c>
    </x:row>
    <x:row r="1091">
      <x:c r="A1091" s="107" t="n">
        <x:v>1090</x:v>
      </x:c>
      <x:c r="B1091" s="128" t="n">
        <x:v>1.9129043890285433</x:v>
      </x:c>
      <x:c r="C1091" s="128" t="n">
        <x:f>LN(B1091)</x:f>
        <x:v>0.6486227096108418</x:v>
      </x:c>
      <x:c r="D1091" s="128" t="n">
        <x:f>'Итоги'!$B$8*AVERAGE($C$2:C1091)</x:f>
        <x:v>1.2964504535074381</x:v>
      </x:c>
      <x:c r="E1091" s="128" t="n">
        <x:f>'Итоги'!$B$9</x:f>
        <x:v>1.2958368660043291</x:v>
      </x:c>
      <x:c r="F1091" s="129" t="n">
        <x:f>ABS(D1091-E1091)</x:f>
        <x:v>0.0006135875031090254</x:v>
      </x:c>
    </x:row>
    <x:row r="1092">
      <x:c r="A1092" s="107" t="n">
        <x:v>1091</x:v>
      </x:c>
      <x:c r="B1092" s="128" t="n">
        <x:v>1.4804525522980063</x:v>
      </x:c>
      <x:c r="C1092" s="128" t="n">
        <x:f>LN(B1092)</x:f>
        <x:v>0.39234781961501575</x:v>
      </x:c>
      <x:c r="D1092" s="128" t="n">
        <x:f>'Итоги'!$B$8*AVERAGE($C$2:C1092)</x:f>
        <x:v>1.2959813840168082</x:v>
      </x:c>
      <x:c r="E1092" s="128" t="n">
        <x:f>'Итоги'!$B$9</x:f>
        <x:v>1.2958368660043291</x:v>
      </x:c>
      <x:c r="F1092" s="129" t="n">
        <x:f>ABS(D1092-E1092)</x:f>
        <x:v>0.0001445180124790557</x:v>
      </x:c>
    </x:row>
    <x:row r="1093">
      <x:c r="A1093" s="107" t="n">
        <x:v>1092</x:v>
      </x:c>
      <x:c r="B1093" s="128" t="n">
        <x:v>2.289638388718581</x:v>
      </x:c>
      <x:c r="C1093" s="128" t="n">
        <x:f>LN(B1093)</x:f>
        <x:v>0.8283938962407172</x:v>
      </x:c>
      <x:c r="D1093" s="128" t="n">
        <x:f>'Итоги'!$B$8*AVERAGE($C$2:C1093)</x:f>
        <x:v>1.2963117928157684</x:v>
      </x:c>
      <x:c r="E1093" s="128" t="n">
        <x:f>'Итоги'!$B$9</x:f>
        <x:v>1.2958368660043291</x:v>
      </x:c>
      <x:c r="F1093" s="129" t="n">
        <x:f>ABS(D1093-E1093)</x:f>
        <x:v>0.00047492681143923576</x:v>
      </x:c>
    </x:row>
    <x:row r="1094">
      <x:c r="A1094" s="107" t="n">
        <x:v>1093</x:v>
      </x:c>
      <x:c r="B1094" s="128" t="n">
        <x:v>1.578640272204669</x:v>
      </x:c>
      <x:c r="C1094" s="128" t="n">
        <x:f>LN(B1094)</x:f>
        <x:v>0.45656388930887526</x:v>
      </x:c>
      <x:c r="D1094" s="128" t="n">
        <x:f>'Итоги'!$B$8*AVERAGE($C$2:C1094)</x:f>
        <x:v>1.2959612127478837</x:v>
      </x:c>
      <x:c r="E1094" s="128" t="n">
        <x:f>'Итоги'!$B$9</x:f>
        <x:v>1.2958368660043291</x:v>
      </x:c>
      <x:c r="F1094" s="129" t="n">
        <x:f>ABS(D1094-E1094)</x:f>
        <x:v>0.00012434674355454867</x:v>
      </x:c>
    </x:row>
    <x:row r="1095">
      <x:c r="A1095" s="107" t="n">
        <x:v>1094</x:v>
      </x:c>
      <x:c r="B1095" s="128" t="n">
        <x:v>1.5156168194047088</x:v>
      </x:c>
      <x:c r="C1095" s="128" t="n">
        <x:f>LN(B1095)</x:f>
        <x:v>0.41582249762297285</x:v>
      </x:c>
      <x:c r="D1095" s="128" t="n">
        <x:f>'Итоги'!$B$8*AVERAGE($C$2:C1095)</x:f>
        <x:v>1.2955367920737504</x:v>
      </x:c>
      <x:c r="E1095" s="128" t="n">
        <x:f>'Итоги'!$B$9</x:f>
        <x:v>1.2958368660043291</x:v>
      </x:c>
      <x:c r="F1095" s="129" t="n">
        <x:f>ABS(D1095-E1095)</x:f>
        <x:v>0.000300073930578737</x:v>
      </x:c>
    </x:row>
    <x:row r="1096">
      <x:c r="A1096" s="107" t="n">
        <x:v>1095</x:v>
      </x:c>
      <x:c r="B1096" s="128" t="n">
        <x:v>2.1719227481921095</x:v>
      </x:c>
      <x:c r="C1096" s="128" t="n">
        <x:f>LN(B1096)</x:f>
        <x:v>0.775612834308459</x:v>
      </x:c>
      <x:c r="D1096" s="128" t="n">
        <x:f>'Итоги'!$B$8*AVERAGE($C$2:C1096)</x:f>
        <x:v>1.2957702978970775</x:v>
      </x:c>
      <x:c r="E1096" s="128" t="n">
        <x:f>'Итоги'!$B$9</x:f>
        <x:v>1.2958368660043291</x:v>
      </x:c>
      <x:c r="F1096" s="129" t="n">
        <x:f>ABS(D1096-E1096)</x:f>
        <x:v>0.00006656810725158557</x:v>
      </x:c>
    </x:row>
    <x:row r="1097">
      <x:c r="A1097" s="107" t="n">
        <x:v>1096</x:v>
      </x:c>
      <x:c r="B1097" s="128" t="n">
        <x:v>1.8199647764500864</x:v>
      </x:c>
      <x:c r="C1097" s="128" t="n">
        <x:f>LN(B1097)</x:f>
        <x:v>0.5988171473025671</x:v>
      </x:c>
      <x:c r="D1097" s="128" t="n">
        <x:f>'Итоги'!$B$8*AVERAGE($C$2:C1097)</x:f>
        <x:v>1.2956807577480887</x:v>
      </x:c>
      <x:c r="E1097" s="128" t="n">
        <x:f>'Итоги'!$B$9</x:f>
        <x:v>1.2958368660043291</x:v>
      </x:c>
      <x:c r="F1097" s="129" t="n">
        <x:f>ABS(D1097-E1097)</x:f>
        <x:v>0.00015610825624046143</x:v>
      </x:c>
    </x:row>
    <x:row r="1098">
      <x:c r="A1098" s="107" t="n">
        <x:v>1097</x:v>
      </x:c>
      <x:c r="B1098" s="128" t="n">
        <x:v>1.4377132175892644</x:v>
      </x:c>
      <x:c r="C1098" s="128" t="n">
        <x:f>LN(B1098)</x:f>
        <x:v>0.36305380796975006</x:v>
      </x:c>
      <x:c r="D1098" s="128" t="n">
        <x:f>'Итоги'!$B$8*AVERAGE($C$2:C1098)</x:f>
        <x:v>1.2951615479561027</x:v>
      </x:c>
      <x:c r="E1098" s="128" t="n">
        <x:f>'Итоги'!$B$9</x:f>
        <x:v>1.2958368660043291</x:v>
      </x:c>
      <x:c r="F1098" s="129" t="n">
        <x:f>ABS(D1098-E1098)</x:f>
        <x:v>0.0006753180482264032</x:v>
      </x:c>
    </x:row>
    <x:row r="1099">
      <x:c r="A1099" s="107" t="n">
        <x:v>1098</x:v>
      </x:c>
      <x:c r="B1099" s="128" t="n">
        <x:v>2.6321120335056625</x:v>
      </x:c>
      <x:c r="C1099" s="128" t="n">
        <x:f>LN(B1099)</x:f>
        <x:v>0.9677865784787719</x:v>
      </x:c>
      <x:c r="D1099" s="128" t="n">
        <x:f>'Итоги'!$B$8*AVERAGE($C$2:C1099)</x:f>
        <x:v>1.295744800787616</x:v>
      </x:c>
      <x:c r="E1099" s="128" t="n">
        <x:f>'Итоги'!$B$9</x:f>
        <x:v>1.2958368660043291</x:v>
      </x:c>
      <x:c r="F1099" s="129" t="n">
        <x:f>ABS(D1099-E1099)</x:f>
        <x:v>0.00009206521671312196</x:v>
      </x:c>
    </x:row>
    <x:row r="1100">
      <x:c r="A1100" s="107" t="n">
        <x:v>1099</x:v>
      </x:c>
      <x:c r="B1100" s="128" t="n">
        <x:v>2.721139838588752</x:v>
      </x:c>
      <x:c r="C1100" s="128" t="n">
        <x:f>LN(B1100)</x:f>
        <x:v>1.0010508508321854</x:v>
      </x:c>
      <x:c r="D1100" s="128" t="n">
        <x:f>'Итоги'!$B$8*AVERAGE($C$2:C1100)</x:f>
        <x:v>1.2963875277219896</x:v>
      </x:c>
      <x:c r="E1100" s="128" t="n">
        <x:f>'Итоги'!$B$9</x:f>
        <x:v>1.2958368660043291</x:v>
      </x:c>
      <x:c r="F1100" s="129" t="n">
        <x:f>ABS(D1100-E1100)</x:f>
        <x:v>0.0005506617176604944</x:v>
      </x:c>
    </x:row>
    <x:row r="1101">
      <x:c r="A1101" s="107" t="n">
        <x:v>1100</x:v>
      </x:c>
      <x:c r="B1101" s="128" t="n">
        <x:v>1.335399039355562</x:v>
      </x:c>
      <x:c r="C1101" s="128" t="n">
        <x:f>LN(B1101)</x:f>
        <x:v>0.28923015307306493</x:v>
      </x:c>
      <x:c r="D1101" s="128" t="n">
        <x:f>'Итоги'!$B$8*AVERAGE($C$2:C1101)</x:f>
        <x:v>1.295734866611466</x:v>
      </x:c>
      <x:c r="E1101" s="128" t="n">
        <x:f>'Итоги'!$B$9</x:f>
        <x:v>1.2958368660043291</x:v>
      </x:c>
      <x:c r="F1101" s="129" t="n">
        <x:f>ABS(D1101-E1101)</x:f>
        <x:v>0.00010199939286303916</x:v>
      </x:c>
    </x:row>
    <x:row r="1102">
      <x:c r="A1102" s="107" t="n">
        <x:v>1101</x:v>
      </x:c>
      <x:c r="B1102" s="128" t="n">
        <x:v>1.0150140655999997</x:v>
      </x:c>
      <x:c r="C1102" s="128" t="n">
        <x:f>LN(B1102)</x:f>
        <x:v>0.014902470131723035</x:v>
      </x:c>
      <x:c r="D1102" s="128" t="n">
        <x:f>'Итоги'!$B$8*AVERAGE($C$2:C1102)</x:f>
        <x:v>1.2945850664967085</x:v>
      </x:c>
      <x:c r="E1102" s="128" t="n">
        <x:f>'Итоги'!$B$9</x:f>
        <x:v>1.2958368660043291</x:v>
      </x:c>
      <x:c r="F1102" s="129" t="n">
        <x:f>ABS(D1102-E1102)</x:f>
        <x:v>0.0012517995076206656</x:v>
      </x:c>
    </x:row>
    <x:row r="1103">
      <x:c r="A1103" s="107" t="n">
        <x:v>1102</x:v>
      </x:c>
      <x:c r="B1103" s="128" t="n">
        <x:v>1.6722599370587474</x:v>
      </x:c>
      <x:c r="C1103" s="128" t="n">
        <x:f>LN(B1103)</x:f>
        <x:v>0.514175967327173</x:v>
      </x:c>
      <x:c r="D1103" s="128" t="n">
        <x:f>'Итоги'!$B$8*AVERAGE($C$2:C1103)</x:f>
        <x:v>1.294343475632968</x:v>
      </x:c>
      <x:c r="E1103" s="128" t="n">
        <x:f>'Итоги'!$B$9</x:f>
        <x:v>1.2958368660043291</x:v>
      </x:c>
      <x:c r="F1103" s="129" t="n">
        <x:f>ABS(D1103-E1103)</x:f>
        <x:v>0.001493390371361203</x:v>
      </x:c>
    </x:row>
    <x:row r="1104">
      <x:c r="A1104" s="107" t="n">
        <x:v>1103</x:v>
      </x:c>
      <x:c r="B1104" s="128" t="n">
        <x:v>2.595021671361505</x:v>
      </x:c>
      <x:c r="C1104" s="128" t="n">
        <x:f>LN(B1104)</x:f>
        <x:v>0.9535948677820194</x:v>
      </x:c>
      <x:c r="D1104" s="128" t="n">
        <x:f>'Итоги'!$B$8*AVERAGE($C$2:C1104)</x:f>
        <x:v>1.2948990932756979</x:v>
      </x:c>
      <x:c r="E1104" s="128" t="n">
        <x:f>'Итоги'!$B$9</x:f>
        <x:v>1.2958368660043291</x:v>
      </x:c>
      <x:c r="F1104" s="129" t="n">
        <x:f>ABS(D1104-E1104)</x:f>
        <x:v>0.0009377727286312698</x:v>
      </x:c>
    </x:row>
    <x:row r="1105">
      <x:c r="A1105" s="107" t="n">
        <x:v>1104</x:v>
      </x:c>
      <x:c r="B1105" s="128" t="n">
        <x:v>2.678347732468649</x:v>
      </x:c>
      <x:c r="C1105" s="128" t="n">
        <x:f>LN(B1105)</x:f>
        <x:v>0.9852000866619797</x:v>
      </x:c>
      <x:c r="D1105" s="128" t="n">
        <x:f>'Итоги'!$B$8*AVERAGE($C$2:C1105)</x:f>
        <x:v>1.2955109601960313</x:v>
      </x:c>
      <x:c r="E1105" s="128" t="n">
        <x:f>'Итоги'!$B$9</x:f>
        <x:v>1.2958368660043291</x:v>
      </x:c>
      <x:c r="F1105" s="129" t="n">
        <x:f>ABS(D1105-E1105)</x:f>
        <x:v>0.0003259058082978328</x:v>
      </x:c>
    </x:row>
    <x:row r="1106">
      <x:c r="A1106" s="107" t="n">
        <x:v>1105</x:v>
      </x:c>
      <x:c r="B1106" s="128" t="n">
        <x:v>1.2766581402320984</x:v>
      </x:c>
      <x:c r="C1106" s="128" t="n">
        <x:f>LN(B1106)</x:f>
        <x:v>0.24424583583276793</x:v>
      </x:c>
      <x:c r="D1106" s="128" t="n">
        <x:f>'Итоги'!$B$8*AVERAGE($C$2:C1106)</x:f>
        <x:v>1.2947806259982662</x:v>
      </x:c>
      <x:c r="E1106" s="128" t="n">
        <x:f>'Итоги'!$B$9</x:f>
        <x:v>1.2958368660043291</x:v>
      </x:c>
      <x:c r="F1106" s="129" t="n">
        <x:f>ABS(D1106-E1106)</x:f>
        <x:v>0.0010562400060629695</x:v>
      </x:c>
    </x:row>
    <x:row r="1107">
      <x:c r="A1107" s="107" t="n">
        <x:v>1106</x:v>
      </x:c>
      <x:c r="B1107" s="128" t="n">
        <x:v>2.548671802366102</x:v>
      </x:c>
      <x:c r="C1107" s="128" t="n">
        <x:f>LN(B1107)</x:f>
        <x:v>0.9355723616574825</x:v>
      </x:c>
      <x:c r="D1107" s="128" t="n">
        <x:f>'Итоги'!$B$8*AVERAGE($C$2:C1107)</x:f>
        <x:v>1.2953017508602163</x:v>
      </x:c>
      <x:c r="E1107" s="128" t="n">
        <x:f>'Итоги'!$B$9</x:f>
        <x:v>1.2958368660043291</x:v>
      </x:c>
      <x:c r="F1107" s="129" t="n">
        <x:f>ABS(D1107-E1107)</x:f>
        <x:v>0.0005351151441128632</x:v>
      </x:c>
    </x:row>
    <x:row r="1108">
      <x:c r="A1108" s="107" t="n">
        <x:v>1107</x:v>
      </x:c>
      <x:c r="B1108" s="128" t="n">
        <x:v>1.231408334618859</x:v>
      </x:c>
      <x:c r="C1108" s="128" t="n">
        <x:f>LN(B1108)</x:f>
        <x:v>0.20815850188108037</x:v>
      </x:c>
      <x:c r="D1108" s="128" t="n">
        <x:f>'Итоги'!$B$8*AVERAGE($C$2:C1108)</x:f>
        <x:v>1.2945077266984293</x:v>
      </x:c>
      <x:c r="E1108" s="128" t="n">
        <x:f>'Итоги'!$B$9</x:f>
        <x:v>1.2958368660043291</x:v>
      </x:c>
      <x:c r="F1108" s="129" t="n">
        <x:f>ABS(D1108-E1108)</x:f>
        <x:v>0.0013291393058998402</x:v>
      </x:c>
    </x:row>
    <x:row r="1109">
      <x:c r="A1109" s="107" t="n">
        <x:v>1108</x:v>
      </x:c>
      <x:c r="B1109" s="128" t="n">
        <x:v>1.7801251803130584</x:v>
      </x:c>
      <x:c r="C1109" s="128" t="n">
        <x:f>LN(B1109)</x:f>
        <x:v>0.5766836878498074</x:v>
      </x:c>
      <x:c r="D1109" s="128" t="n">
        <x:f>'Итоги'!$B$8*AVERAGE($C$2:C1109)</x:f>
        <x:v>1.294380343710163</x:v>
      </x:c>
      <x:c r="E1109" s="128" t="n">
        <x:f>'Итоги'!$B$9</x:f>
        <x:v>1.2958368660043291</x:v>
      </x:c>
      <x:c r="F1109" s="129" t="n">
        <x:f>ABS(D1109-E1109)</x:f>
        <x:v>0.0014565222941660405</x:v>
      </x:c>
    </x:row>
    <x:row r="1110">
      <x:c r="A1110" s="107" t="n">
        <x:v>1109</x:v>
      </x:c>
      <x:c r="B1110" s="128" t="n">
        <x:v>2.9972190300238317</x:v>
      </x:c>
      <x:c r="C1110" s="128" t="n">
        <x:f>LN(B1110)</x:f>
        <x:v>1.0976848687551222</x:v>
      </x:c>
      <x:c r="D1110" s="128" t="n">
        <x:f>'Итоги'!$B$8*AVERAGE($C$2:C1110)</x:f>
        <x:v>1.2951927777893335</x:v>
      </x:c>
      <x:c r="E1110" s="128" t="n">
        <x:f>'Итоги'!$B$9</x:f>
        <x:v>1.2958368660043291</x:v>
      </x:c>
      <x:c r="F1110" s="129" t="n">
        <x:f>ABS(D1110-E1110)</x:f>
        <x:v>0.0006440882149956195</x:v>
      </x:c>
    </x:row>
    <x:row r="1111">
      <x:c r="A1111" s="107" t="n">
        <x:v>1110</x:v>
      </x:c>
      <x:c r="B1111" s="128" t="n">
        <x:v>1.3851816464618196</x:v>
      </x:c>
      <x:c r="C1111" s="128" t="n">
        <x:f>LN(B1111)</x:f>
        <x:v>0.32583128371955516</x:v>
      </x:c>
      <x:c r="D1111" s="128" t="n">
        <x:f>'Итоги'!$B$8*AVERAGE($C$2:C1111)</x:f>
        <x:v>1.2946130208430722</x:v>
      </x:c>
      <x:c r="E1111" s="128" t="n">
        <x:f>'Итоги'!$B$9</x:f>
        <x:v>1.2958368660043291</x:v>
      </x:c>
      <x:c r="F1111" s="129" t="n">
        <x:f>ABS(D1111-E1111)</x:f>
        <x:v>0.0012238451612569534</x:v>
      </x:c>
    </x:row>
    <x:row r="1112">
      <x:c r="A1112" s="107" t="n">
        <x:v>1111</x:v>
      </x:c>
      <x:c r="B1112" s="128" t="n">
        <x:v>1.3079271651552529</x:v>
      </x:c>
      <x:c r="C1112" s="128" t="n">
        <x:f>LN(B1112)</x:f>
        <x:v>0.26844356735251845</x:v>
      </x:c>
      <x:c r="D1112" s="128" t="n">
        <x:f>'Итоги'!$B$8*AVERAGE($C$2:C1112)</x:f>
        <x:v>1.293930999343398</x:v>
      </x:c>
      <x:c r="E1112" s="128" t="n">
        <x:f>'Итоги'!$B$9</x:f>
        <x:v>1.2958368660043291</x:v>
      </x:c>
      <x:c r="F1112" s="129" t="n">
        <x:f>ABS(D1112-E1112)</x:f>
        <x:v>0.001905866660931066</x:v>
      </x:c>
    </x:row>
    <x:row r="1113">
      <x:c r="A1113" s="107" t="n">
        <x:v>1112</x:v>
      </x:c>
      <x:c r="B1113" s="128" t="n">
        <x:v>1.845600665093587</x:v>
      </x:c>
      <x:c r="C1113" s="128" t="n">
        <x:f>LN(B1113)</x:f>
        <x:v>0.6128047882444784</x:v>
      </x:c>
      <x:c r="D1113" s="128" t="n">
        <x:f>'Итоги'!$B$8*AVERAGE($C$2:C1113)</x:f>
        <x:v>1.2938695592149319</x:v>
      </x:c>
      <x:c r="E1113" s="128" t="n">
        <x:f>'Итоги'!$B$9</x:f>
        <x:v>1.2958368660043291</x:v>
      </x:c>
      <x:c r="F1113" s="129" t="n">
        <x:f>ABS(D1113-E1113)</x:f>
        <x:v>0.0019673067893972718</x:v>
      </x:c>
    </x:row>
    <x:row r="1114">
      <x:c r="A1114" s="107" t="n">
        <x:v>1113</x:v>
      </x:c>
      <x:c r="B1114" s="128" t="n">
        <x:v>2.2393370519397227</x:v>
      </x:c>
      <x:c r="C1114" s="128" t="n">
        <x:f>LN(B1114)</x:f>
        <x:v>0.8061798631069728</x:v>
      </x:c>
      <x:c r="D1114" s="128" t="n">
        <x:f>'Итоги'!$B$8*AVERAGE($C$2:C1114)</x:f>
        <x:v>1.2941557139022624</x:v>
      </x:c>
      <x:c r="E1114" s="128" t="n">
        <x:f>'Итоги'!$B$9</x:f>
        <x:v>1.2958368660043291</x:v>
      </x:c>
      <x:c r="F1114" s="129" t="n">
        <x:f>ABS(D1114-E1114)</x:f>
        <x:v>0.001681152102066763</x:v>
      </x:c>
    </x:row>
    <x:row r="1115">
      <x:c r="A1115" s="107" t="n">
        <x:v>1114</x:v>
      </x:c>
      <x:c r="B1115" s="128" t="n">
        <x:v>2.8658015648265067</x:v>
      </x:c>
      <x:c r="C1115" s="128" t="n">
        <x:f>LN(B1115)</x:f>
        <x:v>1.0528480893350083</x:v>
      </x:c>
      <x:c r="D1115" s="128" t="n">
        <x:f>'Итоги'!$B$8*AVERAGE($C$2:C1115)</x:f>
        <x:v>1.2948842062404742</x:v>
      </x:c>
      <x:c r="E1115" s="128" t="n">
        <x:f>'Итоги'!$B$9</x:f>
        <x:v>1.2958368660043291</x:v>
      </x:c>
      <x:c r="F1115" s="129" t="n">
        <x:f>ABS(D1115-E1115)</x:f>
        <x:v>0.0009526597638549461</x:v>
      </x:c>
    </x:row>
    <x:row r="1116">
      <x:c r="A1116" s="107" t="n">
        <x:v>1115</x:v>
      </x:c>
      <x:c r="B1116" s="128" t="n">
        <x:v>2.9616422910660685</x:v>
      </x:c>
      <x:c r="C1116" s="128" t="n">
        <x:f>LN(B1116)</x:f>
        <x:v>1.0857439425386484</x:v>
      </x:c>
      <x:c r="D1116" s="128" t="n">
        <x:f>'Итоги'!$B$8*AVERAGE($C$2:C1116)</x:f>
        <x:v>1.2956703978806865</x:v>
      </x:c>
      <x:c r="E1116" s="128" t="n">
        <x:f>'Итоги'!$B$9</x:f>
        <x:v>1.2958368660043291</x:v>
      </x:c>
      <x:c r="F1116" s="129" t="n">
        <x:f>ABS(D1116-E1116)</x:f>
        <x:v>0.00016646812364262686</x:v>
      </x:c>
    </x:row>
    <x:row r="1117">
      <x:c r="A1117" s="107" t="n">
        <x:v>1116</x:v>
      </x:c>
      <x:c r="B1117" s="128" t="n">
        <x:v>1.1392812731827893</x:v>
      </x:c>
      <x:c r="C1117" s="128" t="n">
        <x:f>LN(B1117)</x:f>
        <x:v>0.13039760146122914</x:v>
      </x:c>
      <x:c r="D1117" s="128" t="n">
        <x:f>'Итоги'!$B$8*AVERAGE($C$2:C1117)</x:f>
        <x:v>1.2947430903583226</x:v>
      </x:c>
      <x:c r="E1117" s="128" t="n">
        <x:f>'Итоги'!$B$9</x:f>
        <x:v>1.2958368660043291</x:v>
      </x:c>
      <x:c r="F1117" s="129" t="n">
        <x:f>ABS(D1117-E1117)</x:f>
        <x:v>0.001093775646006545</x:v>
      </x:c>
    </x:row>
    <x:row r="1118">
      <x:c r="A1118" s="107" t="n">
        <x:v>1117</x:v>
      </x:c>
      <x:c r="B1118" s="128" t="n">
        <x:v>1.2759950346958107</x:v>
      </x:c>
      <x:c r="C1118" s="128" t="n">
        <x:f>LN(B1118)</x:f>
        <x:v>0.24372629361080336</x:v>
      </x:c>
      <x:c r="D1118" s="128" t="n">
        <x:f>'Итоги'!$B$8*AVERAGE($C$2:C1118)</x:f>
        <x:v>1.2940203593796864</x:v>
      </x:c>
      <x:c r="E1118" s="128" t="n">
        <x:f>'Итоги'!$B$9</x:f>
        <x:v>1.2958368660043291</x:v>
      </x:c>
      <x:c r="F1118" s="129" t="n">
        <x:f>ABS(D1118-E1118)</x:f>
        <x:v>0.001816506624642722</x:v>
      </x:c>
    </x:row>
    <x:row r="1119">
      <x:c r="A1119" s="107" t="n">
        <x:v>1118</x:v>
      </x:c>
      <x:c r="B1119" s="128" t="n">
        <x:v>2.5814759477919877</x:v>
      </x:c>
      <x:c r="C1119" s="128" t="n">
        <x:f>LN(B1119)</x:f>
        <x:v>0.9483613081498612</x:v>
      </x:c>
      <x:c r="D1119" s="128" t="n">
        <x:f>'Итоги'!$B$8*AVERAGE($C$2:C1119)</x:f>
        <x:v>1.294559449054928</x:v>
      </x:c>
      <x:c r="E1119" s="128" t="n">
        <x:f>'Итоги'!$B$9</x:f>
        <x:v>1.2958368660043291</x:v>
      </x:c>
      <x:c r="F1119" s="129" t="n">
        <x:f>ABS(D1119-E1119)</x:f>
        <x:v>0.0012774169494012</x:v>
      </x:c>
    </x:row>
    <x:row r="1120">
      <x:c r="A1120" s="107" t="n">
        <x:v>1119</x:v>
      </x:c>
      <x:c r="B1120" s="128" t="n">
        <x:v>1.541264304541721</x:v>
      </x:c>
      <x:c r="C1120" s="128" t="n">
        <x:f>LN(B1120)</x:f>
        <x:v>0.4326030565834179</x:v>
      </x:c>
      <x:c r="D1120" s="128" t="n">
        <x:f>'Итоги'!$B$8*AVERAGE($C$2:C1120)</x:f>
        <x:v>1.2941757552784416</x:v>
      </x:c>
      <x:c r="E1120" s="128" t="n">
        <x:f>'Итоги'!$B$9</x:f>
        <x:v>1.2958368660043291</x:v>
      </x:c>
      <x:c r="F1120" s="129" t="n">
        <x:f>ABS(D1120-E1120)</x:f>
        <x:v>0.0016611107258874824</x:v>
      </x:c>
    </x:row>
    <x:row r="1121">
      <x:c r="A1121" s="107" t="n">
        <x:v>1120</x:v>
      </x:c>
      <x:c r="B1121" s="128" t="n">
        <x:v>2.7696981190127214</x:v>
      </x:c>
      <x:c r="C1121" s="128" t="n">
        <x:f>LN(B1121)</x:f>
        <x:v>1.0187383319543675</x:v>
      </x:c>
      <x:c r="D1121" s="128" t="n">
        <x:f>'Итоги'!$B$8*AVERAGE($C$2:C1121)</x:f>
        <x:v>1.2948394168040045</x:v>
      </x:c>
      <x:c r="E1121" s="128" t="n">
        <x:f>'Итоги'!$B$9</x:f>
        <x:v>1.2958368660043291</x:v>
      </x:c>
      <x:c r="F1121" s="129" t="n">
        <x:f>ABS(D1121-E1121)</x:f>
        <x:v>0.0009974492003246294</x:v>
      </x:c>
    </x:row>
    <x:row r="1122">
      <x:c r="A1122" s="107" t="n">
        <x:v>1121</x:v>
      </x:c>
      <x:c r="B1122" s="128" t="n">
        <x:v>2.3269065144581735</x:v>
      </x:c>
      <x:c r="C1122" s="128" t="n">
        <x:f>LN(B1122)</x:f>
        <x:v>0.8445397092364703</x:v>
      </x:c>
      <x:c r="D1122" s="128" t="n">
        <x:f>'Итоги'!$B$8*AVERAGE($C$2:C1122)</x:f>
        <x:v>1.2951911028001408</x:v>
      </x:c>
      <x:c r="E1122" s="128" t="n">
        <x:f>'Итоги'!$B$9</x:f>
        <x:v>1.2958368660043291</x:v>
      </x:c>
      <x:c r="F1122" s="129" t="n">
        <x:f>ABS(D1122-E1122)</x:f>
        <x:v>0.0006457632041882988</x:v>
      </x:c>
    </x:row>
    <x:row r="1123">
      <x:c r="A1123" s="107" t="n">
        <x:v>1122</x:v>
      </x:c>
      <x:c r="B1123" s="128" t="n">
        <x:v>1.2236896047613544</x:v>
      </x:c>
      <x:c r="C1123" s="128" t="n">
        <x:f>LN(B1123)</x:f>
        <x:v>0.20187056104928333</x:v>
      </x:c>
      <x:c r="D1123" s="128" t="n">
        <x:f>'Итоги'!$B$8*AVERAGE($C$2:C1123)</x:f>
        <x:v>1.2943965841007634</x:v>
      </x:c>
      <x:c r="E1123" s="128" t="n">
        <x:f>'Итоги'!$B$9</x:f>
        <x:v>1.2958368660043291</x:v>
      </x:c>
      <x:c r="F1123" s="129" t="n">
        <x:f>ABS(D1123-E1123)</x:f>
        <x:v>0.00144028190356571</x:v>
      </x:c>
    </x:row>
    <x:row r="1124">
      <x:c r="A1124" s="107" t="n">
        <x:v>1123</x:v>
      </x:c>
      <x:c r="B1124" s="128" t="n">
        <x:v>2.6650585698480143</x:v>
      </x:c>
      <x:c r="C1124" s="128" t="n">
        <x:f>LN(B1124)</x:f>
        <x:v>0.9802260348052061</x:v>
      </x:c>
      <x:c r="D1124" s="128" t="n">
        <x:f>'Итоги'!$B$8*AVERAGE($C$2:C1124)</x:f>
        <x:v>1.2949896878278424</x:v>
      </x:c>
      <x:c r="E1124" s="128" t="n">
        <x:f>'Итоги'!$B$9</x:f>
        <x:v>1.2958368660043291</x:v>
      </x:c>
      <x:c r="F1124" s="129" t="n">
        <x:f>ABS(D1124-E1124)</x:f>
        <x:v>0.0008471781764867181</x:v>
      </x:c>
    </x:row>
    <x:row r="1125">
      <x:c r="A1125" s="107" t="n">
        <x:v>1124</x:v>
      </x:c>
      <x:c r="B1125" s="128" t="n">
        <x:v>1.3527127600161517</x:v>
      </x:c>
      <x:c r="C1125" s="128" t="n">
        <x:f>LN(B1125)</x:f>
        <x:v>0.30211202806634113</x:v>
      </x:c>
      <x:c r="D1125" s="128" t="n">
        <x:f>'Итоги'!$B$8*AVERAGE($C$2:C1125)</x:f>
        <x:v>1.294375127657295</x:v>
      </x:c>
      <x:c r="E1125" s="128" t="n">
        <x:f>'Итоги'!$B$9</x:f>
        <x:v>1.2958368660043291</x:v>
      </x:c>
      <x:c r="F1125" s="129" t="n">
        <x:f>ABS(D1125-E1125)</x:f>
        <x:v>0.0014617383470341139</x:v>
      </x:c>
    </x:row>
    <x:row r="1126">
      <x:c r="A1126" s="107" t="n">
        <x:v>1125</x:v>
      </x:c>
      <x:c r="B1126" s="128" t="n">
        <x:v>1.8469907893593076</x:v>
      </x:c>
      <x:c r="C1126" s="128" t="n">
        <x:f>LN(B1126)</x:f>
        <x:v>0.6135577143932489</x:v>
      </x:c>
      <x:c r="D1126" s="128" t="n">
        <x:f>'Итоги'!$B$8*AVERAGE($C$2:C1126)</x:f>
        <x:v>1.2943153412582986</x:v>
      </x:c>
      <x:c r="E1126" s="128" t="n">
        <x:f>'Итоги'!$B$9</x:f>
        <x:v>1.2958368660043291</x:v>
      </x:c>
      <x:c r="F1126" s="129" t="n">
        <x:f>ABS(D1126-E1126)</x:f>
        <x:v>0.0015215247460305115</x:v>
      </x:c>
    </x:row>
    <x:row r="1127">
      <x:c r="A1127" s="107" t="n">
        <x:v>1126</x:v>
      </x:c>
      <x:c r="B1127" s="128" t="n">
        <x:v>2.1043698571186598</x:v>
      </x:c>
      <x:c r="C1127" s="128" t="n">
        <x:f>LN(B1127)</x:f>
        <x:v>0.7440160670305588</x:v>
      </x:c>
      <x:c r="D1127" s="128" t="n">
        <x:f>'Итоги'!$B$8*AVERAGE($C$2:C1127)</x:f>
        <x:v>1.294487381038763</x:v>
      </x:c>
      <x:c r="E1127" s="128" t="n">
        <x:f>'Итоги'!$B$9</x:f>
        <x:v>1.2958368660043291</x:v>
      </x:c>
      <x:c r="F1127" s="129" t="n">
        <x:f>ABS(D1127-E1127)</x:f>
        <x:v>0.0013494849655661945</x:v>
      </x:c>
    </x:row>
    <x:row r="1128">
      <x:c r="A1128" s="107" t="n">
        <x:v>1127</x:v>
      </x:c>
      <x:c r="B1128" s="128" t="n">
        <x:v>2.0015322981605568</x:v>
      </x:c>
      <x:c r="C1128" s="128" t="n">
        <x:f>LN(B1128)</x:f>
        <x:v>0.6939130362978368</x:v>
      </x:c>
      <x:c r="D1128" s="128" t="n">
        <x:f>'Итоги'!$B$8*AVERAGE($C$2:C1128)</x:f>
        <x:v>1.2945702015281657</x:v>
      </x:c>
      <x:c r="E1128" s="128" t="n">
        <x:f>'Итоги'!$B$9</x:f>
        <x:v>1.2958368660043291</x:v>
      </x:c>
      <x:c r="F1128" s="129" t="n">
        <x:f>ABS(D1128-E1128)</x:f>
        <x:v>0.001266664476163415</x:v>
      </x:c>
    </x:row>
    <x:row r="1129">
      <x:c r="A1129" s="107" t="n">
        <x:v>1128</x:v>
      </x:c>
      <x:c r="B1129" s="128" t="n">
        <x:v>2.3723258312303006</x:v>
      </x:c>
      <x:c r="C1129" s="128" t="n">
        <x:f>LN(B1129)</x:f>
        <x:v>0.8638708373131125</x:v>
      </x:c>
      <x:c r="D1129" s="128" t="n">
        <x:f>'Итоги'!$B$8*AVERAGE($C$2:C1129)</x:f>
        <x:v>1.2949542187915506</x:v>
      </x:c>
      <x:c r="E1129" s="128" t="n">
        <x:f>'Итоги'!$B$9</x:f>
        <x:v>1.2958368660043291</x:v>
      </x:c>
      <x:c r="F1129" s="129" t="n">
        <x:f>ABS(D1129-E1129)</x:f>
        <x:v>0.0008826472127785312</x:v>
      </x:c>
    </x:row>
    <x:row r="1130">
      <x:c r="A1130" s="107" t="n">
        <x:v>1129</x:v>
      </x:c>
      <x:c r="B1130" s="128" t="n">
        <x:v>2.3053734697385107</x:v>
      </x:c>
      <x:c r="C1130" s="128" t="n">
        <x:f>LN(B1130)</x:f>
        <x:v>0.835242689240755</x:v>
      </x:c>
      <x:c r="D1130" s="128" t="n">
        <x:f>'Итоги'!$B$8*AVERAGE($C$2:C1130)</x:f>
        <x:v>1.295286841607928</x:v>
      </x:c>
      <x:c r="E1130" s="128" t="n">
        <x:f>'Итоги'!$B$9</x:f>
        <x:v>1.2958368660043291</x:v>
      </x:c>
      <x:c r="F1130" s="129" t="n">
        <x:f>ABS(D1130-E1130)</x:f>
        <x:v>0.000550024396401172</x:v>
      </x:c>
    </x:row>
    <x:row r="1131">
      <x:c r="A1131" s="107" t="n">
        <x:v>1130</x:v>
      </x:c>
      <x:c r="B1131" s="128" t="n">
        <x:v>2.98408401105611</x:v>
      </x:c>
      <x:c r="C1131" s="128" t="n">
        <x:f>LN(B1131)</x:f>
        <x:v>1.0932928357843814</x:v>
      </x:c>
      <x:c r="D1131" s="128" t="n">
        <x:f>'Итоги'!$B$8*AVERAGE($C$2:C1131)</x:f>
        <x:v>1.296075601634442</x:v>
      </x:c>
      <x:c r="E1131" s="128" t="n">
        <x:f>'Итоги'!$B$9</x:f>
        <x:v>1.2958368660043291</x:v>
      </x:c>
      <x:c r="F1131" s="129" t="n">
        <x:f>ABS(D1131-E1131)</x:f>
        <x:v>0.0002387356301127852</x:v>
      </x:c>
    </x:row>
    <x:row r="1132">
      <x:c r="A1132" s="107" t="n">
        <x:v>1131</x:v>
      </x:c>
      <x:c r="B1132" s="128" t="n">
        <x:v>2.9988438184483757</x:v>
      </x:c>
      <x:c r="C1132" s="128" t="n">
        <x:f>LN(B1132)</x:f>
        <x:v>1.098226820534272</x:v>
      </x:c>
      <x:c r="D1132" s="128" t="n">
        <x:f>'Итоги'!$B$8*AVERAGE($C$2:C1132)</x:f>
        <x:v>1.296871691854985</x:v>
      </x:c>
      <x:c r="E1132" s="128" t="n">
        <x:f>'Итоги'!$B$9</x:f>
        <x:v>1.2958368660043291</x:v>
      </x:c>
      <x:c r="F1132" s="129" t="n">
        <x:f>ABS(D1132-E1132)</x:f>
        <x:v>0.0010348258506558405</x:v>
      </x:c>
    </x:row>
    <x:row r="1133">
      <x:c r="A1133" s="107" t="n">
        <x:v>1132</x:v>
      </x:c>
      <x:c r="B1133" s="128" t="n">
        <x:v>2.032918805271282</x:v>
      </x:c>
      <x:c r="C1133" s="128" t="n">
        <x:f>LN(B1133)</x:f>
        <x:v>0.7094725954675799</x:v>
      </x:c>
      <x:c r="D1133" s="128" t="n">
        <x:f>'Итоги'!$B$8*AVERAGE($C$2:C1133)</x:f>
        <x:v>1.296979530635091</x:v>
      </x:c>
      <x:c r="E1133" s="128" t="n">
        <x:f>'Итоги'!$B$9</x:f>
        <x:v>1.2958368660043291</x:v>
      </x:c>
      <x:c r="F1133" s="129" t="n">
        <x:f>ABS(D1133-E1133)</x:f>
        <x:v>0.0011426646307619581</x:v>
      </x:c>
    </x:row>
    <x:row r="1134">
      <x:c r="A1134" s="107" t="n">
        <x:v>1133</x:v>
      </x:c>
      <x:c r="B1134" s="128" t="n">
        <x:v>1.190398173921728</x:v>
      </x:c>
      <x:c r="C1134" s="128" t="n">
        <x:f>LN(B1134)</x:f>
        <x:v>0.17428785109158904</x:v>
      </x:c>
      <x:c r="D1134" s="128" t="n">
        <x:f>'Итоги'!$B$8*AVERAGE($C$2:C1134)</x:f>
        <x:v>1.2961424575296612</x:v>
      </x:c>
      <x:c r="E1134" s="128" t="n">
        <x:f>'Итоги'!$B$9</x:f>
        <x:v>1.2958368660043291</x:v>
      </x:c>
      <x:c r="F1134" s="129" t="n">
        <x:f>ABS(D1134-E1134)</x:f>
        <x:v>0.0003055915253320496</x:v>
      </x:c>
    </x:row>
    <x:row r="1135">
      <x:c r="A1135" s="107" t="n">
        <x:v>1134</x:v>
      </x:c>
      <x:c r="B1135" s="128" t="n">
        <x:v>2.4556865979374365</x:v>
      </x:c>
      <x:c r="C1135" s="128" t="n">
        <x:f>LN(B1135)</x:f>
        <x:v>0.8984063954394699</x:v>
      </x:c>
      <x:c r="D1135" s="128" t="n">
        <x:f>'Итоги'!$B$8*AVERAGE($C$2:C1135)</x:f>
        <x:v>1.296583965760128</x:v>
      </x:c>
      <x:c r="E1135" s="128" t="n">
        <x:f>'Итоги'!$B$9</x:f>
        <x:v>1.2958368660043291</x:v>
      </x:c>
      <x:c r="F1135" s="129" t="n">
        <x:f>ABS(D1135-E1135)</x:f>
        <x:v>0.0007470997557987857</x:v>
      </x:c>
    </x:row>
    <x:row r="1136">
      <x:c r="A1136" s="107" t="n">
        <x:v>1135</x:v>
      </x:c>
      <x:c r="B1136" s="128" t="n">
        <x:v>2.9533281564331784</x:v>
      </x:c>
      <x:c r="C1136" s="128" t="n">
        <x:f>LN(B1136)</x:f>
        <x:v>1.082932723046614</x:v>
      </x:c>
      <x:c r="D1136" s="128" t="n">
        <x:f>'Итоги'!$B$8*AVERAGE($C$2:C1136)</x:f>
        <x:v>1.2973498525269411</x:v>
      </x:c>
      <x:c r="E1136" s="128" t="n">
        <x:f>'Итоги'!$B$9</x:f>
        <x:v>1.2958368660043291</x:v>
      </x:c>
      <x:c r="F1136" s="129" t="n">
        <x:f>ABS(D1136-E1136)</x:f>
        <x:v>0.0015129865226120032</x:v>
      </x:c>
    </x:row>
    <x:row r="1137">
      <x:c r="A1137" s="107" t="n">
        <x:v>1136</x:v>
      </x:c>
      <x:c r="B1137" s="128" t="n">
        <x:v>1.6366527752580406</x:v>
      </x:c>
      <x:c r="C1137" s="128" t="n">
        <x:f>LN(B1137)</x:f>
        <x:v>0.49265316547992105</x:v>
      </x:c>
      <x:c r="D1137" s="128" t="n">
        <x:f>'Итоги'!$B$8*AVERAGE($C$2:C1137)</x:f>
        <x:v>1.2970751663283786</x:v>
      </x:c>
      <x:c r="E1137" s="128" t="n">
        <x:f>'Итоги'!$B$9</x:f>
        <x:v>1.2958368660043291</x:v>
      </x:c>
      <x:c r="F1137" s="129" t="n">
        <x:f>ABS(D1137-E1137)</x:f>
        <x:v>0.0012383003240494794</x:v>
      </x:c>
    </x:row>
    <x:row r="1138">
      <x:c r="A1138" s="107" t="n">
        <x:v>1137</x:v>
      </x:c>
      <x:c r="B1138" s="128" t="n">
        <x:v>1.9224177716751476</x:v>
      </x:c>
      <x:c r="C1138" s="128" t="n">
        <x:f>LN(B1138)</x:f>
        <x:v>0.6535836499225414</x:v>
      </x:c>
      <x:c r="D1138" s="128" t="n">
        <x:f>'Итоги'!$B$8*AVERAGE($C$2:C1138)</x:f>
        <x:v>1.2970840424352537</x:v>
      </x:c>
      <x:c r="E1138" s="128" t="n">
        <x:f>'Итоги'!$B$9</x:f>
        <x:v>1.2958368660043291</x:v>
      </x:c>
      <x:c r="F1138" s="129" t="n">
        <x:f>ABS(D1138-E1138)</x:f>
        <x:v>0.0012471764309245348</x:v>
      </x:c>
    </x:row>
    <x:row r="1139">
      <x:c r="A1139" s="107" t="n">
        <x:v>1138</x:v>
      </x:c>
      <x:c r="B1139" s="128" t="n">
        <x:v>1.8495538496309119</x:v>
      </x:c>
      <x:c r="C1139" s="128" t="n">
        <x:f>LN(B1139)</x:f>
        <x:v>0.6149444476442457</x:v>
      </x:c>
      <x:c r="D1139" s="128" t="n">
        <x:f>'Итоги'!$B$8*AVERAGE($C$2:C1139)</x:f>
        <x:v>1.2970249957330156</x:v>
      </x:c>
      <x:c r="E1139" s="128" t="n">
        <x:f>'Итоги'!$B$9</x:f>
        <x:v>1.2958368660043291</x:v>
      </x:c>
      <x:c r="F1139" s="129" t="n">
        <x:f>ABS(D1139-E1139)</x:f>
        <x:v>0.0011881297286864267</x:v>
      </x:c>
    </x:row>
    <x:row r="1140">
      <x:c r="A1140" s="107" t="n">
        <x:v>1139</x:v>
      </x:c>
      <x:c r="B1140" s="128" t="n">
        <x:v>1.1028383091138587</x:v>
      </x:c>
      <x:c r="C1140" s="128" t="n">
        <x:f>LN(B1140)</x:f>
        <x:v>0.09788713760718752</x:v>
      </x:c>
      <x:c r="D1140" s="128" t="n">
        <x:f>'Итоги'!$B$8*AVERAGE($C$2:C1140)</x:f>
        <x:v>1.2960581382084162</x:v>
      </x:c>
      <x:c r="E1140" s="128" t="n">
        <x:f>'Итоги'!$B$9</x:f>
        <x:v>1.2958368660043291</x:v>
      </x:c>
      <x:c r="F1140" s="129" t="n">
        <x:f>ABS(D1140-E1140)</x:f>
        <x:v>0.00022127220408707515</x:v>
      </x:c>
    </x:row>
    <x:row r="1141">
      <x:c r="A1141" s="107" t="n">
        <x:v>1140</x:v>
      </x:c>
      <x:c r="B1141" s="128" t="n">
        <x:v>2.3445288624468894</x:v>
      </x:c>
      <x:c r="C1141" s="128" t="n">
        <x:f>LN(B1141)</x:f>
        <x:v>0.8520844701763085</x:v>
      </x:c>
      <x:c r="D1141" s="128" t="n">
        <x:f>'Итоги'!$B$8*AVERAGE($C$2:C1141)</x:f>
        <x:v>1.2964161301401216</x:v>
      </x:c>
      <x:c r="E1141" s="128" t="n">
        <x:f>'Итоги'!$B$9</x:f>
        <x:v>1.2958368660043291</x:v>
      </x:c>
      <x:c r="F1141" s="129" t="n">
        <x:f>ABS(D1141-E1141)</x:f>
        <x:v>0.0005792641357924566</x:v>
      </x:c>
    </x:row>
    <x:row r="1142">
      <x:c r="A1142" s="107" t="n">
        <x:v>1141</x:v>
      </x:c>
      <x:c r="B1142" s="128" t="n">
        <x:v>1.7066753901369356</x:v>
      </x:c>
      <x:c r="C1142" s="128" t="n">
        <x:f>LN(B1142)</x:f>
        <x:v>0.5345472617786042</x:v>
      </x:c>
      <x:c r="D1142" s="128" t="n">
        <x:f>'Итоги'!$B$8*AVERAGE($C$2:C1142)</x:f>
        <x:v>1.29621689998536</x:v>
      </x:c>
      <x:c r="E1142" s="128" t="n">
        <x:f>'Итоги'!$B$9</x:f>
        <x:v>1.2958368660043291</x:v>
      </x:c>
      <x:c r="F1142" s="129" t="n">
        <x:f>ABS(D1142-E1142)</x:f>
        <x:v>0.000380033981030925</x:v>
      </x:c>
    </x:row>
    <x:row r="1143">
      <x:c r="A1143" s="107" t="n">
        <x:v>1142</x:v>
      </x:c>
      <x:c r="B1143" s="128" t="n">
        <x:v>2.5749277492630043</x:v>
      </x:c>
      <x:c r="C1143" s="128" t="n">
        <x:f>LN(B1143)</x:f>
        <x:v>0.9458214751834122</x:v>
      </x:c>
      <x:c r="D1143" s="128" t="n">
        <x:f>'Итоги'!$B$8*AVERAGE($C$2:C1143)</x:f>
        <x:v>1.2967382888210706</x:v>
      </x:c>
      <x:c r="E1143" s="128" t="n">
        <x:f>'Итоги'!$B$9</x:f>
        <x:v>1.2958368660043291</x:v>
      </x:c>
      <x:c r="F1143" s="129" t="n">
        <x:f>ABS(D1143-E1143)</x:f>
        <x:v>0.0009014228167414373</x:v>
      </x:c>
    </x:row>
    <x:row r="1144">
      <x:c r="A1144" s="107" t="n">
        <x:v>1143</x:v>
      </x:c>
      <x:c r="B1144" s="128" t="n">
        <x:v>2.6642401505639723</x:v>
      </x:c>
      <x:c r="C1144" s="128" t="n">
        <x:f>LN(B1144)</x:f>
        <x:v>0.9799188952232791</x:v>
      </x:c>
      <x:c r="D1144" s="128" t="n">
        <x:f>'Итоги'!$B$8*AVERAGE($C$2:C1144)</x:f>
        <x:v>1.2973184283675496</x:v>
      </x:c>
      <x:c r="E1144" s="128" t="n">
        <x:f>'Итоги'!$B$9</x:f>
        <x:v>1.2958368660043291</x:v>
      </x:c>
      <x:c r="F1144" s="129" t="n">
        <x:f>ABS(D1144-E1144)</x:f>
        <x:v>0.001481562363220501</x:v>
      </x:c>
    </x:row>
    <x:row r="1145">
      <x:c r="A1145" s="107" t="n">
        <x:v>1144</x:v>
      </x:c>
      <x:c r="B1145" s="128" t="n">
        <x:v>2.642461573195691</x:v>
      </x:c>
      <x:c r="C1145" s="128" t="n">
        <x:f>LN(B1145)</x:f>
        <x:v>0.9717108968195083</x:v>
      </x:c>
      <x:c r="D1145" s="128" t="n">
        <x:f>'Итоги'!$B$8*AVERAGE($C$2:C1145)</x:f>
        <x:v>1.2978832040364932</x:v>
      </x:c>
      <x:c r="E1145" s="128" t="n">
        <x:f>'Итоги'!$B$9</x:f>
        <x:v>1.2958368660043291</x:v>
      </x:c>
      <x:c r="F1145" s="129" t="n">
        <x:f>ABS(D1145-E1145)</x:f>
        <x:v>0.00204633803216403</x:v>
      </x:c>
    </x:row>
    <x:row r="1146">
      <x:c r="A1146" s="107" t="n">
        <x:v>1145</x:v>
      </x:c>
      <x:c r="B1146" s="128" t="n">
        <x:v>1.8333319960797603</x:v>
      </x:c>
      <x:c r="C1146" s="128" t="n">
        <x:f>LN(B1146)</x:f>
        <x:v>0.6061350741590097</x:v>
      </x:c>
      <x:c r="D1146" s="128" t="n">
        <x:f>'Итоги'!$B$8*AVERAGE($C$2:C1146)</x:f>
        <x:v>1.2978084328087915</x:v>
      </x:c>
      <x:c r="E1146" s="128" t="n">
        <x:f>'Итоги'!$B$9</x:f>
        <x:v>1.2958368660043291</x:v>
      </x:c>
      <x:c r="F1146" s="129" t="n">
        <x:f>ABS(D1146-E1146)</x:f>
        <x:v>0.0019715668044624213</x:v>
      </x:c>
    </x:row>
    <x:row r="1147">
      <x:c r="A1147" s="107" t="n">
        <x:v>1146</x:v>
      </x:c>
      <x:c r="B1147" s="128" t="n">
        <x:v>1.643091364481799</x:v>
      </x:c>
      <x:c r="C1147" s="128" t="n">
        <x:f>LN(B1147)</x:f>
        <x:v>0.4965794458363728</x:v>
      </x:c>
      <x:c r="D1147" s="128" t="n">
        <x:f>'Итоги'!$B$8*AVERAGE($C$2:C1147)</x:f>
        <x:v>1.2975425955128612</x:v>
      </x:c>
      <x:c r="E1147" s="128" t="n">
        <x:f>'Итоги'!$B$9</x:f>
        <x:v>1.2958368660043291</x:v>
      </x:c>
      <x:c r="F1147" s="129" t="n">
        <x:f>ABS(D1147-E1147)</x:f>
        <x:v>0.0017057295085320945</x:v>
      </x:c>
    </x:row>
    <x:row r="1148">
      <x:c r="A1148" s="107" t="n">
        <x:v>1147</x:v>
      </x:c>
      <x:c r="B1148" s="128" t="n">
        <x:v>2.4976415593341095</x:v>
      </x:c>
      <x:c r="C1148" s="128" t="n">
        <x:f>LN(B1148)</x:f>
        <x:v>0.9153469103483554</x:v>
      </x:c>
      <x:c r="D1148" s="128" t="n">
        <x:f>'Итоги'!$B$8*AVERAGE($C$2:C1148)</x:f>
        <x:v>1.298007417853911</x:v>
      </x:c>
      <x:c r="E1148" s="128" t="n">
        <x:f>'Итоги'!$B$9</x:f>
        <x:v>1.2958368660043291</x:v>
      </x:c>
      <x:c r="F1148" s="129" t="n">
        <x:f>ABS(D1148-E1148)</x:f>
        <x:v>0.0021705518495818144</x:v>
      </x:c>
    </x:row>
    <x:row r="1149">
      <x:c r="A1149" s="107" t="n">
        <x:v>1148</x:v>
      </x:c>
      <x:c r="B1149" s="128" t="n">
        <x:v>2.602778867685446</x:v>
      </x:c>
      <x:c r="C1149" s="128" t="n">
        <x:f>LN(B1149)</x:f>
        <x:v>0.9565796695360557</x:v>
      </x:c>
      <x:c r="D1149" s="128" t="n">
        <x:f>'Итоги'!$B$8*AVERAGE($C$2:C1149)</x:f>
        <x:v>1.298543264475181</x:v>
      </x:c>
      <x:c r="E1149" s="128" t="n">
        <x:f>'Итоги'!$B$9</x:f>
        <x:v>1.2958368660043291</x:v>
      </x:c>
      <x:c r="F1149" s="129" t="n">
        <x:f>ABS(D1149-E1149)</x:f>
        <x:v>0.0027063984708519673</x:v>
      </x:c>
    </x:row>
    <x:row r="1150">
      <x:c r="A1150" s="107" t="n">
        <x:v>1149</x:v>
      </x:c>
      <x:c r="B1150" s="128" t="n">
        <x:v>1.9825148927827323</x:v>
      </x:c>
      <x:c r="C1150" s="128" t="n">
        <x:f>LN(B1150)</x:f>
        <x:v>0.6843661866210876</x:v>
      </x:c>
      <x:c r="D1150" s="128" t="n">
        <x:f>'Итоги'!$B$8*AVERAGE($C$2:C1150)</x:f>
        <x:v>1.2986043516020453</x:v>
      </x:c>
      <x:c r="E1150" s="128" t="n">
        <x:f>'Итоги'!$B$9</x:f>
        <x:v>1.2958368660043291</x:v>
      </x:c>
      <x:c r="F1150" s="129" t="n">
        <x:f>ABS(D1150-E1150)</x:f>
        <x:v>0.002767485597716224</x:v>
      </x:c>
    </x:row>
    <x:row r="1151">
      <x:c r="A1151" s="107" t="n">
        <x:v>1150</x:v>
      </x:c>
      <x:c r="B1151" s="128" t="n">
        <x:v>2.786062039072606</x:v>
      </x:c>
      <x:c r="C1151" s="128" t="n">
        <x:f>LN(B1151)</x:f>
        <x:v>1.0246291432620893</x:v>
      </x:c>
      <x:c r="D1151" s="128" t="n">
        <x:f>'Итоги'!$B$8*AVERAGE($C$2:C1151)</x:f>
        <x:v>1.2992570941541517</x:v>
      </x:c>
      <x:c r="E1151" s="128" t="n">
        <x:f>'Итоги'!$B$9</x:f>
        <x:v>1.2958368660043291</x:v>
      </x:c>
      <x:c r="F1151" s="129" t="n">
        <x:f>ABS(D1151-E1151)</x:f>
        <x:v>0.0034202281498225684</x:v>
      </x:c>
    </x:row>
    <x:row r="1152">
      <x:c r="A1152" s="107" t="n">
        <x:v>1151</x:v>
      </x:c>
      <x:c r="B1152" s="128" t="n">
        <x:v>1.2878173921571165</x:v>
      </x:c>
      <x:c r="C1152" s="128" t="n">
        <x:f>LN(B1152)</x:f>
        <x:v>0.25294884135542506</x:v>
      </x:c>
      <x:c r="D1152" s="128" t="n">
        <x:f>'Итоги'!$B$8*AVERAGE($C$2:C1152)</x:f>
        <x:v>1.298567815777572</x:v>
      </x:c>
      <x:c r="E1152" s="128" t="n">
        <x:f>'Итоги'!$B$9</x:f>
        <x:v>1.2958368660043291</x:v>
      </x:c>
      <x:c r="F1152" s="129" t="n">
        <x:f>ABS(D1152-E1152)</x:f>
        <x:v>0.002730949773242841</x:v>
      </x:c>
    </x:row>
    <x:row r="1153">
      <x:c r="A1153" s="107" t="n">
        <x:v>1152</x:v>
      </x:c>
      <x:c r="B1153" s="128" t="n">
        <x:v>2.7581375593179205</x:v>
      </x:c>
      <x:c r="C1153" s="128" t="n">
        <x:f>LN(B1153)</x:f>
        <x:v>1.0145556546022731</x:v>
      </x:c>
      <x:c r="D1153" s="128" t="n">
        <x:f>'Итоги'!$B$8*AVERAGE($C$2:C1153)</x:f>
        <x:v>1.2992019681156162</x:v>
      </x:c>
      <x:c r="E1153" s="128" t="n">
        <x:f>'Итоги'!$B$9</x:f>
        <x:v>1.2958368660043291</x:v>
      </x:c>
      <x:c r="F1153" s="129" t="n">
        <x:f>ABS(D1153-E1153)</x:f>
        <x:v>0.003365102111287044</x:v>
      </x:c>
    </x:row>
    <x:row r="1154">
      <x:c r="A1154" s="107" t="n">
        <x:v>1153</x:v>
      </x:c>
      <x:c r="B1154" s="128" t="n">
        <x:v>1.1921904659437625</x:v>
      </x:c>
      <x:c r="C1154" s="128" t="n">
        <x:f>LN(B1154)</x:f>
        <x:v>0.17579234274416913</x:v>
      </x:c>
      <x:c r="D1154" s="128" t="n">
        <x:f>'Итоги'!$B$8*AVERAGE($C$2:C1154)</x:f>
        <x:v>1.2983800970985935</x:v>
      </x:c>
      <x:c r="E1154" s="128" t="n">
        <x:f>'Итоги'!$B$9</x:f>
        <x:v>1.2958368660043291</x:v>
      </x:c>
      <x:c r="F1154" s="129" t="n">
        <x:f>ABS(D1154-E1154)</x:f>
        <x:v>0.0025432310942643532</x:v>
      </x:c>
    </x:row>
    <x:row r="1155">
      <x:c r="A1155" s="107" t="n">
        <x:v>1154</x:v>
      </x:c>
      <x:c r="B1155" s="128" t="n">
        <x:v>1.3070510441092278</x:v>
      </x:c>
      <x:c r="C1155" s="128" t="n">
        <x:f>LN(B1155)</x:f>
        <x:v>0.2677734882859296</x:v>
      </x:c>
      <x:c r="D1155" s="128" t="n">
        <x:f>'Итоги'!$B$8*AVERAGE($C$2:C1155)</x:f>
        <x:v>1.2977190631986568</x:v>
      </x:c>
      <x:c r="E1155" s="128" t="n">
        <x:f>'Итоги'!$B$9</x:f>
        <x:v>1.2958368660043291</x:v>
      </x:c>
      <x:c r="F1155" s="129" t="n">
        <x:f>ABS(D1155-E1155)</x:f>
        <x:v>0.001882197194327695</x:v>
      </x:c>
    </x:row>
    <x:row r="1156">
      <x:c r="A1156" s="107" t="n">
        <x:v>1155</x:v>
      </x:c>
      <x:c r="B1156" s="128" t="n">
        <x:v>2.0676800265479205</x:v>
      </x:c>
      <x:c r="C1156" s="128" t="n">
        <x:f>LN(B1156)</x:f>
        <x:v>0.7264272186342166</x:v>
      </x:c>
      <x:c r="D1156" s="128" t="n">
        <x:f>'Итоги'!$B$8*AVERAGE($C$2:C1156)</x:f>
        <x:v>1.2978533795398428</x:v>
      </x:c>
      <x:c r="E1156" s="128" t="n">
        <x:f>'Итоги'!$B$9</x:f>
        <x:v>1.2958368660043291</x:v>
      </x:c>
      <x:c r="F1156" s="129" t="n">
        <x:f>ABS(D1156-E1156)</x:f>
        <x:v>0.0020165135355136865</x:v>
      </x:c>
    </x:row>
    <x:row r="1157">
      <x:c r="A1157" s="107" t="n">
        <x:v>1156</x:v>
      </x:c>
      <x:c r="B1157" s="128" t="n">
        <x:v>1.13503696037483</x:v>
      </x:c>
      <x:c r="C1157" s="128" t="n">
        <x:f>LN(B1157)</x:f>
        <x:v>0.12666521461006244</x:v>
      </x:c>
      <x:c r="D1157" s="128" t="n">
        <x:f>'Итоги'!$B$8*AVERAGE($C$2:C1157)</x:f>
        <x:v>1.2969498129738222</x:v>
      </x:c>
      <x:c r="E1157" s="128" t="n">
        <x:f>'Итоги'!$B$9</x:f>
        <x:v>1.2958368660043291</x:v>
      </x:c>
      <x:c r="F1157" s="129" t="n">
        <x:f>ABS(D1157-E1157)</x:f>
        <x:v>0.001112946969493045</x:v>
      </x:c>
    </x:row>
    <x:row r="1158">
      <x:c r="A1158" s="107" t="n">
        <x:v>1157</x:v>
      </x:c>
      <x:c r="B1158" s="128" t="n">
        <x:v>1.1056142028002207</x:v>
      </x:c>
      <x:c r="C1158" s="128" t="n">
        <x:f>LN(B1158)</x:f>
        <x:v>0.10040102018629302</x:v>
      </x:c>
      <x:c r="D1158" s="128" t="n">
        <x:f>'Итоги'!$B$8*AVERAGE($C$2:C1158)</x:f>
        <x:v>1.2960024078116776</x:v>
      </x:c>
      <x:c r="E1158" s="128" t="n">
        <x:f>'Итоги'!$B$9</x:f>
        <x:v>1.2958368660043291</x:v>
      </x:c>
      <x:c r="F1158" s="129" t="n">
        <x:f>ABS(D1158-E1158)</x:f>
        <x:v>0.00016554180734851265</x:v>
      </x:c>
    </x:row>
    <x:row r="1159">
      <x:c r="A1159" s="107" t="n">
        <x:v>1158</x:v>
      </x:c>
      <x:c r="B1159" s="128" t="n">
        <x:v>1.001037488331411</x:v>
      </x:c>
      <x:c r="C1159" s="128" t="n">
        <x:f>LN(B1159)</x:f>
        <x:v>0.0010369505123473256</x:v>
      </x:c>
      <x:c r="D1159" s="128" t="n">
        <x:f>'Итоги'!$B$8*AVERAGE($C$2:C1159)</x:f>
        <x:v>1.2948850256814644</x:v>
      </x:c>
      <x:c r="E1159" s="128" t="n">
        <x:f>'Итоги'!$B$9</x:f>
        <x:v>1.2958368660043291</x:v>
      </x:c>
      <x:c r="F1159" s="129" t="n">
        <x:f>ABS(D1159-E1159)</x:f>
        <x:v>0.000951840322864772</x:v>
      </x:c>
    </x:row>
    <x:row r="1160">
      <x:c r="A1160" s="107" t="n">
        <x:v>1159</x:v>
      </x:c>
      <x:c r="B1160" s="128" t="n">
        <x:v>1.8726333193885263</x:v>
      </x:c>
      <x:c r="C1160" s="128" t="n">
        <x:f>LN(B1160)</x:f>
        <x:v>0.6273456324800916</x:v>
      </x:c>
      <x:c r="D1160" s="128" t="n">
        <x:f>'Итоги'!$B$8*AVERAGE($C$2:C1160)</x:f>
        <x:v>1.2948503459914547</x:v>
      </x:c>
      <x:c r="E1160" s="128" t="n">
        <x:f>'Итоги'!$B$9</x:f>
        <x:v>1.2958368660043291</x:v>
      </x:c>
      <x:c r="F1160" s="129" t="n">
        <x:f>ABS(D1160-E1160)</x:f>
        <x:v>0.00098652001287447</x:v>
      </x:c>
    </x:row>
    <x:row r="1161">
      <x:c r="A1161" s="107" t="n">
        <x:v>1160</x:v>
      </x:c>
      <x:c r="B1161" s="128" t="n">
        <x:v>2.54924776258446</x:v>
      </x:c>
      <x:c r="C1161" s="128" t="n">
        <x:f>LN(B1161)</x:f>
        <x:v>0.935798320585814</x:v>
      </x:c>
      <x:c r="D1161" s="128" t="n">
        <x:f>'Итоги'!$B$8*AVERAGE($C$2:C1161)</x:f>
        <x:v>1.2953475410735067</x:v>
      </x:c>
      <x:c r="E1161" s="128" t="n">
        <x:f>'Итоги'!$B$9</x:f>
        <x:v>1.2958368660043291</x:v>
      </x:c>
      <x:c r="F1161" s="129" t="n">
        <x:f>ABS(D1161-E1161)</x:f>
        <x:v>0.0004893249308224323</x:v>
      </x:c>
    </x:row>
    <x:row r="1162">
      <x:c r="A1162" s="107" t="n">
        <x:v>1161</x:v>
      </x:c>
      <x:c r="B1162" s="128" t="n">
        <x:v>1.0696767005598313</x:v>
      </x:c>
      <x:c r="C1162" s="128" t="n">
        <x:f>LN(B1162)</x:f>
        <x:v>0.06735645380810251</x:v>
      </x:c>
      <x:c r="D1162" s="128" t="n">
        <x:f>'Итоги'!$B$8*AVERAGE($C$2:C1162)</x:f>
        <x:v>1.2943478557733712</x:v>
      </x:c>
      <x:c r="E1162" s="128" t="n">
        <x:f>'Итоги'!$B$9</x:f>
        <x:v>1.2958368660043291</x:v>
      </x:c>
      <x:c r="F1162" s="129" t="n">
        <x:f>ABS(D1162-E1162)</x:f>
        <x:v>0.0014890102309579323</x:v>
      </x:c>
    </x:row>
    <x:row r="1163">
      <x:c r="A1163" s="107" t="n">
        <x:v>1162</x:v>
      </x:c>
      <x:c r="B1163" s="128" t="n">
        <x:v>2.304515212931711</x:v>
      </x:c>
      <x:c r="C1163" s="128" t="n">
        <x:f>LN(B1163)</x:f>
        <x:v>0.8348703345589846</x:v>
      </x:c>
      <x:c r="D1163" s="128" t="n">
        <x:f>'Итоги'!$B$8*AVERAGE($C$2:C1163)</x:f>
        <x:v>1.2946709132719465</x:v>
      </x:c>
      <x:c r="E1163" s="128" t="n">
        <x:f>'Итоги'!$B$9</x:f>
        <x:v>1.2958368660043291</x:v>
      </x:c>
      <x:c r="F1163" s="129" t="n">
        <x:f>ABS(D1163-E1163)</x:f>
        <x:v>0.0011659527323826246</x:v>
      </x:c>
    </x:row>
    <x:row r="1164">
      <x:c r="A1164" s="107" t="n">
        <x:v>1163</x:v>
      </x:c>
      <x:c r="B1164" s="128" t="n">
        <x:v>2.646254634832373</x:v>
      </x:c>
      <x:c r="C1164" s="128" t="n">
        <x:f>LN(B1164)</x:f>
        <x:v>0.9731452949372503</x:v>
      </x:c>
      <x:c r="D1164" s="128" t="n">
        <x:f>'Итоги'!$B$8*AVERAGE($C$2:C1164)</x:f>
        <x:v>1.2952312053412522</x:v>
      </x:c>
      <x:c r="E1164" s="128" t="n">
        <x:f>'Итоги'!$B$9</x:f>
        <x:v>1.2958368660043291</x:v>
      </x:c>
      <x:c r="F1164" s="129" t="n">
        <x:f>ABS(D1164-E1164)</x:f>
        <x:v>0.000605660663076879</x:v>
      </x:c>
    </x:row>
    <x:row r="1165">
      <x:c r="A1165" s="107" t="n">
        <x:v>1164</x:v>
      </x:c>
      <x:c r="B1165" s="128" t="n">
        <x:v>1.3360016971557422</x:v>
      </x:c>
      <x:c r="C1165" s="128" t="n">
        <x:f>LN(B1165)</x:f>
        <x:v>0.2896813454398015</x:v>
      </x:c>
      <x:c r="D1165" s="128" t="n">
        <x:f>'Итоги'!$B$8*AVERAGE($C$2:C1165)</x:f>
        <x:v>1.2946161980264226</x:v>
      </x:c>
      <x:c r="E1165" s="128" t="n">
        <x:f>'Итоги'!$B$9</x:f>
        <x:v>1.2958368660043291</x:v>
      </x:c>
      <x:c r="F1165" s="129" t="n">
        <x:f>ABS(D1165-E1165)</x:f>
        <x:v>0.0012206679779065421</x:v>
      </x:c>
    </x:row>
    <x:row r="1166">
      <x:c r="A1166" s="107" t="n">
        <x:v>1165</x:v>
      </x:c>
      <x:c r="B1166" s="128" t="n">
        <x:v>1.2937274696428085</x:v>
      </x:c>
      <x:c r="C1166" s="128" t="n">
        <x:f>LN(B1166)</x:f>
        <x:v>0.2575275631110596</x:v>
      </x:c>
      <x:c r="D1166" s="128" t="n">
        <x:f>'Итоги'!$B$8*AVERAGE($C$2:C1166)</x:f>
        <x:v>1.2939470468918266</x:v>
      </x:c>
      <x:c r="E1166" s="128" t="n">
        <x:f>'Итоги'!$B$9</x:f>
        <x:v>1.2958368660043291</x:v>
      </x:c>
      <x:c r="F1166" s="129" t="n">
        <x:f>ABS(D1166-E1166)</x:f>
        <x:v>0.001889819112502522</x:v>
      </x:c>
    </x:row>
    <x:row r="1167">
      <x:c r="A1167" s="107" t="n">
        <x:v>1166</x:v>
      </x:c>
      <x:c r="B1167" s="128" t="n">
        <x:v>2.721601947241072</x:v>
      </x:c>
      <x:c r="C1167" s="128" t="n">
        <x:f>LN(B1167)</x:f>
        <x:v>1.0012206581357888</x:v>
      </x:c>
      <x:c r="D1167" s="128" t="n">
        <x:f>'Итоги'!$B$8*AVERAGE($C$2:C1167)</x:f>
        <x:v>1.2945546749101626</x:v>
      </x:c>
      <x:c r="E1167" s="128" t="n">
        <x:f>'Итоги'!$B$9</x:f>
        <x:v>1.2958368660043291</x:v>
      </x:c>
      <x:c r="F1167" s="129" t="n">
        <x:f>ABS(D1167-E1167)</x:f>
        <x:v>0.001282191094166496</x:v>
      </x:c>
    </x:row>
    <x:row r="1168">
      <x:c r="A1168" s="107" t="n">
        <x:v>1167</x:v>
      </x:c>
      <x:c r="B1168" s="128" t="n">
        <x:v>2.6462492199001897</x:v>
      </x:c>
      <x:c r="C1168" s="128" t="n">
        <x:f>LN(B1168)</x:f>
        <x:v>0.9731432486724455</x:v>
      </x:c>
      <x:c r="D1168" s="128" t="n">
        <x:f>'Итоги'!$B$8*AVERAGE($C$2:C1168)</x:f>
        <x:v>1.2951131426243314</x:v>
      </x:c>
      <x:c r="E1168" s="128" t="n">
        <x:f>'Итоги'!$B$9</x:f>
        <x:v>1.2958368660043291</x:v>
      </x:c>
      <x:c r="F1168" s="129" t="n">
        <x:f>ABS(D1168-E1168)</x:f>
        <x:v>0.0007237233799977094</x:v>
      </x:c>
    </x:row>
    <x:row r="1169">
      <x:c r="A1169" s="107" t="n">
        <x:v>1168</x:v>
      </x:c>
      <x:c r="B1169" s="128" t="n">
        <x:v>2.0778835325283738</x:v>
      </x:c>
      <x:c r="C1169" s="128" t="n">
        <x:f>LN(B1169)</x:f>
        <x:v>0.7313498432373701</x:v>
      </x:c>
      <x:c r="D1169" s="128" t="n">
        <x:f>'Итоги'!$B$8*AVERAGE($C$2:C1169)</x:f>
        <x:v>1.2952566242543402</x:v>
      </x:c>
      <x:c r="E1169" s="128" t="n">
        <x:f>'Итоги'!$B$9</x:f>
        <x:v>1.2958368660043291</x:v>
      </x:c>
      <x:c r="F1169" s="129" t="n">
        <x:f>ABS(D1169-E1169)</x:f>
        <x:v>0.0005802417499889412</x:v>
      </x:c>
    </x:row>
    <x:row r="1170">
      <x:c r="A1170" s="107" t="n">
        <x:v>1169</x:v>
      </x:c>
      <x:c r="B1170" s="128" t="n">
        <x:v>2.6383997585879606</x:v>
      </x:c>
      <x:c r="C1170" s="128" t="n">
        <x:f>LN(B1170)</x:f>
        <x:v>0.9701725813237847</x:v>
      </x:c>
      <x:c r="D1170" s="128" t="n">
        <x:f>'Итоги'!$B$8*AVERAGE($C$2:C1170)</x:f>
        <x:v>1.2958084536285004</x:v>
      </x:c>
      <x:c r="E1170" s="128" t="n">
        <x:f>'Итоги'!$B$9</x:f>
        <x:v>1.2958368660043291</x:v>
      </x:c>
      <x:c r="F1170" s="129" t="n">
        <x:f>ABS(D1170-E1170)</x:f>
        <x:v>0.000028412375828734682</x:v>
      </x:c>
    </x:row>
    <x:row r="1171">
      <x:c r="A1171" s="107" t="n">
        <x:v>1170</x:v>
      </x:c>
      <x:c r="B1171" s="128" t="n">
        <x:v>1.1855121548489895</x:v>
      </x:c>
      <x:c r="C1171" s="128" t="n">
        <x:f>LN(B1171)</x:f>
        <x:v>0.17017487940116247</x:v>
      </x:c>
      <x:c r="D1171" s="128" t="n">
        <x:f>'Итоги'!$B$8*AVERAGE($C$2:C1171)</x:f>
        <x:v>1.294991822265401</x:v>
      </x:c>
      <x:c r="E1171" s="128" t="n">
        <x:f>'Итоги'!$B$9</x:f>
        <x:v>1.2958368660043291</x:v>
      </x:c>
      <x:c r="F1171" s="129" t="n">
        <x:f>ABS(D1171-E1171)</x:f>
        <x:v>0.0008450437389280196</x:v>
      </x:c>
    </x:row>
    <x:row r="1172">
      <x:c r="A1172" s="107" t="n">
        <x:v>1171</x:v>
      </x:c>
      <x:c r="B1172" s="128" t="n">
        <x:v>1.7889630358775088</x:v>
      </x:c>
      <x:c r="C1172" s="128" t="n">
        <x:f>LN(B1172)</x:f>
        <x:v>0.5816361424224061</x:v>
      </x:c>
      <x:c r="D1172" s="128" t="n">
        <x:f>'Итоги'!$B$8*AVERAGE($C$2:C1172)</x:f>
        <x:v>1.2948793376049226</x:v>
      </x:c>
      <x:c r="E1172" s="128" t="n">
        <x:f>'Итоги'!$B$9</x:f>
        <x:v>1.2958368660043291</x:v>
      </x:c>
      <x:c r="F1172" s="129" t="n">
        <x:f>ABS(D1172-E1172)</x:f>
        <x:v>0.0009575283994065487</x:v>
      </x:c>
    </x:row>
    <x:row r="1173">
      <x:c r="A1173" s="107" t="n">
        <x:v>1172</x:v>
      </x:c>
      <x:c r="B1173" s="128" t="n">
        <x:v>2.475595112212746</x:v>
      </x:c>
      <x:c r="C1173" s="128" t="n">
        <x:f>LN(B1173)</x:f>
        <x:v>0.906480816496222</x:v>
      </x:c>
      <x:c r="D1173" s="128" t="n">
        <x:f>'Итоги'!$B$8*AVERAGE($C$2:C1173)</x:f>
        <x:v>1.2953213873450142</x:v>
      </x:c>
      <x:c r="E1173" s="128" t="n">
        <x:f>'Итоги'!$B$9</x:f>
        <x:v>1.2958368660043291</x:v>
      </x:c>
      <x:c r="F1173" s="129" t="n">
        <x:f>ABS(D1173-E1173)</x:f>
        <x:v>0.0005154786593148941</x:v>
      </x:c>
    </x:row>
    <x:row r="1174">
      <x:c r="A1174" s="107" t="n">
        <x:v>1173</x:v>
      </x:c>
      <x:c r="B1174" s="128" t="n">
        <x:v>1.5149039186479267</x:v>
      </x:c>
      <x:c r="C1174" s="128" t="n">
        <x:f>LN(B1174)</x:f>
        <x:v>0.41535201691582524</x:v>
      </x:c>
      <x:c r="D1174" s="128" t="n">
        <x:f>'Итоги'!$B$8*AVERAGE($C$2:C1174)</x:f>
        <x:v>1.2949252941195126</x:v>
      </x:c>
      <x:c r="E1174" s="128" t="n">
        <x:f>'Итоги'!$B$9</x:f>
        <x:v>1.2958368660043291</x:v>
      </x:c>
      <x:c r="F1174" s="129" t="n">
        <x:f>ABS(D1174-E1174)</x:f>
        <x:v>0.0009115718848164978</x:v>
      </x:c>
    </x:row>
    <x:row r="1175">
      <x:c r="A1175" s="107" t="n">
        <x:v>1174</x:v>
      </x:c>
      <x:c r="B1175" s="128" t="n">
        <x:v>2.5046578288671055</x:v>
      </x:c>
      <x:c r="C1175" s="128" t="n">
        <x:f>LN(B1175)</x:f>
        <x:v>0.9181521299442131</x:v>
      </x:c>
      <x:c r="D1175" s="128" t="n">
        <x:f>'Итоги'!$B$8*AVERAGE($C$2:C1175)</x:f>
        <x:v>1.2953864346355</x:v>
      </x:c>
      <x:c r="E1175" s="128" t="n">
        <x:f>'Итоги'!$B$9</x:f>
        <x:v>1.2958368660043291</x:v>
      </x:c>
      <x:c r="F1175" s="129" t="n">
        <x:f>ABS(D1175-E1175)</x:f>
        <x:v>0.0004504313688291628</x:v>
      </x:c>
    </x:row>
    <x:row r="1176">
      <x:c r="A1176" s="107" t="n">
        <x:v>1175</x:v>
      </x:c>
      <x:c r="B1176" s="128" t="n">
        <x:v>2.0083572087816277</x:v>
      </x:c>
      <x:c r="C1176" s="128" t="n">
        <x:f>LN(B1176)</x:f>
        <x:v>0.6973170788279671</x:v>
      </x:c>
      <x:c r="D1176" s="128" t="n">
        <x:f>'Итоги'!$B$8*AVERAGE($C$2:C1176)</x:f>
        <x:v>1.2954709007827512</x:v>
      </x:c>
      <x:c r="E1176" s="128" t="n">
        <x:f>'Итоги'!$B$9</x:f>
        <x:v>1.2958368660043291</x:v>
      </x:c>
      <x:c r="F1176" s="129" t="n">
        <x:f>ABS(D1176-E1176)</x:f>
        <x:v>0.0003659652215779463</x:v>
      </x:c>
    </x:row>
    <x:row r="1177">
      <x:c r="A1177" s="107" t="n">
        <x:v>1176</x:v>
      </x:c>
      <x:c r="B1177" s="128" t="n">
        <x:v>2.5005319758964664</x:v>
      </x:c>
      <x:c r="C1177" s="128" t="n">
        <x:f>LN(B1177)</x:f>
        <x:v>0.9165034995960845</x:v>
      </x:c>
      <x:c r="D1177" s="128" t="n">
        <x:f>'Итоги'!$B$8*AVERAGE($C$2:C1177)</x:f>
        <x:v>1.2959279893018067</x:v>
      </x:c>
      <x:c r="E1177" s="128" t="n">
        <x:f>'Итоги'!$B$9</x:f>
        <x:v>1.2958368660043291</x:v>
      </x:c>
      <x:c r="F1177" s="129" t="n">
        <x:f>ABS(D1177-E1177)</x:f>
        <x:v>0.00009112329747762438</x:v>
      </x:c>
    </x:row>
    <x:row r="1178">
      <x:c r="A1178" s="107" t="n">
        <x:v>1177</x:v>
      </x:c>
      <x:c r="B1178" s="128" t="n">
        <x:v>1.9293592757146591</x:v>
      </x:c>
      <x:c r="C1178" s="128" t="n">
        <x:f>LN(B1178)</x:f>
        <x:v>0.6571879663037433</x:v>
      </x:c>
      <x:c r="D1178" s="128" t="n">
        <x:f>'Итоги'!$B$8*AVERAGE($C$2:C1178)</x:f>
        <x:v>1.2959436630004522</x:v>
      </x:c>
      <x:c r="E1178" s="128" t="n">
        <x:f>'Итоги'!$B$9</x:f>
        <x:v>1.2958368660043291</x:v>
      </x:c>
      <x:c r="F1178" s="129" t="n">
        <x:f>ABS(D1178-E1178)</x:f>
        <x:v>0.0001067969961230375</x:v>
      </x:c>
    </x:row>
    <x:row r="1179">
      <x:c r="A1179" s="107" t="n">
        <x:v>1178</x:v>
      </x:c>
      <x:c r="B1179" s="128" t="n">
        <x:v>1.7358086804436352</x:v>
      </x:c>
      <x:c r="C1179" s="128" t="n">
        <x:f>LN(B1179)</x:f>
        <x:v>0.5514734030471862</x:v>
      </x:c>
      <x:c r="D1179" s="128" t="n">
        <x:f>'Итоги'!$B$8*AVERAGE($C$2:C1179)</x:f>
        <x:v>1.295779828656729</x:v>
      </x:c>
      <x:c r="E1179" s="128" t="n">
        <x:f>'Итоги'!$B$9</x:f>
        <x:v>1.2958368660043291</x:v>
      </x:c>
      <x:c r="F1179" s="129" t="n">
        <x:f>ABS(D1179-E1179)</x:f>
        <x:v>0.00005703734760009738</x:v>
      </x:c>
    </x:row>
    <x:row r="1180">
      <x:c r="A1180" s="107" t="n">
        <x:v>1179</x:v>
      </x:c>
      <x:c r="B1180" s="128" t="n">
        <x:v>1.4383784329572646</x:v>
      </x:c>
      <x:c r="C1180" s="128" t="n">
        <x:f>LN(B1180)</x:f>
        <x:v>0.3635163908500529</x:v>
      </x:c>
      <x:c r="D1180" s="128" t="n">
        <x:f>'Итоги'!$B$8*AVERAGE($C$2:C1180)</x:f>
        <x:v>1.29529743082216</x:v>
      </x:c>
      <x:c r="E1180" s="128" t="n">
        <x:f>'Итоги'!$B$9</x:f>
        <x:v>1.2958368660043291</x:v>
      </x:c>
      <x:c r="F1180" s="129" t="n">
        <x:f>ABS(D1180-E1180)</x:f>
        <x:v>0.0005394351821690346</x:v>
      </x:c>
    </x:row>
    <x:row r="1181">
      <x:c r="A1181" s="107" t="n">
        <x:v>1180</x:v>
      </x:c>
      <x:c r="B1181" s="128" t="n">
        <x:v>1.41675868287003</x:v>
      </x:c>
      <x:c r="C1181" s="128" t="n">
        <x:f>LN(B1181)</x:f>
        <x:v>0.3483716447730249</x:v>
      </x:c>
      <x:c r="D1181" s="128" t="n">
        <x:f>'Итоги'!$B$8*AVERAGE($C$2:C1181)</x:f>
        <x:v>1.2947901815498921</x:v>
      </x:c>
      <x:c r="E1181" s="128" t="n">
        <x:f>'Итоги'!$B$9</x:f>
        <x:v>1.2958368660043291</x:v>
      </x:c>
      <x:c r="F1181" s="129" t="n">
        <x:f>ABS(D1181-E1181)</x:f>
        <x:v>0.001046684454437008</x:v>
      </x:c>
    </x:row>
    <x:row r="1182">
      <x:c r="A1182" s="107" t="n">
        <x:v>1181</x:v>
      </x:c>
      <x:c r="B1182" s="128" t="n">
        <x:v>2.502981621142792</x:v>
      </x:c>
      <x:c r="C1182" s="128" t="n">
        <x:f>LN(B1182)</x:f>
        <x:v>0.917482669691074</x:v>
      </x:c>
      <x:c r="D1182" s="128" t="n">
        <x:f>'Итоги'!$B$8*AVERAGE($C$2:C1182)</x:f>
        <x:v>1.2952475694904781</x:v>
      </x:c>
      <x:c r="E1182" s="128" t="n">
        <x:f>'Итоги'!$B$9</x:f>
        <x:v>1.2958368660043291</x:v>
      </x:c>
      <x:c r="F1182" s="129" t="n">
        <x:f>ABS(D1182-E1182)</x:f>
        <x:v>0.0005892965138509787</x:v>
      </x:c>
    </x:row>
    <x:row r="1183">
      <x:c r="A1183" s="107" t="n">
        <x:v>1182</x:v>
      </x:c>
      <x:c r="B1183" s="128" t="n">
        <x:v>1.237820696067921</x:v>
      </x:c>
      <x:c r="C1183" s="128" t="n">
        <x:f>LN(B1183)</x:f>
        <x:v>0.21335233022529193</x:v>
      </x:c>
      <x:c r="D1183" s="128" t="n">
        <x:f>'Итоги'!$B$8*AVERAGE($C$2:C1183)</x:f>
        <x:v>1.29451276161481</x:v>
      </x:c>
      <x:c r="E1183" s="128" t="n">
        <x:f>'Итоги'!$B$9</x:f>
        <x:v>1.2958368660043291</x:v>
      </x:c>
      <x:c r="F1183" s="129" t="n">
        <x:f>ABS(D1183-E1183)</x:f>
        <x:v>0.0013241043895191318</x:v>
      </x:c>
    </x:row>
    <x:row r="1184">
      <x:c r="A1184" s="107" t="n">
        <x:v>1183</x:v>
      </x:c>
      <x:c r="B1184" s="128" t="n">
        <x:v>1.1719647002218903</x:v>
      </x:c>
      <x:c r="C1184" s="128" t="n">
        <x:f>LN(B1184)</x:f>
        <x:v>0.15868157143662795</x:v>
      </x:c>
      <x:c r="D1184" s="128" t="n">
        <x:f>'Итоги'!$B$8*AVERAGE($C$2:C1184)</x:f>
        <x:v>1.2936867686995595</x:v>
      </x:c>
      <x:c r="E1184" s="128" t="n">
        <x:f>'Итоги'!$B$9</x:f>
        <x:v>1.2958368660043291</x:v>
      </x:c>
      <x:c r="F1184" s="129" t="n">
        <x:f>ABS(D1184-E1184)</x:f>
        <x:v>0.0021500973047696714</x:v>
      </x:c>
    </x:row>
    <x:row r="1185">
      <x:c r="A1185" s="107" t="n">
        <x:v>1184</x:v>
      </x:c>
      <x:c r="B1185" s="128" t="n">
        <x:v>1.3525827300442603</x:v>
      </x:c>
      <x:c r="C1185" s="128" t="n">
        <x:f>LN(B1185)</x:f>
        <x:v>0.3020158981075479</x:v>
      </x:c>
      <x:c r="D1185" s="128" t="n">
        <x:f>'Итоги'!$B$8*AVERAGE($C$2:C1185)</x:f>
        <x:v>1.293104289837664</x:v>
      </x:c>
      <x:c r="E1185" s="128" t="n">
        <x:f>'Итоги'!$B$9</x:f>
        <x:v>1.2958368660043291</x:v>
      </x:c>
      <x:c r="F1185" s="129" t="n">
        <x:f>ABS(D1185-E1185)</x:f>
        <x:v>0.0027325761666652237</x:v>
      </x:c>
    </x:row>
    <x:row r="1186">
      <x:c r="A1186" s="107" t="n">
        <x:v>1185</x:v>
      </x:c>
      <x:c r="B1186" s="128" t="n">
        <x:v>1.3506930229078438</x:v>
      </x:c>
      <x:c r="C1186" s="128" t="n">
        <x:f>LN(B1186)</x:f>
        <x:v>0.300617811033255</x:v>
      </x:c>
      <x:c r="D1186" s="128" t="n">
        <x:f>'Итоги'!$B$8*AVERAGE($C$2:C1186)</x:f>
        <x:v>1.292520434421823</x:v>
      </x:c>
      <x:c r="E1186" s="128" t="n">
        <x:f>'Итоги'!$B$9</x:f>
        <x:v>1.2958368660043291</x:v>
      </x:c>
      <x:c r="F1186" s="129" t="n">
        <x:f>ABS(D1186-E1186)</x:f>
        <x:v>0.003316431582506052</x:v>
      </x:c>
    </x:row>
    <x:row r="1187">
      <x:c r="A1187" s="107" t="n">
        <x:v>1186</x:v>
      </x:c>
      <x:c r="B1187" s="128" t="n">
        <x:v>2.6462152456137993</x:v>
      </x:c>
      <x:c r="C1187" s="128" t="n">
        <x:f>LN(B1187)</x:f>
        <x:v>0.9731304099329086</x:v>
      </x:c>
      <x:c r="D1187" s="128" t="n">
        <x:f>'Итоги'!$B$8*AVERAGE($C$2:C1187)</x:f>
        <x:v>1.2930716489120795</x:v>
      </x:c>
      <x:c r="E1187" s="128" t="n">
        <x:f>'Итоги'!$B$9</x:f>
        <x:v>1.2958368660043291</x:v>
      </x:c>
      <x:c r="F1187" s="129" t="n">
        <x:f>ABS(D1187-E1187)</x:f>
        <x:v>0.002765217092249639</x:v>
      </x:c>
    </x:row>
    <x:row r="1188">
      <x:c r="A1188" s="107" t="n">
        <x:v>1187</x:v>
      </x:c>
      <x:c r="B1188" s="128" t="n">
        <x:v>1.7970132469484248</x:v>
      </x:c>
      <x:c r="C1188" s="128" t="n">
        <x:f>LN(B1188)</x:f>
        <x:v>0.5861259794762126</x:v>
      </x:c>
      <x:c r="D1188" s="128" t="n">
        <x:f>'Итоги'!$B$8*AVERAGE($C$2:C1188)</x:f>
        <x:v>1.292969863158112</x:v>
      </x:c>
      <x:c r="E1188" s="128" t="n">
        <x:f>'Итоги'!$B$9</x:f>
        <x:v>1.2958368660043291</x:v>
      </x:c>
      <x:c r="F1188" s="129" t="n">
        <x:f>ABS(D1188-E1188)</x:f>
        <x:v>0.002867002846217215</x:v>
      </x:c>
    </x:row>
    <x:row r="1189">
      <x:c r="A1189" s="107" t="n">
        <x:v>1188</x:v>
      </x:c>
      <x:c r="B1189" s="128" t="n">
        <x:v>2.980776914720965</x:v>
      </x:c>
      <x:c r="C1189" s="128" t="n">
        <x:f>LN(B1189)</x:f>
        <x:v>1.0921839761763688</x:v>
      </x:c>
      <x:c r="D1189" s="128" t="n">
        <x:f>'Итоги'!$B$8*AVERAGE($C$2:C1189)</x:f>
        <x:v>1.2937201982500264</x:v>
      </x:c>
      <x:c r="E1189" s="128" t="n">
        <x:f>'Итоги'!$B$9</x:f>
        <x:v>1.2958368660043291</x:v>
      </x:c>
      <x:c r="F1189" s="129" t="n">
        <x:f>ABS(D1189-E1189)</x:f>
        <x:v>0.002116667754302748</x:v>
      </x:c>
    </x:row>
    <x:row r="1190">
      <x:c r="A1190" s="107" t="n">
        <x:v>1189</x:v>
      </x:c>
      <x:c r="B1190" s="128" t="n">
        <x:v>1.2744225155812248</x:v>
      </x:c>
      <x:c r="C1190" s="128" t="n">
        <x:f>LN(B1190)</x:f>
        <x:v>0.24249314705118527</x:v>
      </x:c>
      <x:c r="D1190" s="128" t="n">
        <x:f>'Итоги'!$B$8*AVERAGE($C$2:C1190)</x:f>
        <x:v>1.293040018347463</x:v>
      </x:c>
      <x:c r="E1190" s="128" t="n">
        <x:f>'Итоги'!$B$9</x:f>
        <x:v>1.2958368660043291</x:v>
      </x:c>
      <x:c r="F1190" s="129" t="n">
        <x:f>ABS(D1190-E1190)</x:f>
        <x:v>0.0027968476568660527</x:v>
      </x:c>
    </x:row>
    <x:row r="1191">
      <x:c r="A1191" s="107" t="n">
        <x:v>1190</x:v>
      </x:c>
      <x:c r="B1191" s="128" t="n">
        <x:v>2.3070796513872867</x:v>
      </x:c>
      <x:c r="C1191" s="128" t="n">
        <x:f>LN(B1191)</x:f>
        <x:v>0.8359825045545547</x:v>
      </x:c>
      <x:c r="D1191" s="128" t="n">
        <x:f>'Итоги'!$B$8*AVERAGE($C$2:C1191)</x:f>
        <x:v>1.2933584427094478</x:v>
      </x:c>
      <x:c r="E1191" s="128" t="n">
        <x:f>'Итоги'!$B$9</x:f>
        <x:v>1.2958368660043291</x:v>
      </x:c>
      <x:c r="F1191" s="129" t="n">
        <x:f>ABS(D1191-E1191)</x:f>
        <x:v>0.002478423294881349</x:v>
      </x:c>
    </x:row>
    <x:row r="1192">
      <x:c r="A1192" s="107" t="n">
        <x:v>1191</x:v>
      </x:c>
      <x:c r="B1192" s="128" t="n">
        <x:v>1.8974590144025012</x:v>
      </x:c>
      <x:c r="C1192" s="128" t="n">
        <x:f>LN(B1192)</x:f>
        <x:v>0.640515630266491</x:v>
      </x:c>
      <x:c r="D1192" s="128" t="n">
        <x:f>'Итоги'!$B$8*AVERAGE($C$2:C1192)</x:f>
        <x:v>1.293348092430542</x:v>
      </x:c>
      <x:c r="E1192" s="128" t="n">
        <x:f>'Итоги'!$B$9</x:f>
        <x:v>1.2958368660043291</x:v>
      </x:c>
      <x:c r="F1192" s="129" t="n">
        <x:f>ABS(D1192-E1192)</x:f>
        <x:v>0.002488773573787073</x:v>
      </x:c>
    </x:row>
    <x:row r="1193">
      <x:c r="A1193" s="107" t="n">
        <x:v>1192</x:v>
      </x:c>
      <x:c r="B1193" s="128" t="n">
        <x:v>1.785836353394148</x:v>
      </x:c>
      <x:c r="C1193" s="128" t="n">
        <x:f>LN(B1193)</x:f>
        <x:v>0.5798868508173701</x:v>
      </x:c>
      <x:c r="D1193" s="128" t="n">
        <x:f>'Итоги'!$B$8*AVERAGE($C$2:C1193)</x:f>
        <x:v>1.2932360333778612</x:v>
      </x:c>
      <x:c r="E1193" s="128" t="n">
        <x:f>'Итоги'!$B$9</x:f>
        <x:v>1.2958368660043291</x:v>
      </x:c>
      <x:c r="F1193" s="129" t="n">
        <x:f>ABS(D1193-E1193)</x:f>
        <x:v>0.0026008326264679305</x:v>
      </x:c>
    </x:row>
    <x:row r="1194">
      <x:c r="A1194" s="107" t="n">
        <x:v>1193</x:v>
      </x:c>
      <x:c r="B1194" s="128" t="n">
        <x:v>2.7501683981081646</x:v>
      </x:c>
      <x:c r="C1194" s="128" t="n">
        <x:f>LN(B1194)</x:f>
        <x:v>1.0116621454793486</x:v>
      </x:c>
      <x:c r="D1194" s="128" t="n">
        <x:f>'Итоги'!$B$8*AVERAGE($C$2:C1194)</x:f>
        <x:v>1.2938480101235281</x:v>
      </x:c>
      <x:c r="E1194" s="128" t="n">
        <x:f>'Итоги'!$B$9</x:f>
        <x:v>1.2958368660043291</x:v>
      </x:c>
      <x:c r="F1194" s="129" t="n">
        <x:f>ABS(D1194-E1194)</x:f>
        <x:v>0.0019888558808009993</x:v>
      </x:c>
    </x:row>
    <x:row r="1195">
      <x:c r="A1195" s="107" t="n">
        <x:v>1194</x:v>
      </x:c>
      <x:c r="B1195" s="128" t="n">
        <x:v>2.9511912916567993</x:v>
      </x:c>
      <x:c r="C1195" s="128" t="n">
        <x:f>LN(B1195)</x:f>
        <x:v>1.0822089165155466</x:v>
      </x:c>
      <x:c r="D1195" s="128" t="n">
        <x:f>'Итоги'!$B$8*AVERAGE($C$2:C1195)</x:f>
        <x:v>1.2945771305782248</x:v>
      </x:c>
      <x:c r="E1195" s="128" t="n">
        <x:f>'Итоги'!$B$9</x:f>
        <x:v>1.2958368660043291</x:v>
      </x:c>
      <x:c r="F1195" s="129" t="n">
        <x:f>ABS(D1195-E1195)</x:f>
        <x:v>0.001259735426104358</x:v>
      </x:c>
    </x:row>
    <x:row r="1196">
      <x:c r="A1196" s="107" t="n">
        <x:v>1195</x:v>
      </x:c>
      <x:c r="B1196" s="128" t="n">
        <x:v>2.7457179175483573</x:v>
      </x:c>
      <x:c r="C1196" s="128" t="n">
        <x:f>LN(B1196)</x:f>
        <x:v>1.0100425772142883</x:v>
      </x:c>
      <x:c r="D1196" s="128" t="n">
        <x:f>'Итоги'!$B$8*AVERAGE($C$2:C1196)</x:f>
        <x:v>1.2951842502634552</x:v>
      </x:c>
      <x:c r="E1196" s="128" t="n">
        <x:f>'Итоги'!$B$9</x:f>
        <x:v>1.2958368660043291</x:v>
      </x:c>
      <x:c r="F1196" s="129" t="n">
        <x:f>ABS(D1196-E1196)</x:f>
        <x:v>0.0006526157408739408</x:v>
      </x:c>
    </x:row>
    <x:row r="1197">
      <x:c r="A1197" s="107" t="n">
        <x:v>1196</x:v>
      </x:c>
      <x:c r="B1197" s="128" t="n">
        <x:v>1.384601358070266</x:v>
      </x:c>
      <x:c r="C1197" s="128" t="n">
        <x:f>LN(B1197)</x:f>
        <x:v>0.3254122701007307</x:v>
      </x:c>
      <x:c r="D1197" s="128" t="n">
        <x:f>'Итоги'!$B$8*AVERAGE($C$2:C1197)</x:f>
        <x:v>1.2946454879640723</x:v>
      </x:c>
      <x:c r="E1197" s="128" t="n">
        <x:f>'Итоги'!$B$9</x:f>
        <x:v>1.2958368660043291</x:v>
      </x:c>
      <x:c r="F1197" s="129" t="n">
        <x:f>ABS(D1197-E1197)</x:f>
        <x:v>0.0011913780402568186</x:v>
      </x:c>
    </x:row>
    <x:row r="1198">
      <x:c r="A1198" s="107" t="n">
        <x:v>1197</x:v>
      </x:c>
      <x:c r="B1198" s="128" t="n">
        <x:v>1.441595842417868</x:v>
      </x:c>
      <x:c r="C1198" s="128" t="n">
        <x:f>LN(B1198)</x:f>
        <x:v>0.36575072386241425</x:v>
      </x:c>
      <x:c r="D1198" s="128" t="n">
        <x:f>'Итоги'!$B$8*AVERAGE($C$2:C1198)</x:f>
        <x:v>1.2941750251067297</x:v>
      </x:c>
      <x:c r="E1198" s="128" t="n">
        <x:f>'Итоги'!$B$9</x:f>
        <x:v>1.2958368660043291</x:v>
      </x:c>
      <x:c r="F1198" s="129" t="n">
        <x:f>ABS(D1198-E1198)</x:f>
        <x:v>0.0016618408975994647</x:v>
      </x:c>
    </x:row>
    <x:row r="1199">
      <x:c r="A1199" s="107" t="n">
        <x:v>1198</x:v>
      </x:c>
      <x:c r="B1199" s="128" t="n">
        <x:v>2.3121477581901266</x:v>
      </x:c>
      <x:c r="C1199" s="128" t="n">
        <x:f>LN(B1199)</x:f>
        <x:v>0.8381768580198067</x:v>
      </x:c>
      <x:c r="D1199" s="128" t="n">
        <x:f>'Итоги'!$B$8*AVERAGE($C$2:C1199)</x:f>
        <x:v>1.294494039039061</x:v>
      </x:c>
      <x:c r="E1199" s="128" t="n">
        <x:f>'Итоги'!$B$9</x:f>
        <x:v>1.2958368660043291</x:v>
      </x:c>
      <x:c r="F1199" s="129" t="n">
        <x:f>ABS(D1199-E1199)</x:f>
        <x:v>0.0013428269652682179</x:v>
      </x:c>
    </x:row>
    <x:row r="1200">
      <x:c r="A1200" s="107" t="n">
        <x:v>1199</x:v>
      </x:c>
      <x:c r="B1200" s="128" t="n">
        <x:v>1.5781671632763834</x:v>
      </x:c>
      <x:c r="C1200" s="128" t="n">
        <x:f>LN(B1200)</x:f>
        <x:v>0.4562641504483351</x:v>
      </x:c>
      <x:c r="D1200" s="128" t="n">
        <x:f>'Итоги'!$B$8*AVERAGE($C$2:C1200)</x:f>
        <x:v>1.2941754687820612</x:v>
      </x:c>
      <x:c r="E1200" s="128" t="n">
        <x:f>'Итоги'!$B$9</x:f>
        <x:v>1.2958368660043291</x:v>
      </x:c>
      <x:c r="F1200" s="129" t="n">
        <x:f>ABS(D1200-E1200)</x:f>
        <x:v>0.0016613972222678797</x:v>
      </x:c>
    </x:row>
    <x:row r="1201">
      <x:c r="A1201" s="107" t="n">
        <x:v>1200</x:v>
      </x:c>
      <x:c r="B1201" s="128" t="n">
        <x:v>2.4694502615611595</x:v>
      </x:c>
      <x:c r="C1201" s="128" t="n">
        <x:f>LN(B1201)</x:f>
        <x:v>0.9039955596987893</x:v>
      </x:c>
      <x:c r="D1201" s="128" t="n">
        <x:f>'Итоги'!$B$8*AVERAGE($C$2:C1201)</x:f>
        <x:v>1.2946036484909078</x:v>
      </x:c>
      <x:c r="E1201" s="128" t="n">
        <x:f>'Итоги'!$B$9</x:f>
        <x:v>1.2958368660043291</x:v>
      </x:c>
      <x:c r="F1201" s="129" t="n">
        <x:f>ABS(D1201-E1201)</x:f>
        <x:v>0.0012332175134213141</x:v>
      </x:c>
    </x:row>
    <x:row r="1202">
      <x:c r="A1202" s="107" t="n">
        <x:v>1201</x:v>
      </x:c>
      <x:c r="B1202" s="128" t="n">
        <x:v>2.1328413016192895</x:v>
      </x:c>
      <x:c r="C1202" s="128" t="n">
        <x:f>LN(B1202)</x:f>
        <x:v>0.7574550352300943</x:v>
      </x:c>
      <x:c r="D1202" s="128" t="n">
        <x:f>'Итоги'!$B$8*AVERAGE($C$2:C1202)</x:f>
        <x:v>1.2947870843126974</x:v>
      </x:c>
      <x:c r="E1202" s="128" t="n">
        <x:f>'Итоги'!$B$9</x:f>
        <x:v>1.2958368660043291</x:v>
      </x:c>
      <x:c r="F1202" s="129" t="n">
        <x:f>ABS(D1202-E1202)</x:f>
        <x:v>0.0010497816916317237</x:v>
      </x:c>
    </x:row>
    <x:row r="1203">
      <x:c r="A1203" s="107" t="n">
        <x:v>1202</x:v>
      </x:c>
      <x:c r="B1203" s="128" t="n">
        <x:v>2.101817536980806</x:v>
      </x:c>
      <x:c r="C1203" s="128" t="n">
        <x:f>LN(B1203)</x:f>
        <x:v>0.7428024642059696</x:v>
      </x:c>
      <x:c r="D1203" s="128" t="n">
        <x:f>'Итоги'!$B$8*AVERAGE($C$2:C1203)</x:f>
        <x:v>1.2949458345989695</x:v>
      </x:c>
      <x:c r="E1203" s="128" t="n">
        <x:f>'Итоги'!$B$9</x:f>
        <x:v>1.2958368660043291</x:v>
      </x:c>
      <x:c r="F1203" s="129" t="n">
        <x:f>ABS(D1203-E1203)</x:f>
        <x:v>0.0008910314053596213</x:v>
      </x:c>
    </x:row>
    <x:row r="1204">
      <x:c r="A1204" s="107" t="n">
        <x:v>1203</x:v>
      </x:c>
      <x:c r="B1204" s="128" t="n">
        <x:v>2.6570938496775716</x:v>
      </x:c>
      <x:c r="C1204" s="128" t="n">
        <x:f>LN(B1204)</x:f>
        <x:v>0.9772329878240246</x:v>
      </x:c>
      <x:c r="D1204" s="128" t="n">
        <x:f>'Итоги'!$B$8*AVERAGE($C$2:C1204)</x:f>
        <x:v>1.2954940641426511</x:v>
      </x:c>
      <x:c r="E1204" s="128" t="n">
        <x:f>'Итоги'!$B$9</x:f>
        <x:v>1.2958368660043291</x:v>
      </x:c>
      <x:c r="F1204" s="129" t="n">
        <x:f>ABS(D1204-E1204)</x:f>
        <x:v>0.0003428018616780104</x:v>
      </x:c>
    </x:row>
    <x:row r="1205">
      <x:c r="A1205" s="107" t="n">
        <x:v>1204</x:v>
      </x:c>
      <x:c r="B1205" s="128" t="n">
        <x:v>2.421065543485356</x:v>
      </x:c>
      <x:c r="C1205" s="128" t="n">
        <x:f>LN(B1205)</x:f>
        <x:v>0.8842077504871672</x:v>
      </x:c>
      <x:c r="D1205" s="128" t="n">
        <x:f>'Итоги'!$B$8*AVERAGE($C$2:C1205)</x:f>
        <x:v>1.2958868560337073</x:v>
      </x:c>
      <x:c r="E1205" s="128" t="n">
        <x:f>'Итоги'!$B$9</x:f>
        <x:v>1.2958368660043291</x:v>
      </x:c>
      <x:c r="F1205" s="129" t="n">
        <x:f>ABS(D1205-E1205)</x:f>
        <x:v>0.000049990029378221834</x:v>
      </x:c>
    </x:row>
    <x:row r="1206">
      <x:c r="A1206" s="107" t="n">
        <x:v>1205</x:v>
      </x:c>
      <x:c r="B1206" s="128" t="n">
        <x:v>1.0531555299945834</x:v>
      </x:c>
      <x:c r="C1206" s="128" t="n">
        <x:f>LN(B1206)</x:f>
        <x:v>0.05179092404422616</x:v>
      </x:c>
      <x:c r="D1206" s="128" t="n">
        <x:f>'Итоги'!$B$8*AVERAGE($C$2:C1206)</x:f>
        <x:v>1.2948973912968234</x:v>
      </x:c>
      <x:c r="E1206" s="128" t="n">
        <x:f>'Итоги'!$B$9</x:f>
        <x:v>1.2958368660043291</x:v>
      </x:c>
      <x:c r="F1206" s="129" t="n">
        <x:f>ABS(D1206-E1206)</x:f>
        <x:v>0.0009394747075057719</x:v>
      </x:c>
    </x:row>
    <x:row r="1207">
      <x:c r="A1207" s="107" t="n">
        <x:v>1206</x:v>
      </x:c>
      <x:c r="B1207" s="128" t="n">
        <x:v>1.0989182742920314</x:v>
      </x:c>
      <x:c r="C1207" s="128" t="n">
        <x:f>LN(B1207)</x:f>
        <x:v>0.09432630895484886</x:v>
      </x:c>
      <x:c r="D1207" s="128" t="n">
        <x:f>'Итоги'!$B$8*AVERAGE($C$2:C1207)</x:f>
        <x:v>1.293980107073451</x:v>
      </x:c>
      <x:c r="E1207" s="128" t="n">
        <x:f>'Итоги'!$B$9</x:f>
        <x:v>1.2958368660043291</x:v>
      </x:c>
      <x:c r="F1207" s="129" t="n">
        <x:f>ABS(D1207-E1207)</x:f>
        <x:v>0.0018567589308782217</x:v>
      </x:c>
    </x:row>
    <x:row r="1208">
      <x:c r="A1208" s="107" t="n">
        <x:v>1207</x:v>
      </x:c>
      <x:c r="B1208" s="128" t="n">
        <x:v>2.203116904912031</x:v>
      </x:c>
      <x:c r="C1208" s="128" t="n">
        <x:f>LN(B1208)</x:f>
        <x:v>0.7898731326455757</x:v>
      </x:c>
      <x:c r="D1208" s="128" t="n">
        <x:f>'Итоги'!$B$8*AVERAGE($C$2:C1208)</x:f>
        <x:v>1.2942168644539127</x:v>
      </x:c>
      <x:c r="E1208" s="128" t="n">
        <x:f>'Итоги'!$B$9</x:f>
        <x:v>1.2958368660043291</x:v>
      </x:c>
      <x:c r="F1208" s="129" t="n">
        <x:f>ABS(D1208-E1208)</x:f>
        <x:v>0.0016200015504164167</x:v>
      </x:c>
    </x:row>
    <x:row r="1209">
      <x:c r="A1209" s="107" t="n">
        <x:v>1208</x:v>
      </x:c>
      <x:c r="B1209" s="128" t="n">
        <x:v>1.972384151244551</x:v>
      </x:c>
      <x:c r="C1209" s="128" t="n">
        <x:f>LN(B1209)</x:f>
        <x:v>0.6792430400711782</x:v>
      </x:c>
      <x:c r="D1209" s="128" t="n">
        <x:f>'Итоги'!$B$8*AVERAGE($C$2:C1209)</x:f>
        <x:v>1.2942700674470322</x:v>
      </x:c>
      <x:c r="E1209" s="128" t="n">
        <x:f>'Итоги'!$B$9</x:f>
        <x:v>1.2958368660043291</x:v>
      </x:c>
      <x:c r="F1209" s="129" t="n">
        <x:f>ABS(D1209-E1209)</x:f>
        <x:v>0.0015667985572969112</x:v>
      </x:c>
    </x:row>
    <x:row r="1210">
      <x:c r="A1210" s="107" t="n">
        <x:v>1209</x:v>
      </x:c>
      <x:c r="B1210" s="128" t="n">
        <x:v>1.5203693106859828</x:v>
      </x:c>
      <x:c r="C1210" s="128" t="n">
        <x:f>LN(B1210)</x:f>
        <x:v>0.41895327290291606</x:v>
      </x:c>
      <x:c r="D1210" s="128" t="n">
        <x:f>'Итоги'!$B$8*AVERAGE($C$2:C1210)</x:f>
        <x:v>1.2938925955515475</x:v>
      </x:c>
      <x:c r="E1210" s="128" t="n">
        <x:f>'Итоги'!$B$9</x:f>
        <x:v>1.2958368660043291</x:v>
      </x:c>
      <x:c r="F1210" s="129" t="n">
        <x:f>ABS(D1210-E1210)</x:f>
        <x:v>0.0019442704527816712</x:v>
      </x:c>
    </x:row>
    <x:row r="1211">
      <x:c r="A1211" s="107" t="n">
        <x:v>1210</x:v>
      </x:c>
      <x:c r="B1211" s="128" t="n">
        <x:v>1.8373121746296033</x:v>
      </x:c>
      <x:c r="C1211" s="128" t="n">
        <x:f>LN(B1211)</x:f>
        <x:v>0.608303728991599</x:v>
      </x:c>
      <x:c r="D1211" s="128" t="n">
        <x:f>'Итоги'!$B$8*AVERAGE($C$2:C1211)</x:f>
        <x:v>1.2938287235370283</x:v>
      </x:c>
      <x:c r="E1211" s="128" t="n">
        <x:f>'Итоги'!$B$9</x:f>
        <x:v>1.2958368660043291</x:v>
      </x:c>
      <x:c r="F1211" s="129" t="n">
        <x:f>ABS(D1211-E1211)</x:f>
        <x:v>0.002008142467300855</x:v>
      </x:c>
    </x:row>
    <x:row r="1212">
      <x:c r="A1212" s="107" t="n">
        <x:v>1211</x:v>
      </x:c>
      <x:c r="B1212" s="128" t="n">
        <x:v>2.515820637465721</x:v>
      </x:c>
      <x:c r="C1212" s="128" t="n">
        <x:f>LN(B1212)</x:f>
        <x:v>0.9225990475314175</x:v>
      </x:c>
      <x:c r="D1212" s="128" t="n">
        <x:f>'Итоги'!$B$8*AVERAGE($C$2:C1212)</x:f>
        <x:v>1.2942840244218554</x:v>
      </x:c>
      <x:c r="E1212" s="128" t="n">
        <x:f>'Итоги'!$B$9</x:f>
        <x:v>1.2958368660043291</x:v>
      </x:c>
      <x:c r="F1212" s="129" t="n">
        <x:f>ABS(D1212-E1212)</x:f>
        <x:v>0.0015528415824737074</x:v>
      </x:c>
    </x:row>
    <x:row r="1213">
      <x:c r="A1213" s="107" t="n">
        <x:v>1212</x:v>
      </x:c>
      <x:c r="B1213" s="128" t="n">
        <x:v>2.65322296931586</x:v>
      </x:c>
      <x:c r="C1213" s="128" t="n">
        <x:f>LN(B1213)</x:f>
        <x:v>0.9757751158441604</x:v>
      </x:c>
      <x:c r="D1213" s="128" t="n">
        <x:f>'Итоги'!$B$8*AVERAGE($C$2:C1213)</x:f>
        <x:v>1.2948263232727355</x:v>
      </x:c>
      <x:c r="E1213" s="128" t="n">
        <x:f>'Итоги'!$B$9</x:f>
        <x:v>1.2958368660043291</x:v>
      </x:c>
      <x:c r="F1213" s="129" t="n">
        <x:f>ABS(D1213-E1213)</x:f>
        <x:v>0.0010105427315936222</x:v>
      </x:c>
    </x:row>
    <x:row r="1214">
      <x:c r="A1214" s="107" t="n">
        <x:v>1213</x:v>
      </x:c>
      <x:c r="B1214" s="128" t="n">
        <x:v>2.1224461357800886</x:v>
      </x:c>
      <x:c r="C1214" s="128" t="n">
        <x:f>LN(B1214)</x:f>
        <x:v>0.7525692611570055</x:v>
      </x:c>
      <x:c r="D1214" s="128" t="n">
        <x:f>'Итоги'!$B$8*AVERAGE($C$2:C1214)</x:f>
        <x:v>1.294999705135094</x:v>
      </x:c>
      <x:c r="E1214" s="128" t="n">
        <x:f>'Итоги'!$B$9</x:f>
        <x:v>1.2958368660043291</x:v>
      </x:c>
      <x:c r="F1214" s="129" t="n">
        <x:f>ABS(D1214-E1214)</x:f>
        <x:v>0.0008371608692350208</x:v>
      </x:c>
    </x:row>
    <x:row r="1215">
      <x:c r="A1215" s="107" t="n">
        <x:v>1214</x:v>
      </x:c>
      <x:c r="B1215" s="128" t="n">
        <x:v>1.770738961714206</x:v>
      </x:c>
      <x:c r="C1215" s="128" t="n">
        <x:f>LN(B1215)</x:f>
        <x:v>0.571396951953897</x:v>
      </x:c>
      <x:c r="D1215" s="128" t="n">
        <x:f>'Итоги'!$B$8*AVERAGE($C$2:C1215)</x:f>
        <x:v>1.2948743296810354</x:v>
      </x:c>
      <x:c r="E1215" s="128" t="n">
        <x:f>'Итоги'!$B$9</x:f>
        <x:v>1.2958368660043291</x:v>
      </x:c>
      <x:c r="F1215" s="129" t="n">
        <x:f>ABS(D1215-E1215)</x:f>
        <x:v>0.0009625363232936834</x:v>
      </x:c>
    </x:row>
    <x:row r="1216">
      <x:c r="A1216" s="107" t="n">
        <x:v>1215</x:v>
      </x:c>
      <x:c r="B1216" s="128" t="n">
        <x:v>1.541393522990214</x:v>
      </x:c>
      <x:c r="C1216" s="128" t="n">
        <x:f>LN(B1216)</x:f>
        <x:v>0.4326868923224446</x:v>
      </x:c>
      <x:c r="D1216" s="128" t="n">
        <x:f>'Итоги'!$B$8*AVERAGE($C$2:C1216)</x:f>
        <x:v>1.2945208312900591</x:v>
      </x:c>
      <x:c r="E1216" s="128" t="n">
        <x:f>'Итоги'!$B$9</x:f>
        <x:v>1.2958368660043291</x:v>
      </x:c>
      <x:c r="F1216" s="129" t="n">
        <x:f>ABS(D1216-E1216)</x:f>
        <x:v>0.001316034714269998</x:v>
      </x:c>
    </x:row>
    <x:row r="1217">
      <x:c r="A1217" s="107" t="n">
        <x:v>1216</x:v>
      </x:c>
      <x:c r="B1217" s="128" t="n">
        <x:v>2.043836941538507</x:v>
      </x:c>
      <x:c r="C1217" s="128" t="n">
        <x:f>LN(B1217)</x:f>
        <x:v>0.7148288949609453</x:v>
      </x:c>
      <x:c r="D1217" s="128" t="n">
        <x:f>'Итоги'!$B$8*AVERAGE($C$2:C1217)</x:f>
        <x:v>1.2946319636573551</x:v>
      </x:c>
      <x:c r="E1217" s="128" t="n">
        <x:f>'Итоги'!$B$9</x:f>
        <x:v>1.2958368660043291</x:v>
      </x:c>
      <x:c r="F1217" s="129" t="n">
        <x:f>ABS(D1217-E1217)</x:f>
        <x:v>0.0012049023469740128</x:v>
      </x:c>
    </x:row>
    <x:row r="1218">
      <x:c r="A1218" s="107" t="n">
        <x:v>1217</x:v>
      </x:c>
      <x:c r="B1218" s="128" t="n">
        <x:v>1.629499237128762</x:v>
      </x:c>
      <x:c r="C1218" s="128" t="n">
        <x:f>LN(B1218)</x:f>
        <x:v>0.48827275113259694</x:v>
      </x:c>
      <x:c r="D1218" s="128" t="n">
        <x:f>'Итоги'!$B$8*AVERAGE($C$2:C1218)</x:f>
        <x:v>1.2943705943382162</x:v>
      </x:c>
      <x:c r="E1218" s="128" t="n">
        <x:f>'Итоги'!$B$9</x:f>
        <x:v>1.2958368660043291</x:v>
      </x:c>
      <x:c r="F1218" s="129" t="n">
        <x:f>ABS(D1218-E1218)</x:f>
        <x:v>0.001466271666112906</x:v>
      </x:c>
    </x:row>
    <x:row r="1219">
      <x:c r="A1219" s="107" t="n">
        <x:v>1218</x:v>
      </x:c>
      <x:c r="B1219" s="128" t="n">
        <x:v>2.128190274094446</x:v>
      </x:c>
      <x:c r="C1219" s="128" t="n">
        <x:f>LN(B1219)</x:f>
        <x:v>0.7552719820002248</x:v>
      </x:c>
      <x:c r="D1219" s="128" t="n">
        <x:f>'Итоги'!$B$8*AVERAGE($C$2:C1219)</x:f>
        <x:v>1.2945480765793183</x:v>
      </x:c>
      <x:c r="E1219" s="128" t="n">
        <x:f>'Итоги'!$B$9</x:f>
        <x:v>1.2958368660043291</x:v>
      </x:c>
      <x:c r="F1219" s="129" t="n">
        <x:f>ABS(D1219-E1219)</x:f>
        <x:v>0.0012887894250108722</x:v>
      </x:c>
    </x:row>
    <x:row r="1220">
      <x:c r="A1220" s="107" t="n">
        <x:v>1219</x:v>
      </x:c>
      <x:c r="B1220" s="128" t="n">
        <x:v>2.353304765019275</x:v>
      </x:c>
      <x:c r="C1220" s="128" t="n">
        <x:f>LN(B1220)</x:f>
        <x:v>0.8558206232531336</x:v>
      </x:c>
      <x:c r="D1220" s="128" t="n">
        <x:f>'Итоги'!$B$8*AVERAGE($C$2:C1220)</x:f>
        <x:v>1.2948902366859032</x:v>
      </x:c>
      <x:c r="E1220" s="128" t="n">
        <x:f>'Итоги'!$B$9</x:f>
        <x:v>1.2958368660043291</x:v>
      </x:c>
      <x:c r="F1220" s="129" t="n">
        <x:f>ABS(D1220-E1220)</x:f>
        <x:v>0.0009466293184259289</x:v>
      </x:c>
    </x:row>
    <x:row r="1221">
      <x:c r="A1221" s="107" t="n">
        <x:v>1220</x:v>
      </x:c>
      <x:c r="B1221" s="128" t="n">
        <x:v>1.1321584218387897</x:v>
      </x:c>
      <x:c r="C1221" s="128" t="n">
        <x:f>LN(B1221)</x:f>
        <x:v>0.12412591860993545</x:v>
      </x:c>
      <x:c r="D1221" s="128" t="n">
        <x:f>'Итоги'!$B$8*AVERAGE($C$2:C1221)</x:f>
        <x:v>1.2940323363584718</x:v>
      </x:c>
      <x:c r="E1221" s="128" t="n">
        <x:f>'Итоги'!$B$9</x:f>
        <x:v>1.2958368660043291</x:v>
      </x:c>
      <x:c r="F1221" s="129" t="n">
        <x:f>ABS(D1221-E1221)</x:f>
        <x:v>0.0018045296458573112</x:v>
      </x:c>
    </x:row>
    <x:row r="1222">
      <x:c r="A1222" s="107" t="n">
        <x:v>1221</x:v>
      </x:c>
      <x:c r="B1222" s="128" t="n">
        <x:v>1.0021349300454945</x:v>
      </x:c>
      <x:c r="C1222" s="128" t="n">
        <x:f>LN(B1222)</x:f>
        <x:v>0.0021326543207780143</x:v>
      </x:c>
      <x:c r="D1222" s="128" t="n">
        <x:f>'Итоги'!$B$8*AVERAGE($C$2:C1222)</x:f>
        <x:v>1.2929760161064516</x:v>
      </x:c>
      <x:c r="E1222" s="128" t="n">
        <x:f>'Итоги'!$B$9</x:f>
        <x:v>1.2958368660043291</x:v>
      </x:c>
      <x:c r="F1222" s="129" t="n">
        <x:f>ABS(D1222-E1222)</x:f>
        <x:v>0.0028608498978774932</x:v>
      </x:c>
    </x:row>
    <x:row r="1223">
      <x:c r="A1223" s="107" t="n">
        <x:v>1222</x:v>
      </x:c>
      <x:c r="B1223" s="128" t="n">
        <x:v>1.424554277681486</x:v>
      </x:c>
      <x:c r="C1223" s="128" t="n">
        <x:f>LN(B1223)</x:f>
        <x:v>0.35385897720043225</x:v>
      </x:c>
      <x:c r="D1223" s="128" t="n">
        <x:f>'Итоги'!$B$8*AVERAGE($C$2:C1223)</x:f>
        <x:v>1.2924970815224044</x:v>
      </x:c>
      <x:c r="E1223" s="128" t="n">
        <x:f>'Итоги'!$B$9</x:f>
        <x:v>1.2958368660043291</x:v>
      </x:c>
      <x:c r="F1223" s="129" t="n">
        <x:f>ABS(D1223-E1223)</x:f>
        <x:v>0.0033397844819247346</x:v>
      </x:c>
    </x:row>
    <x:row r="1224">
      <x:c r="A1224" s="107" t="n">
        <x:v>1223</x:v>
      </x:c>
      <x:c r="B1224" s="128" t="n">
        <x:v>2.789022995437562</x:v>
      </x:c>
      <x:c r="C1224" s="128" t="n">
        <x:f>LN(B1224)</x:f>
        <x:v>1.0256913536588919</x:v>
      </x:c>
      <x:c r="D1224" s="128" t="n">
        <x:f>'Итоги'!$B$8*AVERAGE($C$2:C1224)</x:f>
        <x:v>1.2931175930725232</x:v>
      </x:c>
      <x:c r="E1224" s="128" t="n">
        <x:f>'Итоги'!$B$9</x:f>
        <x:v>1.2958368660043291</x:v>
      </x:c>
      <x:c r="F1224" s="129" t="n">
        <x:f>ABS(D1224-E1224)</x:f>
        <x:v>0.0027192729318059605</x:v>
      </x:c>
    </x:row>
    <x:row r="1225">
      <x:c r="A1225" s="107" t="n">
        <x:v>1224</x:v>
      </x:c>
      <x:c r="B1225" s="128" t="n">
        <x:v>2.292581526457118</x:v>
      </x:c>
      <x:c r="C1225" s="128" t="n">
        <x:f>LN(B1225)</x:f>
        <x:v>0.8296784867657219</x:v>
      </x:c>
      <x:c r="D1225" s="128" t="n">
        <x:f>'Итоги'!$B$8*AVERAGE($C$2:C1225)</x:f>
        <x:v>1.2934168082526367</x:v>
      </x:c>
      <x:c r="E1225" s="128" t="n">
        <x:f>'Итоги'!$B$9</x:f>
        <x:v>1.2958368660043291</x:v>
      </x:c>
      <x:c r="F1225" s="129" t="n">
        <x:f>ABS(D1225-E1225)</x:f>
        <x:v>0.002420057751692406</x:v>
      </x:c>
    </x:row>
    <x:row r="1226">
      <x:c r="A1226" s="107" t="n">
        <x:v>1225</x:v>
      </x:c>
      <x:c r="B1226" s="128" t="n">
        <x:v>1.3439207038740457</x:v>
      </x:c>
      <x:c r="C1226" s="128" t="n">
        <x:f>LN(B1226)</x:f>
        <x:v>0.29559124026666783</x:v>
      </x:c>
      <x:c r="D1226" s="128" t="n">
        <x:f>'Итоги'!$B$8*AVERAGE($C$2:C1226)</x:f>
        <x:v>1.2928435557402127</x:v>
      </x:c>
      <x:c r="E1226" s="128" t="n">
        <x:f>'Итоги'!$B$9</x:f>
        <x:v>1.2958368660043291</x:v>
      </x:c>
      <x:c r="F1226" s="129" t="n">
        <x:f>ABS(D1226-E1226)</x:f>
        <x:v>0.002993310264116422</x:v>
      </x:c>
    </x:row>
    <x:row r="1227">
      <x:c r="A1227" s="107" t="n">
        <x:v>1226</x:v>
      </x:c>
      <x:c r="B1227" s="128" t="n">
        <x:v>2.7805279236472376</x:v>
      </x:c>
      <x:c r="C1227" s="128" t="n">
        <x:f>LN(B1227)</x:f>
        <x:v>1.022640810266242</x:v>
      </x:c>
      <x:c r="D1227" s="128" t="n">
        <x:f>'Итоги'!$B$8*AVERAGE($C$2:C1227)</x:f>
        <x:v>1.293457289887678</x:v>
      </x:c>
      <x:c r="E1227" s="128" t="n">
        <x:f>'Итоги'!$B$9</x:f>
        <x:v>1.2958368660043291</x:v>
      </x:c>
      <x:c r="F1227" s="129" t="n">
        <x:f>ABS(D1227-E1227)</x:f>
        <x:v>0.002379576116651183</x:v>
      </x:c>
    </x:row>
    <x:row r="1228">
      <x:c r="A1228" s="107" t="n">
        <x:v>1227</x:v>
      </x:c>
      <x:c r="B1228" s="128" t="n">
        <x:v>1.93991188057468</x:v>
      </x:c>
      <x:c r="C1228" s="128" t="n">
        <x:f>LN(B1228)</x:f>
        <x:v>0.6626425496594235</x:v>
      </x:c>
      <x:c r="D1228" s="128" t="n">
        <x:f>'Итоги'!$B$8*AVERAGE($C$2:C1228)</x:f>
        <x:v>1.2934832294226666</x:v>
      </x:c>
      <x:c r="E1228" s="128" t="n">
        <x:f>'Итоги'!$B$9</x:f>
        <x:v>1.2958368660043291</x:v>
      </x:c>
      <x:c r="F1228" s="129" t="n">
        <x:f>ABS(D1228-E1228)</x:f>
        <x:v>0.0023536365816625437</x:v>
      </x:c>
    </x:row>
    <x:row r="1229">
      <x:c r="A1229" s="107" t="n">
        <x:v>1228</x:v>
      </x:c>
      <x:c r="B1229" s="128" t="n">
        <x:v>1.9521835133573213</x:v>
      </x:c>
      <x:c r="C1229" s="128" t="n">
        <x:f>LN(B1229)</x:f>
        <x:v>0.6689484965623875</x:v>
      </x:c>
      <x:c r="D1229" s="128" t="n">
        <x:f>'Итоги'!$B$8*AVERAGE($C$2:C1229)</x:f>
        <x:v>1.2935193969826846</x:v>
      </x:c>
      <x:c r="E1229" s="128" t="n">
        <x:f>'Итоги'!$B$9</x:f>
        <x:v>1.2958368660043291</x:v>
      </x:c>
      <x:c r="F1229" s="129" t="n">
        <x:f>ABS(D1229-E1229)</x:f>
        <x:v>0.002317469021644536</x:v>
      </x:c>
    </x:row>
    <x:row r="1230">
      <x:c r="A1230" s="107" t="n">
        <x:v>1229</x:v>
      </x:c>
      <x:c r="B1230" s="128" t="n">
        <x:v>2.87108388768531</x:v>
      </x:c>
      <x:c r="C1230" s="128" t="n">
        <x:f>LN(B1230)</x:f>
        <x:v>1.054689619689877</x:v>
      </x:c>
      <x:c r="D1230" s="128" t="n">
        <x:f>'Итоги'!$B$8*AVERAGE($C$2:C1230)</x:f>
        <x:v>1.2941832373751962</x:v>
      </x:c>
      <x:c r="E1230" s="128" t="n">
        <x:f>'Итоги'!$B$9</x:f>
        <x:v>1.2958368660043291</x:v>
      </x:c>
      <x:c r="F1230" s="129" t="n">
        <x:f>ABS(D1230-E1230)</x:f>
        <x:v>0.001653628629132875</x:v>
      </x:c>
    </x:row>
    <x:row r="1231">
      <x:c r="A1231" s="107" t="n">
        <x:v>1230</x:v>
      </x:c>
      <x:c r="B1231" s="128" t="n">
        <x:v>1.11897338436668</x:v>
      </x:c>
      <x:c r="C1231" s="128" t="n">
        <x:f>LN(B1231)</x:f>
        <x:v>0.11241164385181321</x:v>
      </x:c>
      <x:c r="D1231" s="128" t="n">
        <x:f>'Итоги'!$B$8*AVERAGE($C$2:C1231)</x:f>
        <x:v>1.29331383904213</x:v>
      </x:c>
      <x:c r="E1231" s="128" t="n">
        <x:f>'Итоги'!$B$9</x:f>
        <x:v>1.2958368660043291</x:v>
      </x:c>
      <x:c r="F1231" s="129" t="n">
        <x:f>ABS(D1231-E1231)</x:f>
        <x:v>0.002523026962199193</x:v>
      </x:c>
    </x:row>
    <x:row r="1232">
      <x:c r="A1232" s="107" t="n">
        <x:v>1231</x:v>
      </x:c>
      <x:c r="B1232" s="128" t="n">
        <x:v>1.430356549257437</x:v>
      </x:c>
      <x:c r="C1232" s="128" t="n">
        <x:f>LN(B1232)</x:f>
        <x:v>0.3579237483380354</x:v>
      </x:c>
      <x:c r="D1232" s="128" t="n">
        <x:f>'Итоги'!$B$8*AVERAGE($C$2:C1232)</x:f>
        <x:v>1.2928447355958539</x:v>
      </x:c>
      <x:c r="E1232" s="128" t="n">
        <x:f>'Итоги'!$B$9</x:f>
        <x:v>1.2958368660043291</x:v>
      </x:c>
      <x:c r="F1232" s="129" t="n">
        <x:f>ABS(D1232-E1232)</x:f>
        <x:v>0.0029921304084752354</x:v>
      </x:c>
    </x:row>
    <x:row r="1233">
      <x:c r="A1233" s="107" t="n">
        <x:v>1232</x:v>
      </x:c>
      <x:c r="B1233" s="128" t="n">
        <x:v>2.171542650309445</x:v>
      </x:c>
      <x:c r="C1233" s="128" t="n">
        <x:f>LN(B1233)</x:f>
        <x:v>0.7754378137436511</x:v>
      </x:c>
      <x:c r="D1233" s="128" t="n">
        <x:f>'Итоги'!$B$8*AVERAGE($C$2:C1233)</x:f>
        <x:v>1.2930541762548566</x:v>
      </x:c>
      <x:c r="E1233" s="128" t="n">
        <x:f>'Итоги'!$B$9</x:f>
        <x:v>1.2958368660043291</x:v>
      </x:c>
      <x:c r="F1233" s="129" t="n">
        <x:f>ABS(D1233-E1233)</x:f>
        <x:v>0.002782689749472489</x:v>
      </x:c>
    </x:row>
    <x:row r="1234">
      <x:c r="A1234" s="107" t="n">
        <x:v>1233</x:v>
      </x:c>
      <x:c r="B1234" s="128" t="n">
        <x:v>1.3909730191640082</x:v>
      </x:c>
      <x:c r="C1234" s="128" t="n">
        <x:f>LN(B1234)</x:f>
        <x:v>0.3300035160342857</x:v>
      </x:c>
      <x:c r="D1234" s="128" t="n">
        <x:f>'Итоги'!$B$8*AVERAGE($C$2:C1234)</x:f>
        <x:v>1.292540756024373</x:v>
      </x:c>
      <x:c r="E1234" s="128" t="n">
        <x:f>'Итоги'!$B$9</x:f>
        <x:v>1.2958368660043291</x:v>
      </x:c>
      <x:c r="F1234" s="129" t="n">
        <x:f>ABS(D1234-E1234)</x:f>
        <x:v>0.003296109979956219</x:v>
      </x:c>
    </x:row>
    <x:row r="1235">
      <x:c r="A1235" s="107" t="n">
        <x:v>1234</x:v>
      </x:c>
      <x:c r="B1235" s="128" t="n">
        <x:v>2.3590540184179156</x:v>
      </x:c>
      <x:c r="C1235" s="128" t="n">
        <x:f>LN(B1235)</x:f>
        <x:v>0.8582606990264048</x:v>
      </x:c>
      <x:c r="D1235" s="128" t="n">
        <x:f>'Итоги'!$B$8*AVERAGE($C$2:C1235)</x:f>
        <x:v>1.2928843383923054</x:v>
      </x:c>
      <x:c r="E1235" s="128" t="n">
        <x:f>'Итоги'!$B$9</x:f>
        <x:v>1.2958368660043291</x:v>
      </x:c>
      <x:c r="F1235" s="129" t="n">
        <x:f>ABS(D1235-E1235)</x:f>
        <x:v>0.002952527612023692</x:v>
      </x:c>
    </x:row>
    <x:row r="1236">
      <x:c r="A1236" s="107" t="n">
        <x:v>1235</x:v>
      </x:c>
      <x:c r="B1236" s="128" t="n">
        <x:v>1.4281845786734404</x:v>
      </x:c>
      <x:c r="C1236" s="128" t="n">
        <x:f>LN(B1236)</x:f>
        <x:v>0.3564041123385735</x:v>
      </x:c>
      <x:c r="D1236" s="128" t="n">
        <x:f>'Итоги'!$B$8*AVERAGE($C$2:C1236)</x:f>
        <x:v>1.2924146411342365</x:v>
      </x:c>
      <x:c r="E1236" s="128" t="n">
        <x:f>'Итоги'!$B$9</x:f>
        <x:v>1.2958368660043291</x:v>
      </x:c>
      <x:c r="F1236" s="129" t="n">
        <x:f>ABS(D1236-E1236)</x:f>
        <x:v>0.003422224870092583</x:v>
      </x:c>
    </x:row>
    <x:row r="1237">
      <x:c r="A1237" s="107" t="n">
        <x:v>1236</x:v>
      </x:c>
      <x:c r="B1237" s="128" t="n">
        <x:v>1.1983139411976287</x:v>
      </x:c>
      <x:c r="C1237" s="128" t="n">
        <x:f>LN(B1237)</x:f>
        <x:v>0.18091551978505568</x:v>
      </x:c>
      <x:c r="D1237" s="128" t="n">
        <x:f>'Итоги'!$B$8*AVERAGE($C$2:C1237)</x:f>
        <x:v>1.29166174178022</x:v>
      </x:c>
      <x:c r="E1237" s="128" t="n">
        <x:f>'Итоги'!$B$9</x:f>
        <x:v>1.2958368660043291</x:v>
      </x:c>
      <x:c r="F1237" s="129" t="n">
        <x:f>ABS(D1237-E1237)</x:f>
        <x:v>0.004175124224109039</x:v>
      </x:c>
    </x:row>
    <x:row r="1238">
      <x:c r="A1238" s="107" t="n">
        <x:v>1237</x:v>
      </x:c>
      <x:c r="B1238" s="128" t="n">
        <x:v>1.4139703192816795</x:v>
      </x:c>
      <x:c r="C1238" s="128" t="n">
        <x:f>LN(B1238)</x:f>
        <x:v>0.34640157664705923</x:v>
      </x:c>
      <x:c r="D1238" s="128" t="n">
        <x:f>'Итоги'!$B$8*AVERAGE($C$2:C1238)</x:f>
        <x:v>1.291177620043368</x:v>
      </x:c>
      <x:c r="E1238" s="128" t="n">
        <x:f>'Итоги'!$B$9</x:f>
        <x:v>1.2958368660043291</x:v>
      </x:c>
      <x:c r="F1238" s="129" t="n">
        <x:f>ABS(D1238-E1238)</x:f>
        <x:v>0.0046592459609611225</x:v>
      </x:c>
    </x:row>
    <x:row r="1239">
      <x:c r="A1239" s="107" t="n">
        <x:v>1238</x:v>
      </x:c>
      <x:c r="B1239" s="128" t="n">
        <x:v>1.8454680685441245</x:v>
      </x:c>
      <x:c r="C1239" s="128" t="n">
        <x:f>LN(B1239)</x:f>
        <x:v>0.6127329410050536</x:v>
      </x:c>
      <x:c r="D1239" s="128" t="n">
        <x:f>'Итоги'!$B$8*AVERAGE($C$2:C1239)</x:f>
        <x:v>1.2911245410950374</x:v>
      </x:c>
      <x:c r="E1239" s="128" t="n">
        <x:f>'Итоги'!$B$9</x:f>
        <x:v>1.2958368660043291</x:v>
      </x:c>
      <x:c r="F1239" s="129" t="n">
        <x:f>ABS(D1239-E1239)</x:f>
        <x:v>0.004712324909291743</x:v>
      </x:c>
    </x:row>
    <x:row r="1240">
      <x:c r="A1240" s="107" t="n">
        <x:v>1239</x:v>
      </x:c>
      <x:c r="B1240" s="128" t="n">
        <x:v>1.3522765983461598</x:v>
      </x:c>
      <x:c r="C1240" s="128" t="n">
        <x:f>LN(B1240)</x:f>
        <x:v>0.3017895412717639</x:v>
      </x:c>
      <x:c r="D1240" s="128" t="n">
        <x:f>'Итоги'!$B$8*AVERAGE($C$2:C1240)</x:f>
        <x:v>1.2905696214351896</x:v>
      </x:c>
      <x:c r="E1240" s="128" t="n">
        <x:f>'Итоги'!$B$9</x:f>
        <x:v>1.2958368660043291</x:v>
      </x:c>
      <x:c r="F1240" s="129" t="n">
        <x:f>ABS(D1240-E1240)</x:f>
        <x:v>0.0052672445691395176</x:v>
      </x:c>
    </x:row>
    <x:row r="1241">
      <x:c r="A1241" s="107" t="n">
        <x:v>1240</x:v>
      </x:c>
      <x:c r="B1241" s="128" t="n">
        <x:v>1.2693840498466946</x:v>
      </x:c>
      <x:c r="C1241" s="128" t="n">
        <x:f>LN(B1241)</x:f>
        <x:v>0.23853178269918654</x:v>
      </x:c>
      <x:c r="D1241" s="128" t="n">
        <x:f>'Итоги'!$B$8*AVERAGE($C$2:C1241)</x:f>
        <x:v>1.2899135681641922</x:v>
      </x:c>
      <x:c r="E1241" s="128" t="n">
        <x:f>'Итоги'!$B$9</x:f>
        <x:v>1.2958368660043291</x:v>
      </x:c>
      <x:c r="F1241" s="129" t="n">
        <x:f>ABS(D1241-E1241)</x:f>
        <x:v>0.0059232978401368985</x:v>
      </x:c>
    </x:row>
    <x:row r="1242">
      <x:c r="A1242" s="107" t="n">
        <x:v>1241</x:v>
      </x:c>
      <x:c r="B1242" s="128" t="n">
        <x:v>2.720563772437882</x:v>
      </x:c>
      <x:c r="C1242" s="128" t="n">
        <x:f>LN(B1242)</x:f>
        <x:v>1.0008391281092297</x:v>
      </x:c>
      <x:c r="D1242" s="128" t="n">
        <x:f>'Итоги'!$B$8*AVERAGE($C$2:C1242)</x:f>
        <x:v>1.290487109411617</x:v>
      </x:c>
      <x:c r="E1242" s="128" t="n">
        <x:f>'Итоги'!$B$9</x:f>
        <x:v>1.2958368660043291</x:v>
      </x:c>
      <x:c r="F1242" s="129" t="n">
        <x:f>ABS(D1242-E1242)</x:f>
        <x:v>0.005349756592712085</x:v>
      </x:c>
    </x:row>
    <x:row r="1243">
      <x:c r="A1243" s="107" t="n">
        <x:v>1242</x:v>
      </x:c>
      <x:c r="B1243" s="128" t="n">
        <x:v>1.6407944071946157</x:v>
      </x:c>
      <x:c r="C1243" s="128" t="n">
        <x:f>LN(B1243)</x:f>
        <x:v>0.4951805191857631</x:v>
      </x:c>
      <x:c r="D1243" s="128" t="n">
        <x:f>'Итоги'!$B$8*AVERAGE($C$2:C1243)</x:f>
        <x:v>1.2902454620114236</x:v>
      </x:c>
      <x:c r="E1243" s="128" t="n">
        <x:f>'Итоги'!$B$9</x:f>
        <x:v>1.2958368660043291</x:v>
      </x:c>
      <x:c r="F1243" s="129" t="n">
        <x:f>ABS(D1243-E1243)</x:f>
        <x:v>0.005591403992905475</x:v>
      </x:c>
    </x:row>
    <x:row r="1244">
      <x:c r="A1244" s="107" t="n">
        <x:v>1243</x:v>
      </x:c>
      <x:c r="B1244" s="128" t="n">
        <x:v>1.7215173730365072</x:v>
      </x:c>
      <x:c r="C1244" s="128" t="n">
        <x:f>LN(B1244)</x:f>
        <x:v>0.5432060955471502</x:v>
      </x:c>
      <x:c r="D1244" s="128" t="n">
        <x:f>'Итоги'!$B$8*AVERAGE($C$2:C1244)</x:f>
        <x:v>1.2900814770790687</x:v>
      </x:c>
      <x:c r="E1244" s="128" t="n">
        <x:f>'Итоги'!$B$9</x:f>
        <x:v>1.2958368660043291</x:v>
      </x:c>
      <x:c r="F1244" s="129" t="n">
        <x:f>ABS(D1244-E1244)</x:f>
        <x:v>0.005755388925260396</x:v>
      </x:c>
    </x:row>
    <x:row r="1245">
      <x:c r="A1245" s="107" t="n">
        <x:v>1244</x:v>
      </x:c>
      <x:c r="B1245" s="128" t="n">
        <x:v>1.1105408190024553</x:v>
      </x:c>
      <x:c r="C1245" s="128" t="n">
        <x:f>LN(B1245)</x:f>
        <x:v>0.10484712099554644</x:v>
      </x:c>
      <x:c r="D1245" s="128" t="n">
        <x:f>'Итоги'!$B$8*AVERAGE($C$2:C1245)</x:f>
        <x:v>1.2892129985942713</x:v>
      </x:c>
      <x:c r="E1245" s="128" t="n">
        <x:f>'Итоги'!$B$9</x:f>
        <x:v>1.2958368660043291</x:v>
      </x:c>
      <x:c r="F1245" s="129" t="n">
        <x:f>ABS(D1245-E1245)</x:f>
        <x:v>0.0066238674100578265</x:v>
      </x:c>
    </x:row>
    <x:row r="1246">
      <x:c r="A1246" s="107" t="n">
        <x:v>1245</x:v>
      </x:c>
      <x:c r="B1246" s="128" t="n">
        <x:v>1.7147392470041083</x:v>
      </x:c>
      <x:c r="C1246" s="128" t="n">
        <x:f>LN(B1246)</x:f>
        <x:v>0.5392610264950588</x:v>
      </x:c>
      <x:c r="D1246" s="128" t="n">
        <x:f>'Итоги'!$B$8*AVERAGE($C$2:C1246)</x:f>
        <x:v>1.2890437689190875</x:v>
      </x:c>
      <x:c r="E1246" s="128" t="n">
        <x:f>'Итоги'!$B$9</x:f>
        <x:v>1.2958368660043291</x:v>
      </x:c>
      <x:c r="F1246" s="129" t="n">
        <x:f>ABS(D1246-E1246)</x:f>
        <x:v>0.006793097085241673</x:v>
      </x:c>
    </x:row>
    <x:row r="1247">
      <x:c r="A1247" s="107" t="n">
        <x:v>1246</x:v>
      </x:c>
      <x:c r="B1247" s="128" t="n">
        <x:v>1.5296143546431593</x:v>
      </x:c>
      <x:c r="C1247" s="128" t="n">
        <x:f>LN(B1247)</x:f>
        <x:v>0.4250156478441601</x:v>
      </x:c>
      <x:c r="D1247" s="128" t="n">
        <x:f>'Итоги'!$B$8*AVERAGE($C$2:C1247)</x:f>
        <x:v>1.2886914314606357</x:v>
      </x:c>
      <x:c r="E1247" s="128" t="n">
        <x:f>'Итоги'!$B$9</x:f>
        <x:v>1.2958368660043291</x:v>
      </x:c>
      <x:c r="F1247" s="129" t="n">
        <x:f>ABS(D1247-E1247)</x:f>
        <x:v>0.00714543454369343</x:v>
      </x:c>
    </x:row>
    <x:row r="1248">
      <x:c r="A1248" s="107" t="n">
        <x:v>1247</x:v>
      </x:c>
      <x:c r="B1248" s="128" t="n">
        <x:v>2.220970134683577</x:v>
      </x:c>
      <x:c r="C1248" s="128" t="n">
        <x:f>LN(B1248)</x:f>
        <x:v>0.7979440980337578</x:v>
      </x:c>
      <x:c r="D1248" s="128" t="n">
        <x:f>'Итоги'!$B$8*AVERAGE($C$2:C1248)</x:f>
        <x:v>1.2889377801090776</x:v>
      </x:c>
      <x:c r="E1248" s="128" t="n">
        <x:f>'Итоги'!$B$9</x:f>
        <x:v>1.2958368660043291</x:v>
      </x:c>
      <x:c r="F1248" s="129" t="n">
        <x:f>ABS(D1248-E1248)</x:f>
        <x:v>0.006899085895251567</x:v>
      </x:c>
    </x:row>
    <x:row r="1249">
      <x:c r="A1249" s="107" t="n">
        <x:v>1248</x:v>
      </x:c>
      <x:c r="B1249" s="128" t="n">
        <x:v>1.4107805953448134</x:v>
      </x:c>
      <x:c r="C1249" s="128" t="n">
        <x:f>LN(B1249)</x:f>
        <x:v>0.3441431649222626</x:v>
      </x:c>
      <x:c r="D1249" s="128" t="n">
        <x:f>'Итоги'!$B$8*AVERAGE($C$2:C1249)</x:f>
        <x:v>1.288456488882904</x:v>
      </x:c>
      <x:c r="E1249" s="128" t="n">
        <x:f>'Итоги'!$B$9</x:f>
        <x:v>1.2958368660043291</x:v>
      </x:c>
      <x:c r="F1249" s="129" t="n">
        <x:f>ABS(D1249-E1249)</x:f>
        <x:v>0.007380377121425141</x:v>
      </x:c>
    </x:row>
    <x:row r="1250">
      <x:c r="A1250" s="107" t="n">
        <x:v>1249</x:v>
      </x:c>
      <x:c r="B1250" s="128" t="n">
        <x:v>2.776730906125681</x:v>
      </x:c>
      <x:c r="C1250" s="128" t="n">
        <x:f>LN(B1250)</x:f>
        <x:v>1.0212743027024498</x:v>
      </x:c>
      <x:c r="D1250" s="128" t="n">
        <x:f>'Итоги'!$B$8*AVERAGE($C$2:C1250)</x:f>
        <x:v>1.2890602455814804</x:v>
      </x:c>
      <x:c r="E1250" s="128" t="n">
        <x:f>'Итоги'!$B$9</x:f>
        <x:v>1.2958368660043291</x:v>
      </x:c>
      <x:c r="F1250" s="129" t="n">
        <x:f>ABS(D1250-E1250)</x:f>
        <x:v>0.006776620422848767</x:v>
      </x:c>
    </x:row>
    <x:row r="1251">
      <x:c r="A1251" s="107" t="n">
        <x:v>1250</x:v>
      </x:c>
      <x:c r="B1251" s="128" t="n">
        <x:v>2.85933324183911</x:v>
      </x:c>
      <x:c r="C1251" s="128" t="n">
        <x:f>LN(B1251)</x:f>
        <x:v>1.0505884654281326</x:v>
      </x:c>
      <x:c r="D1251" s="128" t="n">
        <x:f>'Итоги'!$B$8*AVERAGE($C$2:C1251)</x:f>
        <x:v>1.2897099389297002</x:v>
      </x:c>
      <x:c r="E1251" s="128" t="n">
        <x:f>'Итоги'!$B$9</x:f>
        <x:v>1.2958368660043291</x:v>
      </x:c>
      <x:c r="F1251" s="129" t="n">
        <x:f>ABS(D1251-E1251)</x:f>
        <x:v>0.006126927074628918</x:v>
      </x:c>
    </x:row>
    <x:row r="1252">
      <x:c r="A1252" s="107" t="n">
        <x:v>1251</x:v>
      </x:c>
      <x:c r="B1252" s="128" t="n">
        <x:v>1.1996621143535804</x:v>
      </x:c>
      <x:c r="C1252" s="128" t="n">
        <x:f>LN(B1252)</x:f>
        <x:v>0.18203994577327673</x:v>
      </x:c>
      <x:c r="D1252" s="128" t="n">
        <x:f>'Итоги'!$B$8*AVERAGE($C$2:C1252)</x:f>
        <x:v>1.28897002682148</x:v>
      </x:c>
      <x:c r="E1252" s="128" t="n">
        <x:f>'Итоги'!$B$9</x:f>
        <x:v>1.2958368660043291</x:v>
      </x:c>
      <x:c r="F1252" s="129" t="n">
        <x:f>ABS(D1252-E1252)</x:f>
        <x:v>0.006866839182849027</x:v>
      </x:c>
    </x:row>
    <x:row r="1253">
      <x:c r="A1253" s="107" t="n">
        <x:v>1252</x:v>
      </x:c>
      <x:c r="B1253" s="128" t="n">
        <x:v>1.2148059125771544</x:v>
      </x:c>
      <x:c r="C1253" s="128" t="n">
        <x:f>LN(B1253)</x:f>
        <x:v>0.19458432129742986</x:v>
      </x:c>
      <x:c r="D1253" s="128" t="n">
        <x:f>'Итоги'!$B$8*AVERAGE($C$2:C1253)</x:f>
        <x:v>1.2882513356200211</x:v>
      </x:c>
      <x:c r="E1253" s="128" t="n">
        <x:f>'Итоги'!$B$9</x:f>
        <x:v>1.2958368660043291</x:v>
      </x:c>
      <x:c r="F1253" s="129" t="n">
        <x:f>ABS(D1253-E1253)</x:f>
        <x:v>0.007585530384307981</x:v>
      </x:c>
    </x:row>
    <x:row r="1254">
      <x:c r="A1254" s="107" t="n">
        <x:v>1253</x:v>
      </x:c>
      <x:c r="B1254" s="128" t="n">
        <x:v>1.230652876221976</x:v>
      </x:c>
      <x:c r="C1254" s="128" t="n">
        <x:f>LN(B1254)</x:f>
        <x:v>0.207544822239595</x:v>
      </x:c>
      <x:c r="D1254" s="128" t="n">
        <x:f>'Итоги'!$B$8*AVERAGE($C$2:C1254)</x:f>
        <x:v>1.2875544787236597</x:v>
      </x:c>
      <x:c r="E1254" s="128" t="n">
        <x:f>'Итоги'!$B$9</x:f>
        <x:v>1.2958368660043291</x:v>
      </x:c>
      <x:c r="F1254" s="129" t="n">
        <x:f>ABS(D1254-E1254)</x:f>
        <x:v>0.008282387280669434</x:v>
      </x:c>
    </x:row>
    <x:row r="1255">
      <x:c r="A1255" s="107" t="n">
        <x:v>1254</x:v>
      </x:c>
      <x:c r="B1255" s="128" t="n">
        <x:v>2.239138512620624</x:v>
      </x:c>
      <x:c r="C1255" s="128" t="n">
        <x:f>LN(B1255)</x:f>
        <x:v>0.8060911993121761</x:v>
      </x:c>
      <x:c r="D1255" s="128" t="n">
        <x:f>'Итоги'!$B$8*AVERAGE($C$2:C1255)</x:f>
        <x:v>1.2878133526629745</x:v>
      </x:c>
      <x:c r="E1255" s="128" t="n">
        <x:f>'Итоги'!$B$9</x:f>
        <x:v>1.2958368660043291</x:v>
      </x:c>
      <x:c r="F1255" s="129" t="n">
        <x:f>ABS(D1255-E1255)</x:f>
        <x:v>0.008023513341354649</x:v>
      </x:c>
    </x:row>
    <x:row r="1256">
      <x:c r="A1256" s="107" t="n">
        <x:v>1255</x:v>
      </x:c>
      <x:c r="B1256" s="128" t="n">
        <x:v>1.2439379284192458</x:v>
      </x:c>
      <x:c r="C1256" s="128" t="n">
        <x:f>LN(B1256)</x:f>
        <x:v>0.21828209630300746</x:v>
      </x:c>
      <x:c r="D1256" s="128" t="n">
        <x:f>'Итоги'!$B$8*AVERAGE($C$2:C1256)</x:f>
        <x:v>1.2871350664796621</x:v>
      </x:c>
      <x:c r="E1256" s="128" t="n">
        <x:f>'Итоги'!$B$9</x:f>
        <x:v>1.2958368660043291</x:v>
      </x:c>
      <x:c r="F1256" s="129" t="n">
        <x:f>ABS(D1256-E1256)</x:f>
        <x:v>0.008701799524666987</x:v>
      </x:c>
    </x:row>
    <x:row r="1257">
      <x:c r="A1257" s="107" t="n">
        <x:v>1256</x:v>
      </x:c>
      <x:c r="B1257" s="128" t="n">
        <x:v>2.7047646358605326</x:v>
      </x:c>
      <x:c r="C1257" s="128" t="n">
        <x:f>LN(B1257)</x:f>
        <x:v>0.9950148977403417</x:v>
      </x:c>
      <x:c r="D1257" s="128" t="n">
        <x:f>'Итоги'!$B$8*AVERAGE($C$2:C1257)</x:f>
        <x:v>1.2876946960409688</x:v>
      </x:c>
      <x:c r="E1257" s="128" t="n">
        <x:f>'Итоги'!$B$9</x:f>
        <x:v>1.2958368660043291</x:v>
      </x:c>
      <x:c r="F1257" s="129" t="n">
        <x:f>ABS(D1257-E1257)</x:f>
        <x:v>0.008142169963360368</x:v>
      </x:c>
    </x:row>
    <x:row r="1258">
      <x:c r="A1258" s="107" t="n">
        <x:v>1257</x:v>
      </x:c>
      <x:c r="B1258" s="128" t="n">
        <x:v>2.508543029875785</x:v>
      </x:c>
      <x:c r="C1258" s="128" t="n">
        <x:f>LN(B1258)</x:f>
        <x:v>0.9197021184230276</x:v>
      </x:c>
      <x:c r="D1258" s="128" t="n">
        <x:f>'Итоги'!$B$8*AVERAGE($C$2:C1258)</x:f>
        <x:v>1.2881336057790795</x:v>
      </x:c>
      <x:c r="E1258" s="128" t="n">
        <x:f>'Итоги'!$B$9</x:f>
        <x:v>1.2958368660043291</x:v>
      </x:c>
      <x:c r="F1258" s="129" t="n">
        <x:f>ABS(D1258-E1258)</x:f>
        <x:v>0.007703260225249586</x:v>
      </x:c>
    </x:row>
    <x:row r="1259">
      <x:c r="A1259" s="107" t="n">
        <x:v>1258</x:v>
      </x:c>
      <x:c r="B1259" s="128" t="n">
        <x:v>2.639617716476048</x:v>
      </x:c>
      <x:c r="C1259" s="128" t="n">
        <x:f>LN(B1259)</x:f>
        <x:v>0.9706341023079272</x:v>
      </x:c>
      <x:c r="D1259" s="128" t="n">
        <x:f>'Итоги'!$B$8*AVERAGE($C$2:C1259)</x:f>
        <x:v>1.2886527906748162</x:v>
      </x:c>
      <x:c r="E1259" s="128" t="n">
        <x:f>'Итоги'!$B$9</x:f>
        <x:v>1.2958368660043291</x:v>
      </x:c>
      <x:c r="F1259" s="129" t="n">
        <x:f>ABS(D1259-E1259)</x:f>
        <x:v>0.007184075329512929</x:v>
      </x:c>
    </x:row>
    <x:row r="1260">
      <x:c r="A1260" s="107" t="n">
        <x:v>1259</x:v>
      </x:c>
      <x:c r="B1260" s="128" t="n">
        <x:v>2.0521210537720416</x:v>
      </x:c>
      <x:c r="C1260" s="128" t="n">
        <x:f>LN(B1260)</x:f>
        <x:v>0.7188739186347977</x:v>
      </x:c>
      <x:c r="D1260" s="128" t="n">
        <x:f>'Итоги'!$B$8*AVERAGE($C$2:C1260)</x:f>
        <x:v>1.288771214063692</x:v>
      </x:c>
      <x:c r="E1260" s="128" t="n">
        <x:f>'Итоги'!$B$9</x:f>
        <x:v>1.2958368660043291</x:v>
      </x:c>
      <x:c r="F1260" s="129" t="n">
        <x:f>ABS(D1260-E1260)</x:f>
        <x:v>0.00706565194063713</x:v>
      </x:c>
    </x:row>
    <x:row r="1261">
      <x:c r="A1261" s="107" t="n">
        <x:v>1260</x:v>
      </x:c>
      <x:c r="B1261" s="128" t="n">
        <x:v>2.9933544230383067</x:v>
      </x:c>
      <x:c r="C1261" s="128" t="n">
        <x:f>LN(B1261)</x:f>
        <x:v>1.096394639179633</x:v>
      </x:c>
      <x:c r="D1261" s="128" t="n">
        <x:f>'Итоги'!$B$8*AVERAGE($C$2:C1261)</x:f>
        <x:v>1.289488688717895</x:v>
      </x:c>
      <x:c r="E1261" s="128" t="n">
        <x:f>'Итоги'!$B$9</x:f>
        <x:v>1.2958368660043291</x:v>
      </x:c>
      <x:c r="F1261" s="129" t="n">
        <x:f>ABS(D1261-E1261)</x:f>
        <x:v>0.00634817728643422</x:v>
      </x:c>
    </x:row>
    <x:row r="1262">
      <x:c r="A1262" s="107" t="n">
        <x:v>1261</x:v>
      </x:c>
      <x:c r="B1262" s="128" t="n">
        <x:v>1.0883502058883225</x:v>
      </x:c>
      <x:c r="C1262" s="128" t="n">
        <x:f>LN(B1262)</x:f>
        <x:v>0.08466297705342588</x:v>
      </x:c>
      <x:c r="D1262" s="128" t="n">
        <x:f>'Итоги'!$B$8*AVERAGE($C$2:C1262)</x:f>
        <x:v>1.2886003756848965</x:v>
      </x:c>
      <x:c r="E1262" s="128" t="n">
        <x:f>'Итоги'!$B$9</x:f>
        <x:v>1.2958368660043291</x:v>
      </x:c>
      <x:c r="F1262" s="129" t="n">
        <x:f>ABS(D1262-E1262)</x:f>
        <x:v>0.007236490319432631</x:v>
      </x:c>
    </x:row>
    <x:row r="1263">
      <x:c r="A1263" s="107" t="n">
        <x:v>1262</x:v>
      </x:c>
      <x:c r="B1263" s="128" t="n">
        <x:v>1.8025299283722267</x:v>
      </x:c>
      <x:c r="C1263" s="128" t="n">
        <x:f>LN(B1263)</x:f>
        <x:v>0.5891911938517338</x:v>
      </x:c>
      <x:c r="D1263" s="128" t="n">
        <x:f>'Итоги'!$B$8*AVERAGE($C$2:C1263)</x:f>
        <x:v>1.2885130397197766</x:v>
      </x:c>
      <x:c r="E1263" s="128" t="n">
        <x:f>'Итоги'!$B$9</x:f>
        <x:v>1.2958368660043291</x:v>
      </x:c>
      <x:c r="F1263" s="129" t="n">
        <x:f>ABS(D1263-E1263)</x:f>
        <x:v>0.007323826284552526</x:v>
      </x:c>
    </x:row>
    <x:row r="1264">
      <x:c r="A1264" s="107" t="n">
        <x:v>1263</x:v>
      </x:c>
      <x:c r="B1264" s="128" t="n">
        <x:v>1.6478733378752723</x:v>
      </x:c>
      <x:c r="C1264" s="128" t="n">
        <x:f>LN(B1264)</x:f>
        <x:v>0.49948557044815295</x:v>
      </x:c>
      <x:c r="D1264" s="128" t="n">
        <x:f>'Итоги'!$B$8*AVERAGE($C$2:C1264)</x:f>
        <x:v>1.288283790393709</x:v>
      </x:c>
      <x:c r="E1264" s="128" t="n">
        <x:f>'Итоги'!$B$9</x:f>
        <x:v>1.2958368660043291</x:v>
      </x:c>
      <x:c r="F1264" s="129" t="n">
        <x:f>ABS(D1264-E1264)</x:f>
        <x:v>0.00755307561062013</x:v>
      </x:c>
    </x:row>
    <x:row r="1265">
      <x:c r="A1265" s="107" t="n">
        <x:v>1264</x:v>
      </x:c>
      <x:c r="B1265" s="128" t="n">
        <x:v>2.897290997425282</x:v>
      </x:c>
      <x:c r="C1265" s="128" t="n">
        <x:f>LN(B1265)</x:f>
        <x:v>1.0637761615939885</x:v>
      </x:c>
      <x:c r="D1265" s="128" t="n">
        <x:f>'Итоги'!$B$8*AVERAGE($C$2:C1265)</x:f>
        <x:v>1.2889477686633246</x:v>
      </x:c>
      <x:c r="E1265" s="128" t="n">
        <x:f>'Итоги'!$B$9</x:f>
        <x:v>1.2958368660043291</x:v>
      </x:c>
      <x:c r="F1265" s="129" t="n">
        <x:f>ABS(D1265-E1265)</x:f>
        <x:v>0.006889097341004513</x:v>
      </x:c>
    </x:row>
    <x:row r="1266">
      <x:c r="A1266" s="107" t="n">
        <x:v>1265</x:v>
      </x:c>
      <x:c r="B1266" s="128" t="n">
        <x:v>2.1537219169951856</x:v>
      </x:c>
      <x:c r="C1266" s="128" t="n">
        <x:f>LN(B1266)</x:f>
        <x:v>0.7671974696549392</x:v>
      </x:c>
      <x:c r="D1266" s="128" t="n">
        <x:f>'Итоги'!$B$8*AVERAGE($C$2:C1266)</x:f>
        <x:v>1.2891417980472348</x:v>
      </x:c>
      <x:c r="E1266" s="128" t="n">
        <x:f>'Итоги'!$B$9</x:f>
        <x:v>1.2958368660043291</x:v>
      </x:c>
      <x:c r="F1266" s="129" t="n">
        <x:f>ABS(D1266-E1266)</x:f>
        <x:v>0.006695067957094292</x:v>
      </x:c>
    </x:row>
    <x:row r="1267">
      <x:c r="A1267" s="107" t="n">
        <x:v>1266</x:v>
      </x:c>
      <x:c r="B1267" s="128" t="n">
        <x:v>2.6123819308894505</x:v>
      </x:c>
      <x:c r="C1267" s="128" t="n">
        <x:f>LN(B1267)</x:f>
        <x:v>0.9602624223517399</x:v>
      </x:c>
      <x:c r="D1267" s="128" t="n">
        <x:f>'Итоги'!$B$8*AVERAGE($C$2:C1267)</x:f>
        <x:v>1.2896405208329034</x:v>
      </x:c>
      <x:c r="E1267" s="128" t="n">
        <x:f>'Итоги'!$B$9</x:f>
        <x:v>1.2958368660043291</x:v>
      </x:c>
      <x:c r="F1267" s="129" t="n">
        <x:f>ABS(D1267-E1267)</x:f>
        <x:v>0.0061963451714257545</x:v>
      </x:c>
    </x:row>
    <x:row r="1268">
      <x:c r="A1268" s="107" t="n">
        <x:v>1267</x:v>
      </x:c>
      <x:c r="B1268" s="128" t="n">
        <x:v>1.3406823873170377</x:v>
      </x:c>
      <x:c r="C1268" s="128" t="n">
        <x:f>LN(B1268)</x:f>
        <x:v>0.2931787286084085</x:v>
      </x:c>
      <x:c r="D1268" s="128" t="n">
        <x:f>'Итоги'!$B$8*AVERAGE($C$2:C1268)</x:f>
        <x:v>1.289085443434627</x:v>
      </x:c>
      <x:c r="E1268" s="128" t="n">
        <x:f>'Итоги'!$B$9</x:f>
        <x:v>1.2958368660043291</x:v>
      </x:c>
      <x:c r="F1268" s="129" t="n">
        <x:f>ABS(D1268-E1268)</x:f>
        <x:v>0.00675142256970207</x:v>
      </x:c>
    </x:row>
    <x:row r="1269">
      <x:c r="A1269" s="107" t="n">
        <x:v>1268</x:v>
      </x:c>
      <x:c r="B1269" s="128" t="n">
        <x:v>2.957268287800878</x:v>
      </x:c>
      <x:c r="C1269" s="128" t="n">
        <x:f>LN(B1269)</x:f>
        <x:v>1.0842659664810181</x:v>
      </x:c>
      <x:c r="D1269" s="128" t="n">
        <x:f>'Итоги'!$B$8*AVERAGE($C$2:C1269)</x:f>
        <x:v>1.2897790132213205</x:v>
      </x:c>
      <x:c r="E1269" s="128" t="n">
        <x:f>'Итоги'!$B$9</x:f>
        <x:v>1.2958368660043291</x:v>
      </x:c>
      <x:c r="F1269" s="129" t="n">
        <x:f>ABS(D1269-E1269)</x:f>
        <x:v>0.006057852783008633</x:v>
      </x:c>
    </x:row>
    <x:row r="1270">
      <x:c r="A1270" s="107" t="n">
        <x:v>1269</x:v>
      </x:c>
      <x:c r="B1270" s="128" t="n">
        <x:v>1.9972790937526304</x:v>
      </x:c>
      <x:c r="C1270" s="128" t="n">
        <x:f>LN(B1270)</x:f>
        <x:v>0.6917858011797285</x:v>
      </x:c>
      <x:c r="D1270" s="128" t="n">
        <x:f>'Итоги'!$B$8*AVERAGE($C$2:C1270)</x:f>
        <x:v>1.289852923851059</x:v>
      </x:c>
      <x:c r="E1270" s="128" t="n">
        <x:f>'Итоги'!$B$9</x:f>
        <x:v>1.2958368660043291</x:v>
      </x:c>
      <x:c r="F1270" s="129" t="n">
        <x:f>ABS(D1270-E1270)</x:f>
        <x:v>0.005983942153270139</x:v>
      </x:c>
    </x:row>
    <x:row r="1271">
      <x:c r="A1271" s="107" t="n">
        <x:v>1270</x:v>
      </x:c>
      <x:c r="B1271" s="128" t="n">
        <x:v>1.9873441525412916</x:v>
      </x:c>
      <x:c r="C1271" s="128" t="n">
        <x:f>LN(B1271)</x:f>
        <x:v>0.6867991506561236</x:v>
      </x:c>
      <x:c r="D1271" s="128" t="n">
        <x:f>'Итоги'!$B$8*AVERAGE($C$2:C1271)</x:f>
        <x:v>1.2899188650931546</x:v>
      </x:c>
      <x:c r="E1271" s="128" t="n">
        <x:f>'Итоги'!$B$9</x:f>
        <x:v>1.2958368660043291</x:v>
      </x:c>
      <x:c r="F1271" s="129" t="n">
        <x:f>ABS(D1271-E1271)</x:f>
        <x:v>0.005918000911174559</x:v>
      </x:c>
    </x:row>
    <x:row r="1272">
      <x:c r="A1272" s="107" t="n">
        <x:v>1271</x:v>
      </x:c>
      <x:c r="B1272" s="128" t="n">
        <x:v>2.9417694570914756</x:v>
      </x:c>
      <x:c r="C1272" s="128" t="n">
        <x:f>LN(B1272)</x:f>
        <x:v>1.079011256461376</x:v>
      </x:c>
      <x:c r="D1272" s="128" t="n">
        <x:f>'Итоги'!$B$8*AVERAGE($C$2:C1272)</x:f>
        <x:v>1.290601873470676</x:v>
      </x:c>
      <x:c r="E1272" s="128" t="n">
        <x:f>'Итоги'!$B$9</x:f>
        <x:v>1.2958368660043291</x:v>
      </x:c>
      <x:c r="F1272" s="129" t="n">
        <x:f>ABS(D1272-E1272)</x:f>
        <x:v>0.005234992533653227</x:v>
      </x:c>
    </x:row>
    <x:row r="1273">
      <x:c r="A1273" s="107" t="n">
        <x:v>1272</x:v>
      </x:c>
      <x:c r="B1273" s="128" t="n">
        <x:v>1.76146472243429</x:v>
      </x:c>
      <x:c r="C1273" s="128" t="n">
        <x:f>LN(B1273)</x:f>
        <x:v>0.5661456915956545</x:v>
      </x:c>
      <x:c r="D1273" s="128" t="n">
        <x:f>'Итоги'!$B$8*AVERAGE($C$2:C1273)</x:f>
        <x:v>1.2904774155380663</x:v>
      </x:c>
      <x:c r="E1273" s="128" t="n">
        <x:f>'Итоги'!$B$9</x:f>
        <x:v>1.2958368660043291</x:v>
      </x:c>
      <x:c r="F1273" s="129" t="n">
        <x:f>ABS(D1273-E1273)</x:f>
        <x:v>0.0053594504662628495</x:v>
      </x:c>
    </x:row>
    <x:row r="1274">
      <x:c r="A1274" s="107" t="n">
        <x:v>1273</x:v>
      </x:c>
      <x:c r="B1274" s="128" t="n">
        <x:v>1.795050049109986</x:v>
      </x:c>
      <x:c r="C1274" s="128" t="n">
        <x:f>LN(B1274)</x:f>
        <x:v>0.5850329040640592</x:v>
      </x:c>
      <x:c r="D1274" s="128" t="n">
        <x:f>'Итоги'!$B$8*AVERAGE($C$2:C1274)</x:f>
        <x:v>1.290382826686998</x:v>
      </x:c>
      <x:c r="E1274" s="128" t="n">
        <x:f>'Итоги'!$B$9</x:f>
        <x:v>1.2958368660043291</x:v>
      </x:c>
      <x:c r="F1274" s="129" t="n">
        <x:f>ABS(D1274-E1274)</x:f>
        <x:v>0.0054540393173310164</x:v>
      </x:c>
    </x:row>
    <x:row r="1275">
      <x:c r="A1275" s="107" t="n">
        <x:v>1274</x:v>
      </x:c>
      <x:c r="B1275" s="128" t="n">
        <x:v>2.1695054056098733</x:v>
      </x:c>
      <x:c r="C1275" s="128" t="n">
        <x:f>LN(B1275)</x:f>
        <x:v>0.7744992178917323</x:v>
      </x:c>
      <x:c r="D1275" s="128" t="n">
        <x:f>'Итоги'!$B$8*AVERAGE($C$2:C1275)</x:f>
        <x:v>1.2905858216705903</x:v>
      </x:c>
      <x:c r="E1275" s="128" t="n">
        <x:f>'Итоги'!$B$9</x:f>
        <x:v>1.2958368660043291</x:v>
      </x:c>
      <x:c r="F1275" s="129" t="n">
        <x:f>ABS(D1275-E1275)</x:f>
        <x:v>0.005251044333738797</x:v>
      </x:c>
    </x:row>
    <x:row r="1276">
      <x:c r="A1276" s="107" t="n">
        <x:v>1275</x:v>
      </x:c>
      <x:c r="B1276" s="128" t="n">
        <x:v>1.2561052210955739</x:v>
      </x:c>
      <x:c r="C1276" s="128" t="n">
        <x:f>LN(B1276)</x:f>
        <x:v>0.2280158392947204</x:v>
      </x:c>
      <x:c r="D1276" s="128" t="n">
        <x:f>'Итоги'!$B$8*AVERAGE($C$2:C1276)</x:f>
        <x:v>1.289931269401507</x:v>
      </x:c>
      <x:c r="E1276" s="128" t="n">
        <x:f>'Итоги'!$B$9</x:f>
        <x:v>1.2958368660043291</x:v>
      </x:c>
      <x:c r="F1276" s="129" t="n">
        <x:f>ABS(D1276-E1276)</x:f>
        <x:v>0.005905596602822083</x:v>
      </x:c>
    </x:row>
    <x:row r="1277">
      <x:c r="A1277" s="107" t="n">
        <x:v>1276</x:v>
      </x:c>
      <x:c r="B1277" s="128" t="n">
        <x:v>1.6421712528237098</x:v>
      </x:c>
      <x:c r="C1277" s="128" t="n">
        <x:f>LN(B1277)</x:f>
        <x:v>0.4960193008559986</x:v>
      </x:c>
      <x:c r="D1277" s="128" t="n">
        <x:f>'Итоги'!$B$8*AVERAGE($C$2:C1277)</x:f>
        <x:v>1.2896978111979887</x:v>
      </x:c>
      <x:c r="E1277" s="128" t="n">
        <x:f>'Итоги'!$B$9</x:f>
        <x:v>1.2958368660043291</x:v>
      </x:c>
      <x:c r="F1277" s="129" t="n">
        <x:f>ABS(D1277-E1277)</x:f>
        <x:v>0.0061390548063404715</x:v>
      </x:c>
    </x:row>
    <x:row r="1278">
      <x:c r="A1278" s="107" t="n">
        <x:v>1277</x:v>
      </x:c>
      <x:c r="B1278" s="128" t="n">
        <x:v>1.386416644890261</x:v>
      </x:c>
      <x:c r="C1278" s="128" t="n">
        <x:f>LN(B1278)</x:f>
        <x:v>0.32672246518263487</x:v>
      </x:c>
      <x:c r="D1278" s="128" t="n">
        <x:f>'Итоги'!$B$8*AVERAGE($C$2:C1278)</x:f>
        <x:v>1.2891995708841024</x:v>
      </x:c>
      <x:c r="E1278" s="128" t="n">
        <x:f>'Итоги'!$B$9</x:f>
        <x:v>1.2958368660043291</x:v>
      </x:c>
      <x:c r="F1278" s="129" t="n">
        <x:f>ABS(D1278-E1278)</x:f>
        <x:v>0.006637295120226705</x:v>
      </x:c>
    </x:row>
    <x:row r="1279">
      <x:c r="A1279" s="107" t="n">
        <x:v>1278</x:v>
      </x:c>
      <x:c r="B1279" s="128" t="n">
        <x:v>1.2065669582140992</x:v>
      </x:c>
      <x:c r="C1279" s="128" t="n">
        <x:f>LN(B1279)</x:f>
        <x:v>0.18777910244113244</x:v>
      </x:c>
      <x:c r="D1279" s="128" t="n">
        <x:f>'Итоги'!$B$8*AVERAGE($C$2:C1279)</x:f>
        <x:v>1.2884846715366831</x:v>
      </x:c>
      <x:c r="E1279" s="128" t="n">
        <x:f>'Итоги'!$B$9</x:f>
        <x:v>1.2958368660043291</x:v>
      </x:c>
      <x:c r="F1279" s="129" t="n">
        <x:f>ABS(D1279-E1279)</x:f>
        <x:v>0.007352194467646012</x:v>
      </x:c>
    </x:row>
    <x:row r="1280">
      <x:c r="A1280" s="107" t="n">
        <x:v>1279</x:v>
      </x:c>
      <x:c r="B1280" s="128" t="n">
        <x:v>2.73228921266204</x:v>
      </x:c>
      <x:c r="C1280" s="128" t="n">
        <x:f>LN(B1280)</x:f>
        <x:v>1.0051397972557354</x:v>
      </x:c>
      <x:c r="D1280" s="128" t="n">
        <x:f>'Итоги'!$B$8*AVERAGE($C$2:C1280)</x:f>
        <x:v>1.289049014713364</x:v>
      </x:c>
      <x:c r="E1280" s="128" t="n">
        <x:f>'Итоги'!$B$9</x:f>
        <x:v>1.2958368660043291</x:v>
      </x:c>
      <x:c r="F1280" s="129" t="n">
        <x:f>ABS(D1280-E1280)</x:f>
        <x:v>0.006787851290965152</x:v>
      </x:c>
    </x:row>
    <x:row r="1281">
      <x:c r="A1281" s="107" t="n">
        <x:v>1280</x:v>
      </x:c>
      <x:c r="B1281" s="128" t="n">
        <x:v>2.178662332254952</x:v>
      </x:c>
      <x:c r="C1281" s="128" t="n">
        <x:f>LN(B1281)</x:f>
        <x:v>0.7787110794085519</x:v>
      </x:c>
      <x:c r="D1281" s="128" t="n">
        <x:f>'Итоги'!$B$8*AVERAGE($C$2:C1281)</x:f>
        <x:v>1.2892586812321951</x:v>
      </x:c>
      <x:c r="E1281" s="128" t="n">
        <x:f>'Итоги'!$B$9</x:f>
        <x:v>1.2958368660043291</x:v>
      </x:c>
      <x:c r="F1281" s="129" t="n">
        <x:f>ABS(D1281-E1281)</x:f>
        <x:v>0.00657818477213401</x:v>
      </x:c>
    </x:row>
    <x:row r="1282">
      <x:c r="A1282" s="107" t="n">
        <x:v>1281</x:v>
      </x:c>
      <x:c r="B1282" s="128" t="n">
        <x:v>1.7173455830558224</x:v>
      </x:c>
      <x:c r="C1282" s="128" t="n">
        <x:f>LN(B1282)</x:f>
        <x:v>0.540779833099083</x:v>
      </x:c>
      <x:c r="D1282" s="128" t="n">
        <x:f>'Итоги'!$B$8*AVERAGE($C$2:C1282)</x:f>
        <x:v>1.289096543047157</x:v>
      </x:c>
      <x:c r="E1282" s="128" t="n">
        <x:f>'Итоги'!$B$9</x:f>
        <x:v>1.2958368660043291</x:v>
      </x:c>
      <x:c r="F1282" s="129" t="n">
        <x:f>ABS(D1282-E1282)</x:f>
        <x:v>0.006740322957172085</x:v>
      </x:c>
    </x:row>
    <x:row r="1283">
      <x:c r="A1283" s="107" t="n">
        <x:v>1282</x:v>
      </x:c>
      <x:c r="B1283" s="128" t="n">
        <x:v>1.8173387547334257</x:v>
      </x:c>
      <x:c r="C1283" s="128" t="n">
        <x:f>LN(B1283)</x:f>
        <x:v>0.59737320832392</x:v>
      </x:c>
      <x:c r="D1283" s="128" t="n">
        <x:f>'Итоги'!$B$8*AVERAGE($C$2:C1283)</x:f>
        <x:v>1.2890229470047239</x:v>
      </x:c>
      <x:c r="E1283" s="128" t="n">
        <x:f>'Итоги'!$B$9</x:f>
        <x:v>1.2958368660043291</x:v>
      </x:c>
      <x:c r="F1283" s="129" t="n">
        <x:f>ABS(D1283-E1283)</x:f>
        <x:v>0.006813918999605262</x:v>
      </x:c>
    </x:row>
    <x:row r="1284">
      <x:c r="A1284" s="107" t="n">
        <x:v>1283</x:v>
      </x:c>
      <x:c r="B1284" s="128" t="n">
        <x:v>1.8630380073747093</x:v>
      </x:c>
      <x:c r="C1284" s="128" t="n">
        <x:f>LN(B1284)</x:f>
        <x:v>0.6222084925786662</x:v>
      </x:c>
      <x:c r="D1284" s="128" t="n">
        <x:f>'Итоги'!$B$8*AVERAGE($C$2:C1284)</x:f>
        <x:v>1.2889881800820056</x:v>
      </x:c>
      <x:c r="E1284" s="128" t="n">
        <x:f>'Итоги'!$B$9</x:f>
        <x:v>1.2958368660043291</x:v>
      </x:c>
      <x:c r="F1284" s="129" t="n">
        <x:f>ABS(D1284-E1284)</x:f>
        <x:v>0.006848685922323572</x:v>
      </x:c>
    </x:row>
    <x:row r="1285">
      <x:c r="A1285" s="107" t="n">
        <x:v>1284</x:v>
      </x:c>
      <x:c r="B1285" s="128" t="n">
        <x:v>2.266298364289419</x:v>
      </x:c>
      <x:c r="C1285" s="128" t="n">
        <x:f>LN(B1285)</x:f>
        <x:v>0.818147823968712</x:v>
      </x:c>
      <x:c r="D1285" s="128" t="n">
        <x:f>'Итоги'!$B$8*AVERAGE($C$2:C1285)</x:f>
        <x:v>1.289258668764136</x:v>
      </x:c>
      <x:c r="E1285" s="128" t="n">
        <x:f>'Итоги'!$B$9</x:f>
        <x:v>1.2958368660043291</x:v>
      </x:c>
      <x:c r="F1285" s="129" t="n">
        <x:f>ABS(D1285-E1285)</x:f>
        <x:v>0.00657819724019304</x:v>
      </x:c>
    </x:row>
    <x:row r="1286">
      <x:c r="A1286" s="107" t="n">
        <x:v>1285</x:v>
      </x:c>
      <x:c r="B1286" s="128" t="n">
        <x:v>2.853538782977987</x:v>
      </x:c>
      <x:c r="C1286" s="128" t="n">
        <x:f>LN(B1286)</x:f>
        <x:v>1.0485599022735577</x:v>
      </x:c>
      <x:c r="D1286" s="128" t="n">
        <x:f>'Итоги'!$B$8*AVERAGE($C$2:C1286)</x:f>
        <x:v>1.2898873544729166</x:v>
      </x:c>
      <x:c r="E1286" s="128" t="n">
        <x:f>'Итоги'!$B$9</x:f>
        <x:v>1.2958368660043291</x:v>
      </x:c>
      <x:c r="F1286" s="129" t="n">
        <x:f>ABS(D1286-E1286)</x:f>
        <x:v>0.0059495115314125435</x:v>
      </x:c>
    </x:row>
    <x:row r="1287">
      <x:c r="A1287" s="107" t="n">
        <x:v>1286</x:v>
      </x:c>
      <x:c r="B1287" s="128" t="n">
        <x:v>2.8655592393139653</x:v>
      </x:c>
      <x:c r="C1287" s="128" t="n">
        <x:f>LN(B1287)</x:f>
        <x:v>1.0527635280864787</x:v>
      </x:c>
      <x:c r="D1287" s="128" t="n">
        <x:f>'Итоги'!$B$8*AVERAGE($C$2:C1287)</x:f>
        <x:v>1.29052159996413</x:v>
      </x:c>
      <x:c r="E1287" s="128" t="n">
        <x:f>'Итоги'!$B$9</x:f>
        <x:v>1.2958368660043291</x:v>
      </x:c>
      <x:c r="F1287" s="129" t="n">
        <x:f>ABS(D1287-E1287)</x:f>
        <x:v>0.0053152660401991625</x:v>
      </x:c>
    </x:row>
    <x:row r="1288">
      <x:c r="A1288" s="107" t="n">
        <x:v>1287</x:v>
      </x:c>
      <x:c r="B1288" s="128" t="n">
        <x:v>1.7829839590613268</x:v>
      </x:c>
      <x:c r="C1288" s="128" t="n">
        <x:f>LN(B1288)</x:f>
        <x:v>0.578288342240044</x:v>
      </x:c>
      <x:c r="D1288" s="128" t="n">
        <x:f>'Итоги'!$B$8*AVERAGE($C$2:C1288)</x:f>
        <x:v>1.2904175246607235</x:v>
      </x:c>
      <x:c r="E1288" s="128" t="n">
        <x:f>'Итоги'!$B$9</x:f>
        <x:v>1.2958368660043291</x:v>
      </x:c>
      <x:c r="F1288" s="129" t="n">
        <x:f>ABS(D1288-E1288)</x:f>
        <x:v>0.005419341343605666</x:v>
      </x:c>
    </x:row>
    <x:row r="1289">
      <x:c r="A1289" s="107" t="n">
        <x:v>1288</x:v>
      </x:c>
      <x:c r="B1289" s="128" t="n">
        <x:v>1.6585249191955391</x:v>
      </x:c>
      <x:c r="C1289" s="128" t="n">
        <x:f>LN(B1289)</x:f>
        <x:v>0.5059286044326058</x:v>
      </x:c>
      <x:c r="D1289" s="128" t="n">
        <x:f>'Итоги'!$B$8*AVERAGE($C$2:C1289)</x:f>
        <x:v>1.2902012511236152</x:v>
      </x:c>
      <x:c r="E1289" s="128" t="n">
        <x:f>'Итоги'!$B$9</x:f>
        <x:v>1.2958368660043291</x:v>
      </x:c>
      <x:c r="F1289" s="129" t="n">
        <x:f>ABS(D1289-E1289)</x:f>
        <x:v>0.005635614880713957</x:v>
      </x:c>
    </x:row>
    <x:row r="1290">
      <x:c r="A1290" s="107" t="n">
        <x:v>1289</x:v>
      </x:c>
      <x:c r="B1290" s="128" t="n">
        <x:v>1.90209300037051</x:v>
      </x:c>
      <x:c r="C1290" s="128" t="n">
        <x:f>LN(B1290)</x:f>
        <x:v>0.6429548590216774</x:v>
      </x:c>
      <x:c r="D1290" s="128" t="n">
        <x:f>'Итоги'!$B$8*AVERAGE($C$2:C1290)</x:f>
        <x:v>1.2901979217728934</x:v>
      </x:c>
      <x:c r="E1290" s="128" t="n">
        <x:f>'Итоги'!$B$9</x:f>
        <x:v>1.2958368660043291</x:v>
      </x:c>
      <x:c r="F1290" s="129" t="n">
        <x:f>ABS(D1290-E1290)</x:f>
        <x:v>0.0056389442314357385</x:v>
      </x:c>
    </x:row>
    <x:row r="1291">
      <x:c r="A1291" s="107" t="n">
        <x:v>1290</x:v>
      </x:c>
      <x:c r="B1291" s="128" t="n">
        <x:v>2.135868460856985</x:v>
      </x:c>
      <x:c r="C1291" s="128" t="n">
        <x:f>LN(B1291)</x:f>
        <x:v>0.7588733372059059</x:v>
      </x:c>
      <x:c r="D1291" s="128" t="n">
        <x:f>'Итоги'!$B$8*AVERAGE($C$2:C1291)</x:f>
        <x:v>1.290374316154784</x:v>
      </x:c>
      <x:c r="E1291" s="128" t="n">
        <x:f>'Итоги'!$B$9</x:f>
        <x:v>1.2958368660043291</x:v>
      </x:c>
      <x:c r="F1291" s="129" t="n">
        <x:f>ABS(D1291-E1291)</x:f>
        <x:v>0.005462549849545084</x:v>
      </x:c>
    </x:row>
    <x:row r="1292">
      <x:c r="A1292" s="107" t="n">
        <x:v>1291</x:v>
      </x:c>
      <x:c r="B1292" s="128" t="n">
        <x:v>1.9236358228994965</x:v>
      </x:c>
      <x:c r="C1292" s="128" t="n">
        <x:f>LN(B1292)</x:f>
        <x:v>0.6542170530902927</x:v>
      </x:c>
      <x:c r="D1292" s="128" t="n">
        <x:f>'Итоги'!$B$8*AVERAGE($C$2:C1292)</x:f>
        <x:v>1.2903883051478326</x:v>
      </x:c>
      <x:c r="E1292" s="128" t="n">
        <x:f>'Итоги'!$B$9</x:f>
        <x:v>1.2958368660043291</x:v>
      </x:c>
      <x:c r="F1292" s="129" t="n">
        <x:f>ABS(D1292-E1292)</x:f>
        <x:v>0.005448560856496476</x:v>
      </x:c>
    </x:row>
    <x:row r="1293">
      <x:c r="A1293" s="107" t="n">
        <x:v>1292</x:v>
      </x:c>
      <x:c r="B1293" s="128" t="n">
        <x:v>2.317506819633402</x:v>
      </x:c>
      <x:c r="C1293" s="128" t="n">
        <x:f>LN(B1293)</x:f>
        <x:v>0.8404919611216781</x:v>
      </x:c>
      <x:c r="D1293" s="128" t="n">
        <x:f>'Итоги'!$B$8*AVERAGE($C$2:C1293)</x:f>
        <x:v>1.290690623736916</x:v>
      </x:c>
      <x:c r="E1293" s="128" t="n">
        <x:f>'Итоги'!$B$9</x:f>
        <x:v>1.2958368660043291</x:v>
      </x:c>
      <x:c r="F1293" s="129" t="n">
        <x:f>ABS(D1293-E1293)</x:f>
        <x:v>0.005146242267413115</x:v>
      </x:c>
    </x:row>
    <x:row r="1294">
      <x:c r="A1294" s="107" t="n">
        <x:v>1293</x:v>
      </x:c>
      <x:c r="B1294" s="128" t="n">
        <x:v>2.108798046759527</x:v>
      </x:c>
      <x:c r="C1294" s="128" t="n">
        <x:f>LN(B1294)</x:f>
        <x:v>0.7461181390924692</x:v>
      </x:c>
      <x:c r="D1294" s="128" t="n">
        <x:f>'Итоги'!$B$8*AVERAGE($C$2:C1294)</x:f>
        <x:v>1.2908464981796444</x:v>
      </x:c>
      <x:c r="E1294" s="128" t="n">
        <x:f>'Итоги'!$B$9</x:f>
        <x:v>1.2958368660043291</x:v>
      </x:c>
      <x:c r="F1294" s="129" t="n">
        <x:f>ABS(D1294-E1294)</x:f>
        <x:v>0.0049903678246847605</x:v>
      </x:c>
    </x:row>
    <x:row r="1295">
      <x:c r="A1295" s="107" t="n">
        <x:v>1294</x:v>
      </x:c>
      <x:c r="B1295" s="128" t="n">
        <x:v>1.6414310933881522</x:v>
      </x:c>
      <x:c r="C1295" s="128" t="n">
        <x:f>LN(B1295)</x:f>
        <x:v>0.49556847924603886</x:v>
      </x:c>
      <x:c r="D1295" s="128" t="n">
        <x:f>'Итоги'!$B$8*AVERAGE($C$2:C1295)</x:f>
        <x:v>1.2906148833885411</x:v>
      </x:c>
      <x:c r="E1295" s="128" t="n">
        <x:f>'Итоги'!$B$9</x:f>
        <x:v>1.2958368660043291</x:v>
      </x:c>
      <x:c r="F1295" s="129" t="n">
        <x:f>ABS(D1295-E1295)</x:f>
        <x:v>0.00522198261578799</x:v>
      </x:c>
    </x:row>
    <x:row r="1296">
      <x:c r="A1296" s="107" t="n">
        <x:v>1295</x:v>
      </x:c>
      <x:c r="B1296" s="128" t="n">
        <x:v>1.6914616115252652</x:v>
      </x:c>
      <x:c r="C1296" s="128" t="n">
        <x:f>LN(B1296)</x:f>
        <x:v>0.525593014050714</x:v>
      </x:c>
      <x:c r="D1296" s="128" t="n">
        <x:f>'Итоги'!$B$8*AVERAGE($C$2:C1296)</x:f>
        <x:v>1.2904299962416015</x:v>
      </x:c>
      <x:c r="E1296" s="128" t="n">
        <x:f>'Итоги'!$B$9</x:f>
        <x:v>1.2958368660043291</x:v>
      </x:c>
      <x:c r="F1296" s="129" t="n">
        <x:f>ABS(D1296-E1296)</x:f>
        <x:v>0.00540686976272764</x:v>
      </x:c>
    </x:row>
    <x:row r="1297">
      <x:c r="A1297" s="107" t="n">
        <x:v>1296</x:v>
      </x:c>
      <x:c r="B1297" s="128" t="n">
        <x:v>1.7571855751194618</x:v>
      </x:c>
      <x:c r="C1297" s="128" t="n">
        <x:f>LN(B1297)</x:f>
        <x:v>0.563713424071146</x:v>
      </x:c>
      <x:c r="D1297" s="128" t="n">
        <x:f>'Итоги'!$B$8*AVERAGE($C$2:C1297)</x:f>
        <x:v>1.290304222207574</x:v>
      </x:c>
      <x:c r="E1297" s="128" t="n">
        <x:f>'Итоги'!$B$9</x:f>
        <x:v>1.2958368660043291</x:v>
      </x:c>
      <x:c r="F1297" s="129" t="n">
        <x:f>ABS(D1297-E1297)</x:f>
        <x:v>0.00553264379675511</x:v>
      </x:c>
    </x:row>
    <x:row r="1298">
      <x:c r="A1298" s="107" t="n">
        <x:v>1297</x:v>
      </x:c>
      <x:c r="B1298" s="128" t="n">
        <x:v>1.1892795364987774</x:v>
      </x:c>
      <x:c r="C1298" s="128" t="n">
        <x:f>LN(B1298)</x:f>
        <x:v>0.17334769226214</x:v>
      </x:c>
      <x:c r="D1298" s="128" t="n">
        <x:f>'Итоги'!$B$8*AVERAGE($C$2:C1298)</x:f>
        <x:v>1.289576690335806</x:v>
      </x:c>
      <x:c r="E1298" s="128" t="n">
        <x:f>'Итоги'!$B$9</x:f>
        <x:v>1.2958368660043291</x:v>
      </x:c>
      <x:c r="F1298" s="129" t="n">
        <x:f>ABS(D1298-E1298)</x:f>
        <x:v>0.006260175668523216</x:v>
      </x:c>
    </x:row>
    <x:row r="1299">
      <x:c r="A1299" s="107" t="n">
        <x:v>1298</x:v>
      </x:c>
      <x:c r="B1299" s="128" t="n">
        <x:v>1.3321252648279462</x:v>
      </x:c>
      <x:c r="C1299" s="128" t="n">
        <x:f>LN(B1299)</x:f>
        <x:v>0.28677561036008664</x:v>
      </x:c>
      <x:c r="D1299" s="128" t="n">
        <x:f>'Итоги'!$B$8*AVERAGE($C$2:C1299)</x:f>
        <x:v>1.2890250528399543</x:v>
      </x:c>
      <x:c r="E1299" s="128" t="n">
        <x:f>'Итоги'!$B$9</x:f>
        <x:v>1.2958368660043291</x:v>
      </x:c>
      <x:c r="F1299" s="129" t="n">
        <x:f>ABS(D1299-E1299)</x:f>
        <x:v>0.006811813164374847</x:v>
      </x:c>
    </x:row>
    <x:row r="1300">
      <x:c r="A1300" s="107" t="n">
        <x:v>1299</x:v>
      </x:c>
      <x:c r="B1300" s="128" t="n">
        <x:v>2.4462276042907725</x:v>
      </x:c>
      <x:c r="C1300" s="128" t="n">
        <x:f>LN(B1300)</x:f>
        <x:v>0.8945470845674965</x:v>
      </x:c>
      <x:c r="D1300" s="128" t="n">
        <x:f>'Итоги'!$B$8*AVERAGE($C$2:C1300)</x:f>
        <x:v>1.2894100175176255</x:v>
      </x:c>
      <x:c r="E1300" s="128" t="n">
        <x:f>'Итоги'!$B$9</x:f>
        <x:v>1.2958368660043291</x:v>
      </x:c>
      <x:c r="F1300" s="129" t="n">
        <x:f>ABS(D1300-E1300)</x:f>
        <x:v>0.006426848486703607</x:v>
      </x:c>
    </x:row>
    <x:row r="1301">
      <x:c r="A1301" s="107" t="n">
        <x:v>1300</x:v>
      </x:c>
      <x:c r="B1301" s="128" t="n">
        <x:v>1.77819342304416</x:v>
      </x:c>
      <x:c r="C1301" s="128" t="n">
        <x:f>LN(B1301)</x:f>
        <x:v>0.5755979180388331</x:v>
      </x:c>
      <x:c r="D1301" s="128" t="n">
        <x:f>'Итоги'!$B$8*AVERAGE($C$2:C1301)</x:f>
        <x:v>1.2893036989165179</x:v>
      </x:c>
      <x:c r="E1301" s="128" t="n">
        <x:f>'Итоги'!$B$9</x:f>
        <x:v>1.2958368660043291</x:v>
      </x:c>
      <x:c r="F1301" s="129" t="n">
        <x:f>ABS(D1301-E1301)</x:f>
        <x:v>0.006533167087811265</x:v>
      </x:c>
    </x:row>
    <x:row r="1302">
      <x:c r="A1302" s="107" t="n">
        <x:v>1301</x:v>
      </x:c>
      <x:c r="B1302" s="128" t="n">
        <x:v>1.4290779451202873</x:v>
      </x:c>
      <x:c r="C1302" s="128" t="n">
        <x:f>LN(B1302)</x:f>
        <x:v>0.3570294426808288</x:v>
      </x:c>
      <x:c r="D1302" s="128" t="n">
        <x:f>'Итоги'!$B$8*AVERAGE($C$2:C1302)</x:f>
        <x:v>1.288861543026007</x:v>
      </x:c>
      <x:c r="E1302" s="128" t="n">
        <x:f>'Итоги'!$B$9</x:f>
        <x:v>1.2958368660043291</x:v>
      </x:c>
      <x:c r="F1302" s="129" t="n">
        <x:f>ABS(D1302-E1302)</x:f>
        <x:v>0.0069753229783220405</x:v>
      </x:c>
    </x:row>
    <x:row r="1303">
      <x:c r="A1303" s="107" t="n">
        <x:v>1302</x:v>
      </x:c>
      <x:c r="B1303" s="128" t="n">
        <x:v>2.1253448211497146</x:v>
      </x:c>
      <x:c r="C1303" s="128" t="n">
        <x:f>LN(B1303)</x:f>
        <x:v>0.7539340579885626</x:v>
      </x:c>
      <x:c r="D1303" s="128" t="n">
        <x:f>'Итоги'!$B$8*AVERAGE($C$2:C1303)</x:f>
        <x:v>1.2890297508393334</x:v>
      </x:c>
      <x:c r="E1303" s="128" t="n">
        <x:f>'Итоги'!$B$9</x:f>
        <x:v>1.2958368660043291</x:v>
      </x:c>
      <x:c r="F1303" s="129" t="n">
        <x:f>ABS(D1303-E1303)</x:f>
        <x:v>0.0068071151649957695</x:v>
      </x:c>
    </x:row>
    <x:row r="1304">
      <x:c r="A1304" s="107" t="n">
        <x:v>1303</x:v>
      </x:c>
      <x:c r="B1304" s="128" t="n">
        <x:v>2.5110790849468545</x:v>
      </x:c>
      <x:c r="C1304" s="128" t="n">
        <x:f>LN(B1304)</x:f>
        <x:v>0.9207125750784646</x:v>
      </x:c>
      <x:c r="D1304" s="128" t="n">
        <x:f>'Итоги'!$B$8*AVERAGE($C$2:C1304)</x:f>
        <x:v>1.2894536920513961</x:v>
      </x:c>
      <x:c r="E1304" s="128" t="n">
        <x:f>'Итоги'!$B$9</x:f>
        <x:v>1.2958368660043291</x:v>
      </x:c>
      <x:c r="F1304" s="129" t="n">
        <x:f>ABS(D1304-E1304)</x:f>
        <x:v>0.0063831739529329745</x:v>
      </x:c>
    </x:row>
    <x:row r="1305">
      <x:c r="A1305" s="107" t="n">
        <x:v>1304</x:v>
      </x:c>
      <x:c r="B1305" s="128" t="n">
        <x:v>1.5148447246907428</x:v>
      </x:c>
      <x:c r="C1305" s="128" t="n">
        <x:f>LN(B1305)</x:f>
        <x:v>0.41531294175536826</x:v>
      </x:c>
      <x:c r="D1305" s="128" t="n">
        <x:f>'Итоги'!$B$8*AVERAGE($C$2:C1305)</x:f>
        <x:v>1.2891018302350306</x:v>
      </x:c>
      <x:c r="E1305" s="128" t="n">
        <x:f>'Итоги'!$B$9</x:f>
        <x:v>1.2958368660043291</x:v>
      </x:c>
      <x:c r="F1305" s="129" t="n">
        <x:f>ABS(D1305-E1305)</x:f>
        <x:v>0.00673503576929857</x:v>
      </x:c>
    </x:row>
    <x:row r="1306">
      <x:c r="A1306" s="107" t="n">
        <x:v>1305</x:v>
      </x:c>
      <x:c r="B1306" s="128" t="n">
        <x:v>2.653579763847489</x:v>
      </x:c>
      <x:c r="C1306" s="128" t="n">
        <x:f>LN(B1306)</x:f>
        <x:v>0.9759095826974078</x:v>
      </x:c>
      <x:c r="D1306" s="128" t="n">
        <x:f>'Итоги'!$B$8*AVERAGE($C$2:C1306)</x:f>
        <x:v>1.289609659610632</x:v>
      </x:c>
      <x:c r="E1306" s="128" t="n">
        <x:f>'Итоги'!$B$9</x:f>
        <x:v>1.2958368660043291</x:v>
      </x:c>
      <x:c r="F1306" s="129" t="n">
        <x:f>ABS(D1306-E1306)</x:f>
        <x:v>0.006227206393697227</x:v>
      </x:c>
    </x:row>
    <x:row r="1307">
      <x:c r="A1307" s="107" t="n">
        <x:v>1306</x:v>
      </x:c>
      <x:c r="B1307" s="128" t="n">
        <x:v>2.8550097192500994</x:v>
      </x:c>
      <x:c r="C1307" s="128" t="n">
        <x:f>LN(B1307)</x:f>
        <x:v>1.049075247392932</x:v>
      </x:c>
      <x:c r="D1307" s="128" t="n">
        <x:f>'Итоги'!$B$8*AVERAGE($C$2:C1307)</x:f>
        <x:v>1.2902287567279178</x:v>
      </x:c>
      <x:c r="E1307" s="128" t="n">
        <x:f>'Итоги'!$B$9</x:f>
        <x:v>1.2958368660043291</x:v>
      </x:c>
      <x:c r="F1307" s="129" t="n">
        <x:f>ABS(D1307-E1307)</x:f>
        <x:v>0.0056081092764113105</x:v>
      </x:c>
    </x:row>
    <x:row r="1308">
      <x:c r="A1308" s="107" t="n">
        <x:v>1307</x:v>
      </x:c>
      <x:c r="B1308" s="128" t="n">
        <x:v>2.1947890581476814</x:v>
      </x:c>
      <x:c r="C1308" s="128" t="n">
        <x:f>LN(B1308)</x:f>
        <x:v>0.7860859408374595</x:v>
      </x:c>
      <x:c r="D1308" s="128" t="n">
        <x:f>'Итоги'!$B$8*AVERAGE($C$2:C1308)</x:f>
        <x:v>1.2904444744975787</x:v>
      </x:c>
      <x:c r="E1308" s="128" t="n">
        <x:f>'Итоги'!$B$9</x:f>
        <x:v>1.2958368660043291</x:v>
      </x:c>
      <x:c r="F1308" s="129" t="n">
        <x:f>ABS(D1308-E1308)</x:f>
        <x:v>0.005392391506750416</x:v>
      </x:c>
    </x:row>
    <x:row r="1309">
      <x:c r="A1309" s="107" t="n">
        <x:v>1308</x:v>
      </x:c>
      <x:c r="B1309" s="128" t="n">
        <x:v>2.3378953179831594</x:v>
      </x:c>
      <x:c r="C1309" s="128" t="n">
        <x:f>LN(B1309)</x:f>
        <x:v>0.8492510878743267</x:v>
      </x:c>
      <x:c r="D1309" s="128" t="n">
        <x:f>'Итоги'!$B$8*AVERAGE($C$2:C1309)</x:f>
        <x:v>1.2907564452171898</x:v>
      </x:c>
      <x:c r="E1309" s="128" t="n">
        <x:f>'Итоги'!$B$9</x:f>
        <x:v>1.2958368660043291</x:v>
      </x:c>
      <x:c r="F1309" s="129" t="n">
        <x:f>ABS(D1309-E1309)</x:f>
        <x:v>0.005080420787139328</x:v>
      </x:c>
    </x:row>
    <x:row r="1310">
      <x:c r="A1310" s="107" t="n">
        <x:v>1309</x:v>
      </x:c>
      <x:c r="B1310" s="128" t="n">
        <x:v>1.1051519806461108</x:v>
      </x:c>
      <x:c r="C1310" s="128" t="n">
        <x:f>LN(B1310)</x:f>
        <x:v>0.09998286455834278</x:v>
      </x:c>
      <x:c r="D1310" s="128" t="n">
        <x:f>'Итоги'!$B$8*AVERAGE($C$2:C1310)</x:f>
        <x:v>1.289923144440948</x:v>
      </x:c>
      <x:c r="E1310" s="128" t="n">
        <x:f>'Итоги'!$B$9</x:f>
        <x:v>1.2958368660043291</x:v>
      </x:c>
      <x:c r="F1310" s="129" t="n">
        <x:f>ABS(D1310-E1310)</x:f>
        <x:v>0.0059137215633811024</x:v>
      </x:c>
    </x:row>
    <x:row r="1311">
      <x:c r="A1311" s="107" t="n">
        <x:v>1310</x:v>
      </x:c>
      <x:c r="B1311" s="128" t="n">
        <x:v>2.891039782043813</x:v>
      </x:c>
      <x:c r="C1311" s="128" t="n">
        <x:f>LN(B1311)</x:f>
        <x:v>1.061616223591145</x:v>
      </x:c>
      <x:c r="D1311" s="128" t="n">
        <x:f>'Итоги'!$B$8*AVERAGE($C$2:C1311)</x:f>
        <x:v>1.2905592584125063</x:v>
      </x:c>
      <x:c r="E1311" s="128" t="n">
        <x:f>'Итоги'!$B$9</x:f>
        <x:v>1.2958368660043291</x:v>
      </x:c>
      <x:c r="F1311" s="129" t="n">
        <x:f>ABS(D1311-E1311)</x:f>
        <x:v>0.0052776075918228305</x:v>
      </x:c>
    </x:row>
    <x:row r="1312">
      <x:c r="A1312" s="107" t="n">
        <x:v>1311</x:v>
      </x:c>
      <x:c r="B1312" s="128" t="n">
        <x:v>1.7849694685298876</x:v>
      </x:c>
      <x:c r="C1312" s="128" t="n">
        <x:f>LN(B1312)</x:f>
        <x:v>0.5794013106202704</x:v>
      </x:c>
      <x:c r="D1312" s="128" t="n">
        <x:f>'Итоги'!$B$8*AVERAGE($C$2:C1312)</x:f>
        <x:v>1.290458757545098</x:v>
      </x:c>
      <x:c r="E1312" s="128" t="n">
        <x:f>'Итоги'!$B$9</x:f>
        <x:v>1.2958368660043291</x:v>
      </x:c>
      <x:c r="F1312" s="129" t="n">
        <x:f>ABS(D1312-E1312)</x:f>
        <x:v>0.005378108459231035</x:v>
      </x:c>
    </x:row>
    <x:row r="1313">
      <x:c r="A1313" s="107" t="n">
        <x:v>1312</x:v>
      </x:c>
      <x:c r="B1313" s="128" t="n">
        <x:v>2.8478008010908598</x:v>
      </x:c>
      <x:c r="C1313" s="128" t="n">
        <x:f>LN(B1313)</x:f>
        <x:v>1.046547047666375</x:v>
      </x:c>
      <x:c r="D1313" s="128" t="n">
        <x:f>'Итоги'!$B$8*AVERAGE($C$2:C1313)</x:f>
        <x:v>1.2910705222842656</x:v>
      </x:c>
      <x:c r="E1313" s="128" t="n">
        <x:f>'Итоги'!$B$9</x:f>
        <x:v>1.2958368660043291</x:v>
      </x:c>
      <x:c r="F1313" s="129" t="n">
        <x:f>ABS(D1313-E1313)</x:f>
        <x:v>0.0047663437200635705</x:v>
      </x:c>
    </x:row>
    <x:row r="1314">
      <x:c r="A1314" s="107" t="n">
        <x:v>1313</x:v>
      </x:c>
      <x:c r="B1314" s="128" t="n">
        <x:v>2.157955049500485</x:v>
      </x:c>
      <x:c r="C1314" s="128" t="n">
        <x:f>LN(B1314)</x:f>
        <x:v>0.7691610369157972</x:v>
      </x:c>
      <x:c r="D1314" s="128" t="n">
        <x:f>'Итоги'!$B$8*AVERAGE($C$2:C1314)</x:f>
        <x:v>1.2912588326814836</x:v>
      </x:c>
      <x:c r="E1314" s="128" t="n">
        <x:f>'Итоги'!$B$9</x:f>
        <x:v>1.2958368660043291</x:v>
      </x:c>
      <x:c r="F1314" s="129" t="n">
        <x:f>ABS(D1314-E1314)</x:f>
        <x:v>0.004578033322845565</x:v>
      </x:c>
    </x:row>
    <x:row r="1315">
      <x:c r="A1315" s="107" t="n">
        <x:v>1314</x:v>
      </x:c>
      <x:c r="B1315" s="128" t="n">
        <x:v>1.0092375976866552</x:v>
      </x:c>
      <x:c r="C1315" s="128" t="n">
        <x:f>LN(B1315)</x:f>
        <x:v>0.009195192032013756</x:v>
      </x:c>
      <x:c r="D1315" s="128" t="n">
        <x:f>'Итоги'!$B$8*AVERAGE($C$2:C1315)</x:f>
        <x:v>1.290290135232003</x:v>
      </x:c>
      <x:c r="E1315" s="128" t="n">
        <x:f>'Итоги'!$B$9</x:f>
        <x:v>1.2958368660043291</x:v>
      </x:c>
      <x:c r="F1315" s="129" t="n">
        <x:f>ABS(D1315-E1315)</x:f>
        <x:v>0.005546730772326036</x:v>
      </x:c>
    </x:row>
    <x:row r="1316">
      <x:c r="A1316" s="107" t="n">
        <x:v>1315</x:v>
      </x:c>
      <x:c r="B1316" s="128" t="n">
        <x:v>1.0770839986468714</x:v>
      </x:c>
      <x:c r="C1316" s="128" t="n">
        <x:f>LN(B1316)</x:f>
        <x:v>0.07425738830552474</x:v>
      </x:c>
      <x:c r="D1316" s="128" t="n">
        <x:f>'Итоги'!$B$8*AVERAGE($C$2:C1316)</x:f>
        <x:v>1.2894218649973104</x:v>
      </x:c>
      <x:c r="E1316" s="128" t="n">
        <x:f>'Итоги'!$B$9</x:f>
        <x:v>1.2958368660043291</x:v>
      </x:c>
      <x:c r="F1316" s="129" t="n">
        <x:f>ABS(D1316-E1316)</x:f>
        <x:v>0.00641500100701875</x:v>
      </x:c>
    </x:row>
    <x:row r="1317">
      <x:c r="A1317" s="107" t="n">
        <x:v>1316</x:v>
      </x:c>
      <x:c r="B1317" s="128" t="n">
        <x:v>2.3608376113398437</x:v>
      </x:c>
      <x:c r="C1317" s="128" t="n">
        <x:f>LN(B1317)</x:f>
        <x:v>0.8590164761275492</x:v>
      </x:c>
      <x:c r="D1317" s="128" t="n">
        <x:f>'Итоги'!$B$8*AVERAGE($C$2:C1317)</x:f>
        <x:v>1.2897475573128558</x:v>
      </x:c>
      <x:c r="E1317" s="128" t="n">
        <x:f>'Итоги'!$B$9</x:f>
        <x:v>1.2958368660043291</x:v>
      </x:c>
      <x:c r="F1317" s="129" t="n">
        <x:f>ABS(D1317-E1317)</x:f>
        <x:v>0.006089308691473283</x:v>
      </x:c>
    </x:row>
    <x:row r="1318">
      <x:c r="A1318" s="107" t="n">
        <x:v>1317</x:v>
      </x:c>
      <x:c r="B1318" s="128" t="n">
        <x:v>2.125336027663866</x:v>
      </x:c>
      <x:c r="C1318" s="128" t="n">
        <x:f>LN(B1318)</x:f>
        <x:v>0.7539299205403932</x:v>
      </x:c>
      <x:c r="D1318" s="128" t="n">
        <x:f>'Итоги'!$B$8*AVERAGE($C$2:C1318)</x:f>
        <x:v>1.2899131702845854</x:v>
      </x:c>
      <x:c r="E1318" s="128" t="n">
        <x:f>'Итоги'!$B$9</x:f>
        <x:v>1.2958368660043291</x:v>
      </x:c>
      <x:c r="F1318" s="129" t="n">
        <x:f>ABS(D1318-E1318)</x:f>
        <x:v>0.005923695719743716</x:v>
      </x:c>
    </x:row>
    <x:row r="1319">
      <x:c r="A1319" s="107" t="n">
        <x:v>1318</x:v>
      </x:c>
      <x:c r="B1319" s="128" t="n">
        <x:v>1.0530648744121487</x:v>
      </x:c>
      <x:c r="C1319" s="128" t="n">
        <x:f>LN(B1319)</x:f>
        <x:v>0.05170484038242038</x:v>
      </x:c>
      <x:c r="D1319" s="128" t="n">
        <x:f>'Итоги'!$B$8*AVERAGE($C$2:C1319)</x:f>
        <x:v>1.289012940019396</x:v>
      </x:c>
      <x:c r="E1319" s="128" t="n">
        <x:f>'Итоги'!$B$9</x:f>
        <x:v>1.2958368660043291</x:v>
      </x:c>
      <x:c r="F1319" s="129" t="n">
        <x:f>ABS(D1319-E1319)</x:f>
        <x:v>0.006823925984933199</x:v>
      </x:c>
    </x:row>
    <x:row r="1320">
      <x:c r="A1320" s="107" t="n">
        <x:v>1319</x:v>
      </x:c>
      <x:c r="B1320" s="128" t="n">
        <x:v>2.4869199224447707</x:v>
      </x:c>
      <x:c r="C1320" s="128" t="n">
        <x:f>LN(B1320)</x:f>
        <x:v>0.9110449658488334</x:v>
      </x:c>
      <x:c r="D1320" s="128" t="n">
        <x:f>'Итоги'!$B$8*AVERAGE($C$2:C1320)</x:f>
        <x:v>1.2894170924012598</x:v>
      </x:c>
      <x:c r="E1320" s="128" t="n">
        <x:f>'Итоги'!$B$9</x:f>
        <x:v>1.2958368660043291</x:v>
      </x:c>
      <x:c r="F1320" s="129" t="n">
        <x:f>ABS(D1320-E1320)</x:f>
        <x:v>0.006419773603069334</x:v>
      </x:c>
    </x:row>
    <x:row r="1321">
      <x:c r="A1321" s="107" t="n">
        <x:v>1320</x:v>
      </x:c>
      <x:c r="B1321" s="128" t="n">
        <x:v>2.704290674138363</x:v>
      </x:c>
      <x:c r="C1321" s="128" t="n">
        <x:f>LN(B1321)</x:f>
        <x:v>0.9948396502354746</x:v>
      </x:c>
      <x:c r="D1321" s="128" t="n">
        <x:f>'Итоги'!$B$8*AVERAGE($C$2:C1321)</x:f>
        <x:v>1.2899475940740397</x:v>
      </x:c>
      <x:c r="E1321" s="128" t="n">
        <x:f>'Итоги'!$B$9</x:f>
        <x:v>1.2958368660043291</x:v>
      </x:c>
      <x:c r="F1321" s="129" t="n">
        <x:f>ABS(D1321-E1321)</x:f>
        <x:v>0.00588927193028943</x:v>
      </x:c>
    </x:row>
    <x:row r="1322">
      <x:c r="A1322" s="107" t="n">
        <x:v>1321</x:v>
      </x:c>
      <x:c r="B1322" s="128" t="n">
        <x:v>1.9928349648786166</x:v>
      </x:c>
      <x:c r="C1322" s="128" t="n">
        <x:f>LN(B1322)</x:f>
        <x:v>0.6895582304153921</x:v>
      </x:c>
      <x:c r="D1322" s="128" t="n">
        <x:f>'Итоги'!$B$8*AVERAGE($C$2:C1322)</x:f>
        <x:v>1.2900150951086777</x:v>
      </x:c>
      <x:c r="E1322" s="128" t="n">
        <x:f>'Итоги'!$B$9</x:f>
        <x:v>1.2958368660043291</x:v>
      </x:c>
      <x:c r="F1322" s="129" t="n">
        <x:f>ABS(D1322-E1322)</x:f>
        <x:v>0.00582177089565139</x:v>
      </x:c>
    </x:row>
    <x:row r="1323">
      <x:c r="A1323" s="107" t="n">
        <x:v>1322</x:v>
      </x:c>
      <x:c r="B1323" s="128" t="n">
        <x:v>1.93151488071451</x:v>
      </x:c>
      <x:c r="C1323" s="128" t="n">
        <x:f>LN(B1323)</x:f>
        <x:v>0.6583046073215523</x:v>
      </x:c>
      <x:c r="D1323" s="128" t="n">
        <x:f>'Итоги'!$B$8*AVERAGE($C$2:C1323)</x:f>
        <x:v>1.2900352116892635</x:v>
      </x:c>
      <x:c r="E1323" s="128" t="n">
        <x:f>'Итоги'!$B$9</x:f>
        <x:v>1.2958368660043291</x:v>
      </x:c>
      <x:c r="F1323" s="129" t="n">
        <x:f>ABS(D1323-E1323)</x:f>
        <x:v>0.00580165431506563</x:v>
      </x:c>
    </x:row>
    <x:row r="1324">
      <x:c r="A1324" s="107" t="n">
        <x:v>1323</x:v>
      </x:c>
      <x:c r="B1324" s="128" t="n">
        <x:v>1.010946217669255</x:v>
      </x:c>
      <x:c r="C1324" s="128" t="n">
        <x:f>LN(B1324)</x:f>
        <x:v>0.010886741461351723</x:v>
      </x:c>
      <x:c r="D1324" s="128" t="n">
        <x:f>'Итоги'!$B$8*AVERAGE($C$2:C1324)</x:f>
        <x:v>1.2890765860439373</x:v>
      </x:c>
      <x:c r="E1324" s="128" t="n">
        <x:f>'Итоги'!$B$9</x:f>
        <x:v>1.2958368660043291</x:v>
      </x:c>
      <x:c r="F1324" s="129" t="n">
        <x:f>ABS(D1324-E1324)</x:f>
        <x:v>0.006760279960391857</x:v>
      </x:c>
    </x:row>
    <x:row r="1325">
      <x:c r="A1325" s="107" t="n">
        <x:v>1324</x:v>
      </x:c>
      <x:c r="B1325" s="128" t="n">
        <x:v>2.5732994249871988</x:v>
      </x:c>
      <x:c r="C1325" s="128" t="n">
        <x:f>LN(B1325)</x:f>
        <x:v>0.945188898463314</x:v>
      </x:c>
      <x:c r="D1325" s="128" t="n">
        <x:f>'Итоги'!$B$8*AVERAGE($C$2:C1325)</x:f>
        <x:v>1.2895307410370511</x:v>
      </x:c>
      <x:c r="E1325" s="128" t="n">
        <x:f>'Итоги'!$B$9</x:f>
        <x:v>1.2958368660043291</x:v>
      </x:c>
      <x:c r="F1325" s="129" t="n">
        <x:f>ABS(D1325-E1325)</x:f>
        <x:v>0.006306124967278004</x:v>
      </x:c>
    </x:row>
    <x:row r="1326">
      <x:c r="A1326" s="107" t="n">
        <x:v>1325</x:v>
      </x:c>
      <x:c r="B1326" s="128" t="n">
        <x:v>1.6614321334922109</x:v>
      </x:c>
      <x:c r="C1326" s="128" t="n">
        <x:f>LN(B1326)</x:f>
        <x:v>0.5076799614493567</x:v>
      </x:c>
      <x:c r="D1326" s="128" t="n">
        <x:f>'Итоги'!$B$8*AVERAGE($C$2:C1326)</x:f>
        <x:v>1.2893238196648713</x:v>
      </x:c>
      <x:c r="E1326" s="128" t="n">
        <x:f>'Итоги'!$B$9</x:f>
        <x:v>1.2958368660043291</x:v>
      </x:c>
      <x:c r="F1326" s="129" t="n">
        <x:f>ABS(D1326-E1326)</x:f>
        <x:v>0.0065130463394578175</x:v>
      </x:c>
    </x:row>
    <x:row r="1327">
      <x:c r="A1327" s="107" t="n">
        <x:v>1326</x:v>
      </x:c>
      <x:c r="B1327" s="128" t="n">
        <x:v>2.7575272395650794</x:v>
      </x:c>
      <x:c r="C1327" s="128" t="n">
        <x:f>LN(B1327)</x:f>
        <x:v>1.014334350452153</x:v>
      </x:c>
      <x:c r="D1327" s="128" t="n">
        <x:f>'Итоги'!$B$8*AVERAGE($C$2:C1327)</x:f>
        <x:v>1.2898813949900896</x:v>
      </x:c>
      <x:c r="E1327" s="128" t="n">
        <x:f>'Итоги'!$B$9</x:f>
        <x:v>1.2958368660043291</x:v>
      </x:c>
      <x:c r="F1327" s="129" t="n">
        <x:f>ABS(D1327-E1327)</x:f>
        <x:v>0.005955471014239544</x:v>
      </x:c>
    </x:row>
    <x:row r="1328">
      <x:c r="A1328" s="107" t="n">
        <x:v>1327</x:v>
      </x:c>
      <x:c r="B1328" s="128" t="n">
        <x:v>1.746121175116106</x:v>
      </x:c>
      <x:c r="C1328" s="128" t="n">
        <x:f>LN(B1328)</x:f>
        <x:v>0.5573968565648503</x:v>
      </x:c>
      <x:c r="D1328" s="128" t="n">
        <x:f>'Итоги'!$B$8*AVERAGE($C$2:C1328)</x:f>
        <x:v>1.2897494525018753</x:v>
      </x:c>
      <x:c r="E1328" s="128" t="n">
        <x:f>'Итоги'!$B$9</x:f>
        <x:v>1.2958368660043291</x:v>
      </x:c>
      <x:c r="F1328" s="129" t="n">
        <x:f>ABS(D1328-E1328)</x:f>
        <x:v>0.006087413502453787</x:v>
      </x:c>
    </x:row>
    <x:row r="1329">
      <x:c r="A1329" s="107" t="n">
        <x:v>1328</x:v>
      </x:c>
      <x:c r="B1329" s="128" t="n">
        <x:v>2.130155821261411</x:v>
      </x:c>
      <x:c r="C1329" s="128" t="n">
        <x:f>LN(B1329)</x:f>
        <x:v>0.7561951325673884</x:v>
      </x:c>
      <x:c r="D1329" s="128" t="n">
        <x:f>'Итоги'!$B$8*AVERAGE($C$2:C1329)</x:f>
        <x:v>1.2899171037162074</x:v>
      </x:c>
      <x:c r="E1329" s="128" t="n">
        <x:f>'Итоги'!$B$9</x:f>
        <x:v>1.2958368660043291</x:v>
      </x:c>
      <x:c r="F1329" s="129" t="n">
        <x:f>ABS(D1329-E1329)</x:f>
        <x:v>0.005919762288121744</x:v>
      </x:c>
    </x:row>
    <x:row r="1330">
      <x:c r="A1330" s="107" t="n">
        <x:v>1329</x:v>
      </x:c>
      <x:c r="B1330" s="128" t="n">
        <x:v>1.540683576398655</x:v>
      </x:c>
      <x:c r="C1330" s="128" t="n">
        <x:f>LN(B1330)</x:f>
        <x:v>0.4322261987179555</x:v>
      </x:c>
      <x:c r="D1330" s="128" t="n">
        <x:f>'Итоги'!$B$8*AVERAGE($C$2:C1330)</x:f>
        <x:v>1.2895969647348076</x:v>
      </x:c>
      <x:c r="E1330" s="128" t="n">
        <x:f>'Итоги'!$B$9</x:f>
        <x:v>1.2958368660043291</x:v>
      </x:c>
      <x:c r="F1330" s="129" t="n">
        <x:f>ABS(D1330-E1330)</x:f>
        <x:v>0.006239901269521564</x:v>
      </x:c>
    </x:row>
    <x:row r="1331">
      <x:c r="A1331" s="107" t="n">
        <x:v>1330</x:v>
      </x:c>
      <x:c r="B1331" s="128" t="n">
        <x:v>1.3211766251698374</x:v>
      </x:c>
      <x:c r="C1331" s="128" t="n">
        <x:f>LN(B1331)</x:f>
        <x:v>0.27852272225706776</x:v>
      </x:c>
      <x:c r="D1331" s="128" t="n">
        <x:f>'Итоги'!$B$8*AVERAGE($C$2:C1331)</x:f>
        <x:v>1.2890461741181003</x:v>
      </x:c>
      <x:c r="E1331" s="128" t="n">
        <x:f>'Итоги'!$B$9</x:f>
        <x:v>1.2958368660043291</x:v>
      </x:c>
      <x:c r="F1331" s="129" t="n">
        <x:f>ABS(D1331-E1331)</x:f>
        <x:v>0.006790691886228828</x:v>
      </x:c>
    </x:row>
    <x:row r="1332">
      <x:c r="A1332" s="107" t="n">
        <x:v>1331</x:v>
      </x:c>
      <x:c r="B1332" s="128" t="n">
        <x:v>2.549815806762656</x:v>
      </x:c>
      <x:c r="C1332" s="128" t="n">
        <x:f>LN(B1332)</x:f>
        <x:v>0.9360211239193361</x:v>
      </x:c>
      <x:c r="D1332" s="128" t="n">
        <x:f>'Итоги'!$B$8*AVERAGE($C$2:C1332)</x:f>
        <x:v>1.2894841876971541</x:v>
      </x:c>
      <x:c r="E1332" s="128" t="n">
        <x:f>'Итоги'!$B$9</x:f>
        <x:v>1.2958368660043291</x:v>
      </x:c>
      <x:c r="F1332" s="129" t="n">
        <x:f>ABS(D1332-E1332)</x:f>
        <x:v>0.006352678307175008</x:v>
      </x:c>
    </x:row>
    <x:row r="1333">
      <x:c r="A1333" s="107" t="n">
        <x:v>1332</x:v>
      </x:c>
      <x:c r="B1333" s="128" t="n">
        <x:v>1.9931809576925632</x:v>
      </x:c>
      <x:c r="C1333" s="128" t="n">
        <x:f>LN(B1333)</x:f>
        <x:v>0.6897318337433951</x:v>
      </x:c>
      <x:c r="D1333" s="128" t="n">
        <x:f>'Итоги'!$B$8*AVERAGE($C$2:C1333)</x:f>
        <x:v>1.2895517398591583</x:v>
      </x:c>
      <x:c r="E1333" s="128" t="n">
        <x:f>'Итоги'!$B$9</x:f>
        <x:v>1.2958368660043291</x:v>
      </x:c>
      <x:c r="F1333" s="129" t="n">
        <x:f>ABS(D1333-E1333)</x:f>
        <x:v>0.0062851261451708496</x:v>
      </x:c>
    </x:row>
    <x:row r="1334">
      <x:c r="A1334" s="107" t="n">
        <x:v>1333</x:v>
      </x:c>
      <x:c r="B1334" s="128" t="n">
        <x:v>2.0729758475045017</x:v>
      </x:c>
      <x:c r="C1334" s="128" t="n">
        <x:f>LN(B1334)</x:f>
        <x:v>0.7289851823990359</x:v>
      </x:c>
      <x:c r="D1334" s="128" t="n">
        <x:f>'Итоги'!$B$8*AVERAGE($C$2:C1334)</x:f>
        <x:v>1.2896780854142513</x:v>
      </x:c>
      <x:c r="E1334" s="128" t="n">
        <x:f>'Итоги'!$B$9</x:f>
        <x:v>1.2958368660043291</x:v>
      </x:c>
      <x:c r="F1334" s="129" t="n">
        <x:f>ABS(D1334-E1334)</x:f>
        <x:v>0.006158780590077795</x:v>
      </x:c>
    </x:row>
    <x:row r="1335">
      <x:c r="A1335" s="107" t="n">
        <x:v>1334</x:v>
      </x:c>
      <x:c r="B1335" s="128" t="n">
        <x:v>2.930831906963471</x:v>
      </x:c>
      <x:c r="C1335" s="128" t="n">
        <x:f>LN(B1335)</x:f>
        <x:v>1.0752863100205374</x:v>
      </x:c>
      <x:c r="D1335" s="128" t="n">
        <x:f>'Итоги'!$B$8*AVERAGE($C$2:C1335)</x:f>
        <x:v>1.2903234336411078</x:v>
      </x:c>
      <x:c r="E1335" s="128" t="n">
        <x:f>'Итоги'!$B$9</x:f>
        <x:v>1.2958368660043291</x:v>
      </x:c>
      <x:c r="F1335" s="129" t="n">
        <x:f>ABS(D1335-E1335)</x:f>
        <x:v>0.005513432363221327</x:v>
      </x:c>
    </x:row>
    <x:row r="1336">
      <x:c r="A1336" s="107" t="n">
        <x:v>1335</x:v>
      </x:c>
      <x:c r="B1336" s="128" t="n">
        <x:v>2.927159824444307</x:v>
      </x:c>
      <x:c r="C1336" s="128" t="n">
        <x:f>LN(B1336)</x:f>
        <x:v>1.074032609718966</x:v>
      </x:c>
      <x:c r="D1336" s="128" t="n">
        <x:f>'Итоги'!$B$8*AVERAGE($C$2:C1336)</x:f>
        <x:v>1.2909659368514426</x:v>
      </x:c>
      <x:c r="E1336" s="128" t="n">
        <x:f>'Итоги'!$B$9</x:f>
        <x:v>1.2958368660043291</x:v>
      </x:c>
      <x:c r="F1336" s="129" t="n">
        <x:f>ABS(D1336-E1336)</x:f>
        <x:v>0.004870929152886561</x:v>
      </x:c>
    </x:row>
    <x:row r="1337">
      <x:c r="A1337" s="107" t="n">
        <x:v>1336</x:v>
      </x:c>
      <x:c r="B1337" s="128" t="n">
        <x:v>2.711284243404807</x:v>
      </x:c>
      <x:c r="C1337" s="128" t="n">
        <x:f>LN(B1337)</x:f>
        <x:v>0.9974224131962213</x:v>
      </x:c>
      <x:c r="D1337" s="128" t="n">
        <x:f>'Итоги'!$B$8*AVERAGE($C$2:C1337)</x:f>
        <x:v>1.2914927923076858</x:v>
      </x:c>
      <x:c r="E1337" s="128" t="n">
        <x:f>'Итоги'!$B$9</x:f>
        <x:v>1.2958368660043291</x:v>
      </x:c>
      <x:c r="F1337" s="129" t="n">
        <x:f>ABS(D1337-E1337)</x:f>
        <x:v>0.004344073696643358</x:v>
      </x:c>
    </x:row>
    <x:row r="1338">
      <x:c r="A1338" s="107" t="n">
        <x:v>1337</x:v>
      </x:c>
      <x:c r="B1338" s="128" t="n">
        <x:v>1.3752185855300672</x:v>
      </x:c>
      <x:c r="C1338" s="128" t="n">
        <x:f>LN(B1338)</x:f>
        <x:v>0.3186126897785317</x:v>
      </x:c>
      <x:c r="D1338" s="128" t="n">
        <x:f>'Итоги'!$B$8*AVERAGE($C$2:C1338)</x:f>
        <x:v>1.2910034374739159</x:v>
      </x:c>
      <x:c r="E1338" s="128" t="n">
        <x:f>'Итоги'!$B$9</x:f>
        <x:v>1.2958368660043291</x:v>
      </x:c>
      <x:c r="F1338" s="129" t="n">
        <x:f>ABS(D1338-E1338)</x:f>
        <x:v>0.004833428530413242</x:v>
      </x:c>
    </x:row>
    <x:row r="1339">
      <x:c r="A1339" s="107" t="n">
        <x:v>1338</x:v>
      </x:c>
      <x:c r="B1339" s="128" t="n">
        <x:v>2.18854538860316</x:v>
      </x:c>
      <x:c r="C1339" s="128" t="n">
        <x:f>LN(B1339)</x:f>
        <x:v>0.7832371170285232</x:v>
      </x:c>
      <x:c r="D1339" s="128" t="n">
        <x:f>'Итоги'!$B$8*AVERAGE($C$2:C1339)</x:f>
        <x:v>1.291209319982573</x:v>
      </x:c>
      <x:c r="E1339" s="128" t="n">
        <x:f>'Итоги'!$B$9</x:f>
        <x:v>1.2958368660043291</x:v>
      </x:c>
      <x:c r="F1339" s="129" t="n">
        <x:f>ABS(D1339-E1339)</x:f>
        <x:v>0.00462754602175619</x:v>
      </x:c>
    </x:row>
    <x:row r="1340">
      <x:c r="A1340" s="107" t="n">
        <x:v>1339</x:v>
      </x:c>
      <x:c r="B1340" s="128" t="n">
        <x:v>2.756294849311075</x:v>
      </x:c>
      <x:c r="C1340" s="128" t="n">
        <x:f>LN(B1340)</x:f>
        <x:v>1.0138873319395272</x:v>
      </x:c>
      <x:c r="D1340" s="128" t="n">
        <x:f>'Итоги'!$B$8*AVERAGE($C$2:C1340)</x:f>
        <x:v>1.2917594061243924</x:v>
      </x:c>
      <x:c r="E1340" s="128" t="n">
        <x:f>'Итоги'!$B$9</x:f>
        <x:v>1.2958368660043291</x:v>
      </x:c>
      <x:c r="F1340" s="129" t="n">
        <x:f>ABS(D1340-E1340)</x:f>
        <x:v>0.004077459879936685</x:v>
      </x:c>
    </x:row>
    <x:row r="1341">
      <x:c r="A1341" s="107" t="n">
        <x:v>1340</x:v>
      </x:c>
      <x:c r="B1341" s="128" t="n">
        <x:v>1.7489278728978754</x:v>
      </x:c>
      <x:c r="C1341" s="128" t="n">
        <x:f>LN(B1341)</x:f>
        <x:v>0.559002956134011</x:v>
      </x:c>
      <x:c r="D1341" s="128" t="n">
        <x:f>'Итоги'!$B$8*AVERAGE($C$2:C1341)</x:f>
        <x:v>1.2916297393379323</x:v>
      </x:c>
      <x:c r="E1341" s="128" t="n">
        <x:f>'Итоги'!$B$9</x:f>
        <x:v>1.2958368660043291</x:v>
      </x:c>
      <x:c r="F1341" s="129" t="n">
        <x:f>ABS(D1341-E1341)</x:f>
        <x:v>0.004207126666396777</x:v>
      </x:c>
    </x:row>
    <x:row r="1342">
      <x:c r="A1342" s="107" t="n">
        <x:v>1341</x:v>
      </x:c>
      <x:c r="B1342" s="128" t="n">
        <x:v>1.20221233187117</x:v>
      </x:c>
      <x:c r="C1342" s="128" t="n">
        <x:f>LN(B1342)</x:f>
        <x:v>0.18416346932374122</x:v>
      </x:c>
      <x:c r="D1342" s="128" t="n">
        <x:f>'Итоги'!$B$8*AVERAGE($C$2:C1342)</x:f>
        <x:v>1.2909412212166123</x:v>
      </x:c>
      <x:c r="E1342" s="128" t="n">
        <x:f>'Итоги'!$B$9</x:f>
        <x:v>1.2958368660043291</x:v>
      </x:c>
      <x:c r="F1342" s="129" t="n">
        <x:f>ABS(D1342-E1342)</x:f>
        <x:v>0.0048956447877168685</x:v>
      </x:c>
    </x:row>
    <x:row r="1343">
      <x:c r="A1343" s="107" t="n">
        <x:v>1342</x:v>
      </x:c>
      <x:c r="B1343" s="128" t="n">
        <x:v>2.6219258044798437</x:v>
      </x:c>
      <x:c r="C1343" s="128" t="n">
        <x:f>LN(B1343)</x:f>
        <x:v>0.9639090876413011</x:v>
      </x:c>
      <x:c r="D1343" s="128" t="n">
        <x:f>'Итоги'!$B$8*AVERAGE($C$2:C1343)</x:f>
        <x:v>1.2914157942077196</x:v>
      </x:c>
      <x:c r="E1343" s="128" t="n">
        <x:f>'Итоги'!$B$9</x:f>
        <x:v>1.2958368660043291</x:v>
      </x:c>
      <x:c r="F1343" s="129" t="n">
        <x:f>ABS(D1343-E1343)</x:f>
        <x:v>0.004421071796609555</x:v>
      </x:c>
    </x:row>
    <x:row r="1344">
      <x:c r="A1344" s="107" t="n">
        <x:v>1343</x:v>
      </x:c>
      <x:c r="B1344" s="128" t="n">
        <x:v>1.9635271027243433</x:v>
      </x:c>
      <x:c r="C1344" s="128" t="n">
        <x:f>LN(B1344)</x:f>
        <x:v>0.6747423982125464</x:v>
      </x:c>
      <x:c r="D1344" s="128" t="n">
        <x:f>'Итоги'!$B$8*AVERAGE($C$2:C1344)</x:f>
        <x:v>1.2914590324818946</x:v>
      </x:c>
      <x:c r="E1344" s="128" t="n">
        <x:f>'Итоги'!$B$9</x:f>
        <x:v>1.2958368660043291</x:v>
      </x:c>
      <x:c r="F1344" s="129" t="n">
        <x:f>ABS(D1344-E1344)</x:f>
        <x:v>0.004377833522434482</x:v>
      </x:c>
    </x:row>
    <x:row r="1345">
      <x:c r="A1345" s="107" t="n">
        <x:v>1344</x:v>
      </x:c>
      <x:c r="B1345" s="128" t="n">
        <x:v>2.128785360718357</x:v>
      </x:c>
      <x:c r="C1345" s="128" t="n">
        <x:f>LN(B1345)</x:f>
        <x:v>0.7555515638812772</x:v>
      </x:c>
      <x:c r="D1345" s="128" t="n">
        <x:f>'Итоги'!$B$8*AVERAGE($C$2:C1345)</x:f>
        <x:v>1.291622458148026</x:v>
      </x:c>
      <x:c r="E1345" s="128" t="n">
        <x:f>'Итоги'!$B$9</x:f>
        <x:v>1.2958368660043291</x:v>
      </x:c>
      <x:c r="F1345" s="129" t="n">
        <x:f>ABS(D1345-E1345)</x:f>
        <x:v>0.004214407856303115</x:v>
      </x:c>
    </x:row>
    <x:row r="1346">
      <x:c r="A1346" s="107" t="n">
        <x:v>1345</x:v>
      </x:c>
      <x:c r="B1346" s="128" t="n">
        <x:v>2.964288592635689</x:v>
      </x:c>
      <x:c r="C1346" s="128" t="n">
        <x:f>LN(B1346)</x:f>
        <x:v>1.0866370686305524</x:v>
      </x:c>
      <x:c r="D1346" s="128" t="n">
        <x:f>'Итоги'!$B$8*AVERAGE($C$2:C1346)</x:f>
        <x:v>1.2922779612551734</x:v>
      </x:c>
      <x:c r="E1346" s="128" t="n">
        <x:f>'Итоги'!$B$9</x:f>
        <x:v>1.2958368660043291</x:v>
      </x:c>
      <x:c r="F1346" s="129" t="n">
        <x:f>ABS(D1346-E1346)</x:f>
        <x:v>0.003558904749155767</x:v>
      </x:c>
    </x:row>
    <x:row r="1347">
      <x:c r="A1347" s="107" t="n">
        <x:v>1346</x:v>
      </x:c>
      <x:c r="B1347" s="128" t="n">
        <x:v>2.2144228609881442</x:v>
      </x:c>
      <x:c r="C1347" s="128" t="n">
        <x:f>LN(B1347)</x:f>
        <x:v>0.7949918101723095</x:v>
      </x:c>
      <x:c r="D1347" s="128" t="n">
        <x:f>'Итоги'!$B$8*AVERAGE($C$2:C1347)</x:f>
        <x:v>1.2924991393079888</x:v>
      </x:c>
      <x:c r="E1347" s="128" t="n">
        <x:f>'Итоги'!$B$9</x:f>
        <x:v>1.2958368660043291</x:v>
      </x:c>
      <x:c r="F1347" s="129" t="n">
        <x:f>ABS(D1347-E1347)</x:f>
        <x:v>0.0033377266963403596</x:v>
      </x:c>
    </x:row>
    <x:row r="1348">
      <x:c r="A1348" s="107" t="n">
        <x:v>1347</x:v>
      </x:c>
      <x:c r="B1348" s="128" t="n">
        <x:v>1.8499587713322028</x:v>
      </x:c>
      <x:c r="C1348" s="128" t="n">
        <x:f>LN(B1348)</x:f>
        <x:v>0.6151633530755252</x:v>
      </x:c>
      <x:c r="D1348" s="128" t="n">
        <x:f>'Итоги'!$B$8*AVERAGE($C$2:C1348)</x:f>
        <x:v>1.2924529830844127</x:v>
      </x:c>
      <x:c r="E1348" s="128" t="n">
        <x:f>'Итоги'!$B$9</x:f>
        <x:v>1.2958368660043291</x:v>
      </x:c>
      <x:c r="F1348" s="129" t="n">
        <x:f>ABS(D1348-E1348)</x:f>
        <x:v>0.0033838829199164255</x:v>
      </x:c>
    </x:row>
    <x:row r="1349">
      <x:c r="A1349" s="107" t="n">
        <x:v>1348</x:v>
      </x:c>
      <x:c r="B1349" s="128" t="n">
        <x:v>1.7399687356943956</x:v>
      </x:c>
      <x:c r="C1349" s="128" t="n">
        <x:f>LN(B1349)</x:f>
        <x:v>0.5538671450732847</x:v>
      </x:c>
      <x:c r="D1349" s="128" t="n">
        <x:f>'Итоги'!$B$8*AVERAGE($C$2:C1349)</x:f>
        <x:v>1.2923159514130937</x:v>
      </x:c>
      <x:c r="E1349" s="128" t="n">
        <x:f>'Итоги'!$B$9</x:f>
        <x:v>1.2958368660043291</x:v>
      </x:c>
      <x:c r="F1349" s="129" t="n">
        <x:f>ABS(D1349-E1349)</x:f>
        <x:v>0.00352091459123538</x:v>
      </x:c>
    </x:row>
    <x:row r="1350">
      <x:c r="A1350" s="107" t="n">
        <x:v>1349</x:v>
      </x:c>
      <x:c r="B1350" s="128" t="n">
        <x:v>1.8352385853080913</x:v>
      </x:c>
      <x:c r="C1350" s="128" t="n">
        <x:f>LN(B1350)</x:f>
        <x:v>0.6071744922962312</x:v>
      </x:c>
      <x:c r="D1350" s="128" t="n">
        <x:f>'Итоги'!$B$8*AVERAGE($C$2:C1350)</x:f>
        <x:v>1.2922581552923966</x:v>
      </x:c>
      <x:c r="E1350" s="128" t="n">
        <x:f>'Итоги'!$B$9</x:f>
        <x:v>1.2958368660043291</x:v>
      </x:c>
      <x:c r="F1350" s="129" t="n">
        <x:f>ABS(D1350-E1350)</x:f>
        <x:v>0.003578710711932498</x:v>
      </x:c>
    </x:row>
    <x:row r="1351">
      <x:c r="A1351" s="107" t="n">
        <x:v>1350</x:v>
      </x:c>
      <x:c r="B1351" s="128" t="n">
        <x:v>1.2367981663573375</x:v>
      </x:c>
      <x:c r="C1351" s="128" t="n">
        <x:f>LN(B1351)</x:f>
        <x:v>0.21252591627985154</x:v>
      </x:c>
      <x:c r="D1351" s="128" t="n">
        <x:f>'Итоги'!$B$8*AVERAGE($C$2:C1351)</x:f>
        <x:v>1.2916157802385206</x:v>
      </x:c>
      <x:c r="E1351" s="128" t="n">
        <x:f>'Итоги'!$B$9</x:f>
        <x:v>1.2958368660043291</x:v>
      </x:c>
      <x:c r="F1351" s="129" t="n">
        <x:f>ABS(D1351-E1351)</x:f>
        <x:v>0.0042210857658084855</x:v>
      </x:c>
    </x:row>
    <x:row r="1352">
      <x:c r="A1352" s="107" t="n">
        <x:v>1351</x:v>
      </x:c>
      <x:c r="B1352" s="128" t="n">
        <x:v>2.5895011168351436</x:v>
      </x:c>
      <x:c r="C1352" s="128" t="n">
        <x:f>LN(B1352)</x:f>
        <x:v>0.9514652381754576</x:v>
      </x:c>
      <x:c r="D1352" s="128" t="n">
        <x:f>'Итоги'!$B$8*AVERAGE($C$2:C1352)</x:f>
        <x:v>1.2920682707611797</x:v>
      </x:c>
      <x:c r="E1352" s="128" t="n">
        <x:f>'Итоги'!$B$9</x:f>
        <x:v>1.2958368660043291</x:v>
      </x:c>
      <x:c r="F1352" s="129" t="n">
        <x:f>ABS(D1352-E1352)</x:f>
        <x:v>0.0037685952431494307</x:v>
      </x:c>
    </x:row>
    <x:row r="1353">
      <x:c r="A1353" s="107" t="n">
        <x:v>1352</x:v>
      </x:c>
      <x:c r="B1353" s="128" t="n">
        <x:v>2.6754337163740822</x:v>
      </x:c>
      <x:c r="C1353" s="128" t="n">
        <x:f>LN(B1353)</x:f>
        <x:v>0.984111504167467</x:v>
      </x:c>
      <x:c r="D1353" s="128" t="n">
        <x:f>'Итоги'!$B$8*AVERAGE($C$2:C1353)</x:f>
        <x:v>1.292568385212048</x:v>
      </x:c>
      <x:c r="E1353" s="128" t="n">
        <x:f>'Итоги'!$B$9</x:f>
        <x:v>1.2958368660043291</x:v>
      </x:c>
      <x:c r="F1353" s="129" t="n">
        <x:f>ABS(D1353-E1353)</x:f>
        <x:v>0.0032684807922811476</x:v>
      </x:c>
    </x:row>
    <x:row r="1354">
      <x:c r="A1354" s="107" t="n">
        <x:v>1353</x:v>
      </x:c>
      <x:c r="B1354" s="128" t="n">
        <x:v>1.5687942691468177</x:v>
      </x:c>
      <x:c r="C1354" s="128" t="n">
        <x:f>LN(B1354)</x:f>
        <x:v>0.4503073428762554</x:v>
      </x:c>
      <x:c r="D1354" s="128" t="n">
        <x:f>'Итоги'!$B$8*AVERAGE($C$2:C1354)</x:f>
        <x:v>1.2922786928990697</x:v>
      </x:c>
      <x:c r="E1354" s="128" t="n">
        <x:f>'Итоги'!$B$9</x:f>
        <x:v>1.2958368660043291</x:v>
      </x:c>
      <x:c r="F1354" s="129" t="n">
        <x:f>ABS(D1354-E1354)</x:f>
        <x:v>0.00355817310525941</x:v>
      </x:c>
    </x:row>
    <x:row r="1355">
      <x:c r="A1355" s="107" t="n">
        <x:v>1354</x:v>
      </x:c>
      <x:c r="B1355" s="128" t="n">
        <x:v>1.6075932368198882</x:v>
      </x:c>
      <x:c r="C1355" s="128" t="n">
        <x:f>LN(B1355)</x:f>
        <x:v>0.4747381765797601</x:v>
      </x:c>
      <x:c r="D1355" s="128" t="n">
        <x:f>'Итоги'!$B$8*AVERAGE($C$2:C1355)</x:f>
        <x:v>1.2920255153955693</x:v>
      </x:c>
      <x:c r="E1355" s="128" t="n">
        <x:f>'Итоги'!$B$9</x:f>
        <x:v>1.2958368660043291</x:v>
      </x:c>
      <x:c r="F1355" s="129" t="n">
        <x:f>ABS(D1355-E1355)</x:f>
        <x:v>0.0038113506087598115</x:v>
      </x:c>
    </x:row>
    <x:row r="1356">
      <x:c r="A1356" s="107" t="n">
        <x:v>1355</x:v>
      </x:c>
      <x:c r="B1356" s="128" t="n">
        <x:v>2.748668512669626</x:v>
      </x:c>
      <x:c r="C1356" s="128" t="n">
        <x:f>LN(B1356)</x:f>
        <x:v>1.0111166172158006</x:v>
      </x:c>
      <x:c r="D1356" s="128" t="n">
        <x:f>'Итоги'!$B$8*AVERAGE($C$2:C1356)</x:f>
        <x:v>1.2925644140812047</x:v>
      </x:c>
      <x:c r="E1356" s="128" t="n">
        <x:f>'Итоги'!$B$9</x:f>
        <x:v>1.2958368660043291</x:v>
      </x:c>
      <x:c r="F1356" s="129" t="n">
        <x:f>ABS(D1356-E1356)</x:f>
        <x:v>0.00327245192312442</x:v>
      </x:c>
    </x:row>
    <x:row r="1357">
      <x:c r="A1357" s="107" t="n">
        <x:v>1356</x:v>
      </x:c>
      <x:c r="B1357" s="128" t="n">
        <x:v>1.047940711055911</x:v>
      </x:c>
      <x:c r="C1357" s="128" t="n">
        <x:f>LN(B1357)</x:f>
        <x:v>0.04682701087858181</x:v>
      </x:c>
      <x:c r="D1357" s="128" t="n">
        <x:f>'Итоги'!$B$8*AVERAGE($C$2:C1357)</x:f>
        <x:v>1.291680261874476</x:v>
      </x:c>
      <x:c r="E1357" s="128" t="n">
        <x:f>'Итоги'!$B$9</x:f>
        <x:v>1.2958368660043291</x:v>
      </x:c>
      <x:c r="F1357" s="129" t="n">
        <x:f>ABS(D1357-E1357)</x:f>
        <x:v>0.004156604129853081</x:v>
      </x:c>
    </x:row>
    <x:row r="1358">
      <x:c r="A1358" s="107" t="n">
        <x:v>1357</x:v>
      </x:c>
      <x:c r="B1358" s="128" t="n">
        <x:v>2.0409148875344556</x:v>
      </x:c>
      <x:c r="C1358" s="128" t="n">
        <x:f>LN(B1358)</x:f>
        <x:v>0.7133981816031872</x:v>
      </x:c>
      <x:c r="D1358" s="128" t="n">
        <x:f>'Итоги'!$B$8*AVERAGE($C$2:C1358)</x:f>
        <x:v>1.2917798315880589</x:v>
      </x:c>
      <x:c r="E1358" s="128" t="n">
        <x:f>'Итоги'!$B$9</x:f>
        <x:v>1.2958368660043291</x:v>
      </x:c>
      <x:c r="F1358" s="129" t="n">
        <x:f>ABS(D1358-E1358)</x:f>
        <x:v>0.004057034416270255</x:v>
      </x:c>
    </x:row>
    <x:row r="1359">
      <x:c r="A1359" s="107" t="n">
        <x:v>1358</x:v>
      </x:c>
      <x:c r="B1359" s="128" t="n">
        <x:v>1.927351429363002</x:v>
      </x:c>
      <x:c r="C1359" s="128" t="n">
        <x:f>LN(B1359)</x:f>
        <x:v>0.6561467440360668</x:v>
      </x:c>
      <x:c r="D1359" s="128" t="n">
        <x:f>'Итоги'!$B$8*AVERAGE($C$2:C1359)</x:f>
        <x:v>1.2917949373733932</x:v>
      </x:c>
      <x:c r="E1359" s="128" t="n">
        <x:f>'Итоги'!$B$9</x:f>
        <x:v>1.2958368660043291</x:v>
      </x:c>
      <x:c r="F1359" s="129" t="n">
        <x:f>ABS(D1359-E1359)</x:f>
        <x:v>0.004041928630935887</x:v>
      </x:c>
    </x:row>
    <x:row r="1360">
      <x:c r="A1360" s="107" t="n">
        <x:v>1359</x:v>
      </x:c>
      <x:c r="B1360" s="128" t="n">
        <x:v>2.3802535391569197</x:v>
      </x:c>
      <x:c r="C1360" s="128" t="n">
        <x:f>LN(B1360)</x:f>
        <x:v>0.8672070110670955</x:v>
      </x:c>
      <x:c r="D1360" s="128" t="n">
        <x:f>'Итоги'!$B$8*AVERAGE($C$2:C1360)</x:f>
        <x:v>1.2921206320641665</x:v>
      </x:c>
      <x:c r="E1360" s="128" t="n">
        <x:f>'Итоги'!$B$9</x:f>
        <x:v>1.2958368660043291</x:v>
      </x:c>
      <x:c r="F1360" s="129" t="n">
        <x:f>ABS(D1360-E1360)</x:f>
        <x:v>0.0037162339401626276</x:v>
      </x:c>
    </x:row>
    <x:row r="1361">
      <x:c r="A1361" s="107" t="n">
        <x:v>1360</x:v>
      </x:c>
      <x:c r="B1361" s="128" t="n">
        <x:v>1.326783400298909</x:v>
      </x:c>
      <x:c r="C1361" s="128" t="n">
        <x:f>LN(B1361)</x:f>
        <x:v>0.28275751693238527</x:v>
      </x:c>
      <x:c r="D1361" s="128" t="n">
        <x:f>'Итоги'!$B$8*AVERAGE($C$2:C1361)</x:f>
        <x:v>1.291586363241961</x:v>
      </x:c>
      <x:c r="E1361" s="128" t="n">
        <x:f>'Итоги'!$B$9</x:f>
        <x:v>1.2958368660043291</x:v>
      </x:c>
      <x:c r="F1361" s="129" t="n">
        <x:f>ABS(D1361-E1361)</x:f>
        <x:v>0.004250502762368047</x:v>
      </x:c>
    </x:row>
    <x:row r="1362">
      <x:c r="A1362" s="107" t="n">
        <x:v>1361</x:v>
      </x:c>
      <x:c r="B1362" s="128" t="n">
        <x:v>2.3366614815903075</x:v>
      </x:c>
      <x:c r="C1362" s="128" t="n">
        <x:f>LN(B1362)</x:f>
        <x:v>0.8487231933703525</x:v>
      </x:c>
      <x:c r="D1362" s="128" t="n">
        <x:f>'Итоги'!$B$8*AVERAGE($C$2:C1362)</x:f>
        <x:v>1.2918845704598145</x:v>
      </x:c>
      <x:c r="E1362" s="128" t="n">
        <x:f>'Итоги'!$B$9</x:f>
        <x:v>1.2958368660043291</x:v>
      </x:c>
      <x:c r="F1362" s="129" t="n">
        <x:f>ABS(D1362-E1362)</x:f>
        <x:v>0.003952295544514595</x:v>
      </x:c>
    </x:row>
    <x:row r="1363">
      <x:c r="A1363" s="107" t="n">
        <x:v>1362</x:v>
      </x:c>
      <x:c r="B1363" s="128" t="n">
        <x:v>1.7534680157497529</x:v>
      </x:c>
      <x:c r="C1363" s="128" t="n">
        <x:f>LN(B1363)</x:f>
        <x:v>0.5615955501977816</x:v>
      </x:c>
      <x:c r="D1363" s="128" t="n">
        <x:f>'Итоги'!$B$8*AVERAGE($C$2:C1363)</x:f>
        <x:v>1.2917607132864928</x:v>
      </x:c>
      <x:c r="E1363" s="128" t="n">
        <x:f>'Итоги'!$B$9</x:f>
        <x:v>1.2958368660043291</x:v>
      </x:c>
      <x:c r="F1363" s="129" t="n">
        <x:f>ABS(D1363-E1363)</x:f>
        <x:v>0.0040761527178363455</x:v>
      </x:c>
    </x:row>
    <x:row r="1364">
      <x:c r="A1364" s="107" t="n">
        <x:v>1363</x:v>
      </x:c>
      <x:c r="B1364" s="128" t="n">
        <x:v>2.237429556339284</x:v>
      </x:c>
      <x:c r="C1364" s="128" t="n">
        <x:f>LN(B1364)</x:f>
        <x:v>0.8053276874709471</x:v>
      </x:c>
      <x:c r="D1364" s="128" t="n">
        <x:f>'Итоги'!$B$8*AVERAGE($C$2:C1364)</x:f>
        <x:v>1.291994678555499</x:v>
      </x:c>
      <x:c r="E1364" s="128" t="n">
        <x:f>'Итоги'!$B$9</x:f>
        <x:v>1.2958368660043291</x:v>
      </x:c>
      <x:c r="F1364" s="129" t="n">
        <x:f>ABS(D1364-E1364)</x:f>
        <x:v>0.0038421874488301366</x:v>
      </x:c>
    </x:row>
    <x:row r="1365">
      <x:c r="A1365" s="107" t="n">
        <x:v>1364</x:v>
      </x:c>
      <x:c r="B1365" s="128" t="n">
        <x:v>1.0801900197455518</x:v>
      </x:c>
      <x:c r="C1365" s="128" t="n">
        <x:f>LN(B1365)</x:f>
        <x:v>0.0771369698686056</x:v>
      </x:c>
      <x:c r="D1365" s="128" t="n">
        <x:f>'Итоги'!$B$8*AVERAGE($C$2:C1365)</x:f>
        <x:v>1.291160572441996</x:v>
      </x:c>
      <x:c r="E1365" s="128" t="n">
        <x:f>'Итоги'!$B$9</x:f>
        <x:v>1.2958368660043291</x:v>
      </x:c>
      <x:c r="F1365" s="129" t="n">
        <x:f>ABS(D1365-E1365)</x:f>
        <x:v>0.004676293562333234</x:v>
      </x:c>
    </x:row>
    <x:row r="1366">
      <x:c r="A1366" s="107" t="n">
        <x:v>1365</x:v>
      </x:c>
      <x:c r="B1366" s="128" t="n">
        <x:v>1.9234543943690188</x:v>
      </x:c>
      <x:c r="C1366" s="128" t="n">
        <x:f>LN(B1366)</x:f>
        <x:v>0.6541227332171595</x:v>
      </x:c>
      <x:c r="D1366" s="128" t="n">
        <x:f>'Итоги'!$B$8*AVERAGE($C$2:C1366)</x:f>
        <x:v>1.2911730888478512</x:v>
      </x:c>
      <x:c r="E1366" s="128" t="n">
        <x:f>'Итоги'!$B$9</x:f>
        <x:v>1.2958368660043291</x:v>
      </x:c>
      <x:c r="F1366" s="129" t="n">
        <x:f>ABS(D1366-E1366)</x:f>
        <x:v>0.004663777156477922</x:v>
      </x:c>
    </x:row>
    <x:row r="1367">
      <x:c r="A1367" s="107" t="n">
        <x:v>1366</x:v>
      </x:c>
      <x:c r="B1367" s="128" t="n">
        <x:v>2.0445017879647445</x:v>
      </x:c>
      <x:c r="C1367" s="128" t="n">
        <x:f>LN(B1367)</x:f>
        <x:v>0.7151541353463862</x:v>
      </x:c>
      <x:c r="D1367" s="128" t="n">
        <x:f>'Итоги'!$B$8*AVERAGE($C$2:C1367)</x:f>
        <x:v>1.2912749447642824</x:v>
      </x:c>
      <x:c r="E1367" s="128" t="n">
        <x:f>'Итоги'!$B$9</x:f>
        <x:v>1.2958368660043291</x:v>
      </x:c>
      <x:c r="F1367" s="129" t="n">
        <x:f>ABS(D1367-E1367)</x:f>
        <x:v>0.004561921240046729</x:v>
      </x:c>
    </x:row>
    <x:row r="1368">
      <x:c r="A1368" s="107" t="n">
        <x:v>1367</x:v>
      </x:c>
      <x:c r="B1368" s="128" t="n">
        <x:v>1.4286528057099732</x:v>
      </x:c>
      <x:c r="C1368" s="128" t="n">
        <x:f>LN(B1368)</x:f>
        <x:v>0.35673190631332674</x:v>
      </x:c>
      <x:c r="D1368" s="128" t="n">
        <x:f>'Итоги'!$B$8*AVERAGE($C$2:C1368)</x:f>
        <x:v>1.2908522592250449</x:v>
      </x:c>
      <x:c r="E1368" s="128" t="n">
        <x:f>'Итоги'!$B$9</x:f>
        <x:v>1.2958368660043291</x:v>
      </x:c>
      <x:c r="F1368" s="129" t="n">
        <x:f>ABS(D1368-E1368)</x:f>
        <x:v>0.004984606779284251</x:v>
      </x:c>
    </x:row>
    <x:row r="1369">
      <x:c r="A1369" s="107" t="n">
        <x:v>1368</x:v>
      </x:c>
      <x:c r="B1369" s="128" t="n">
        <x:v>1.2792473083582414</x:v>
      </x:c>
      <x:c r="C1369" s="128" t="n">
        <x:f>LN(B1369)</x:f>
        <x:v>0.24627186462286846</x:v>
      </x:c>
      <x:c r="D1369" s="128" t="n">
        <x:f>'Итоги'!$B$8*AVERAGE($C$2:C1369)</x:f>
        <x:v>1.2902687003581008</x:v>
      </x:c>
      <x:c r="E1369" s="128" t="n">
        <x:f>'Итоги'!$B$9</x:f>
        <x:v>1.2958368660043291</x:v>
      </x:c>
      <x:c r="F1369" s="129" t="n">
        <x:f>ABS(D1369-E1369)</x:f>
        <x:v>0.005568165646228307</x:v>
      </x:c>
    </x:row>
    <x:row r="1370">
      <x:c r="A1370" s="107" t="n">
        <x:v>1369</x:v>
      </x:c>
      <x:c r="B1370" s="128" t="n">
        <x:v>1.3769486060246028</x:v>
      </x:c>
      <x:c r="C1370" s="128" t="n">
        <x:f>LN(B1370)</x:f>
        <x:v>0.3198698959015551</x:v>
      </x:c>
      <x:c r="D1370" s="128" t="n">
        <x:f>'Итоги'!$B$8*AVERAGE($C$2:C1370)</x:f>
        <x:v>1.2897935148880095</x:v>
      </x:c>
      <x:c r="E1370" s="128" t="n">
        <x:f>'Итоги'!$B$9</x:f>
        <x:v>1.2958368660043291</x:v>
      </x:c>
      <x:c r="F1370" s="129" t="n">
        <x:f>ABS(D1370-E1370)</x:f>
        <x:v>0.006043351116319595</x:v>
      </x:c>
    </x:row>
    <x:row r="1371">
      <x:c r="A1371" s="107" t="n">
        <x:v>1370</x:v>
      </x:c>
      <x:c r="B1371" s="128" t="n">
        <x:v>1.688282156126696</x:v>
      </x:c>
      <x:c r="C1371" s="128" t="n">
        <x:f>LN(B1371)</x:f>
        <x:v>0.5237115363085677</x:v>
      </x:c>
      <x:c r="D1371" s="128" t="n">
        <x:f>'Итоги'!$B$8*AVERAGE($C$2:C1371)</x:f>
        <x:v>1.289616602156425</x:v>
      </x:c>
      <x:c r="E1371" s="128" t="n">
        <x:f>'Итоги'!$B$9</x:f>
        <x:v>1.2958368660043291</x:v>
      </x:c>
      <x:c r="F1371" s="129" t="n">
        <x:f>ABS(D1371-E1371)</x:f>
        <x:v>0.006220263847904084</x:v>
      </x:c>
    </x:row>
    <x:row r="1372">
      <x:c r="A1372" s="107" t="n">
        <x:v>1371</x:v>
      </x:c>
      <x:c r="B1372" s="128" t="n">
        <x:v>1.193620298609943</x:v>
      </x:c>
      <x:c r="C1372" s="128" t="n">
        <x:f>LN(B1372)</x:f>
        <x:v>0.1769909565308175</x:v>
      </x:c>
      <x:c r="D1372" s="128" t="n">
        <x:f>'Итоги'!$B$8*AVERAGE($C$2:C1372)</x:f>
        <x:v>1.2889341552643063</x:v>
      </x:c>
      <x:c r="E1372" s="128" t="n">
        <x:f>'Итоги'!$B$9</x:f>
        <x:v>1.2958368660043291</x:v>
      </x:c>
      <x:c r="F1372" s="129" t="n">
        <x:f>ABS(D1372-E1372)</x:f>
        <x:v>0.006902710740022799</x:v>
      </x:c>
    </x:row>
    <x:row r="1373">
      <x:c r="A1373" s="107" t="n">
        <x:v>1372</x:v>
      </x:c>
      <x:c r="B1373" s="128" t="n">
        <x:v>2.894639591459209</x:v>
      </x:c>
      <x:c r="C1373" s="128" t="n">
        <x:f>LN(B1373)</x:f>
        <x:v>1.0628606098239552</x:v>
      </x:c>
      <x:c r="D1373" s="128" t="n">
        <x:f>'Итоги'!$B$8*AVERAGE($C$2:C1373)</x:f>
        <x:v>1.2895440583724578</x:v>
      </x:c>
      <x:c r="E1373" s="128" t="n">
        <x:f>'Итоги'!$B$9</x:f>
        <x:v>1.2958368660043291</x:v>
      </x:c>
      <x:c r="F1373" s="129" t="n">
        <x:f>ABS(D1373-E1373)</x:f>
        <x:v>0.006292807631871344</x:v>
      </x:c>
    </x:row>
    <x:row r="1374">
      <x:c r="A1374" s="107" t="n">
        <x:v>1373</x:v>
      </x:c>
      <x:c r="B1374" s="128" t="n">
        <x:v>1.8099881229916346</x:v>
      </x:c>
      <x:c r="C1374" s="128" t="n">
        <x:f>LN(B1374)</x:f>
        <x:v>0.5933202833731304</x:v>
      </x:c>
      <x:c r="D1374" s="128" t="n">
        <x:f>'Итоги'!$B$8*AVERAGE($C$2:C1374)</x:f>
        <x:v>1.2894691104543032</x:v>
      </x:c>
      <x:c r="E1374" s="128" t="n">
        <x:f>'Итоги'!$B$9</x:f>
        <x:v>1.2958368660043291</x:v>
      </x:c>
      <x:c r="F1374" s="129" t="n">
        <x:f>ABS(D1374-E1374)</x:f>
        <x:v>0.006367755550025889</x:v>
      </x:c>
    </x:row>
    <x:row r="1375">
      <x:c r="A1375" s="107" t="n">
        <x:v>1374</x:v>
      </x:c>
      <x:c r="B1375" s="128" t="n">
        <x:v>2.617939205013498</x:v>
      </x:c>
      <x:c r="C1375" s="128" t="n">
        <x:f>LN(B1375)</x:f>
        <x:v>0.9623874452980974</x:v>
      </x:c>
      <x:c r="D1375" s="128" t="n">
        <x:f>'Итоги'!$B$8*AVERAGE($C$2:C1375)</x:f>
        <x:v>1.2899314872957455</x:v>
      </x:c>
      <x:c r="E1375" s="128" t="n">
        <x:f>'Итоги'!$B$9</x:f>
        <x:v>1.2958368660043291</x:v>
      </x:c>
      <x:c r="F1375" s="129" t="n">
        <x:f>ABS(D1375-E1375)</x:f>
        <x:v>0.005905378708583653</x:v>
      </x:c>
    </x:row>
    <x:row r="1376">
      <x:c r="A1376" s="107" t="n">
        <x:v>1375</x:v>
      </x:c>
      <x:c r="B1376" s="128" t="n">
        <x:v>2.948834246217693</x:v>
      </x:c>
      <x:c r="C1376" s="128" t="n">
        <x:f>LN(B1376)</x:f>
        <x:v>1.0814099214775188</x:v>
      </x:c>
      <x:c r="D1376" s="128" t="n">
        <x:f>'Итоги'!$B$8*AVERAGE($C$2:C1376)</x:f>
        <x:v>1.2905663151907705</x:v>
      </x:c>
      <x:c r="E1376" s="128" t="n">
        <x:f>'Итоги'!$B$9</x:f>
        <x:v>1.2958368660043291</x:v>
      </x:c>
      <x:c r="F1376" s="129" t="n">
        <x:f>ABS(D1376-E1376)</x:f>
        <x:v>0.00527055081355865</x:v>
      </x:c>
    </x:row>
    <x:row r="1377">
      <x:c r="A1377" s="107" t="n">
        <x:v>1376</x:v>
      </x:c>
      <x:c r="B1377" s="128" t="n">
        <x:v>1.1614705600054782</x:v>
      </x:c>
      <x:c r="C1377" s="128" t="n">
        <x:f>LN(B1377)</x:f>
        <x:v>0.1496869263771611</x:v>
      </x:c>
      <x:c r="D1377" s="128" t="n">
        <x:f>'Итоги'!$B$8*AVERAGE($C$2:C1377)</x:f>
        <x:v>1.2898459718314417</x:v>
      </x:c>
      <x:c r="E1377" s="128" t="n">
        <x:f>'Итоги'!$B$9</x:f>
        <x:v>1.2958368660043291</x:v>
      </x:c>
      <x:c r="F1377" s="129" t="n">
        <x:f>ABS(D1377-E1377)</x:f>
        <x:v>0.005990894172887451</x:v>
      </x:c>
    </x:row>
    <x:row r="1378">
      <x:c r="A1378" s="107" t="n">
        <x:v>1377</x:v>
      </x:c>
      <x:c r="B1378" s="128" t="n">
        <x:v>2.303338935869988</x:v>
      </x:c>
      <x:c r="C1378" s="128" t="n">
        <x:f>LN(B1378)</x:f>
        <x:v>0.8343597814688527</x:v>
      </x:c>
      <x:c r="D1378" s="128" t="n">
        <x:f>'Итоги'!$B$8*AVERAGE($C$2:C1378)</x:f>
        <x:v>1.2901211160515624</x:v>
      </x:c>
      <x:c r="E1378" s="128" t="n">
        <x:f>'Итоги'!$B$9</x:f>
        <x:v>1.2958368660043291</x:v>
      </x:c>
      <x:c r="F1378" s="129" t="n">
        <x:f>ABS(D1378-E1378)</x:f>
        <x:v>0.005715749952766691</x:v>
      </x:c>
    </x:row>
    <x:row r="1379">
      <x:c r="A1379" s="107" t="n">
        <x:v>1378</x:v>
      </x:c>
      <x:c r="B1379" s="128" t="n">
        <x:v>2.742818173482428</x:v>
      </x:c>
      <x:c r="C1379" s="128" t="n">
        <x:f>LN(B1379)</x:f>
        <x:v>1.0089859222929625</x:v>
      </x:c>
      <x:c r="D1379" s="128" t="n">
        <x:f>'Итоги'!$B$8*AVERAGE($C$2:C1379)</x:f>
        <x:v>1.2906493096136338</x:v>
      </x:c>
      <x:c r="E1379" s="128" t="n">
        <x:f>'Итоги'!$B$9</x:f>
        <x:v>1.2958368660043291</x:v>
      </x:c>
      <x:c r="F1379" s="129" t="n">
        <x:f>ABS(D1379-E1379)</x:f>
        <x:v>0.005187556390695347</x:v>
      </x:c>
    </x:row>
    <x:row r="1380">
      <x:c r="A1380" s="107" t="n">
        <x:v>1379</x:v>
      </x:c>
      <x:c r="B1380" s="128" t="n">
        <x:v>2.2684688679334566</x:v>
      </x:c>
      <x:c r="C1380" s="128" t="n">
        <x:f>LN(B1380)</x:f>
        <x:v>0.819105096392471</x:v>
      </x:c>
      <x:c r="D1380" s="128" t="n">
        <x:f>'Итоги'!$B$8*AVERAGE($C$2:C1380)</x:f>
        <x:v>1.2909013479625615</x:v>
      </x:c>
      <x:c r="E1380" s="128" t="n">
        <x:f>'Итоги'!$B$9</x:f>
        <x:v>1.2958368660043291</x:v>
      </x:c>
      <x:c r="F1380" s="129" t="n">
        <x:f>ABS(D1380-E1380)</x:f>
        <x:v>0.004935518041767617</x:v>
      </x:c>
    </x:row>
    <x:row r="1381">
      <x:c r="A1381" s="107" t="n">
        <x:v>1380</x:v>
      </x:c>
      <x:c r="B1381" s="128" t="n">
        <x:v>1.8580522427148254</x:v>
      </x:c>
      <x:c r="C1381" s="128" t="n">
        <x:f>LN(B1381)</x:f>
        <x:v>0.6195287577115425</x:v>
      </x:c>
      <x:c r="D1381" s="128" t="n">
        <x:f>'Итоги'!$B$8*AVERAGE($C$2:C1381)</x:f>
        <x:v>1.2908637799679676</x:v>
      </x:c>
      <x:c r="E1381" s="128" t="n">
        <x:f>'Итоги'!$B$9</x:f>
        <x:v>1.2958368660043291</x:v>
      </x:c>
      <x:c r="F1381" s="129" t="n">
        <x:f>ABS(D1381-E1381)</x:f>
        <x:v>0.004973086036361485</x:v>
      </x:c>
    </x:row>
    <x:row r="1382">
      <x:c r="A1382" s="107" t="n">
        <x:v>1381</x:v>
      </x:c>
      <x:c r="B1382" s="128" t="n">
        <x:v>1.8621527152758766</x:v>
      </x:c>
      <x:c r="C1382" s="128" t="n">
        <x:f>LN(B1382)</x:f>
        <x:v>0.6217331922886079</x:v>
      </x:c>
      <x:c r="D1382" s="128" t="n">
        <x:f>'Итоги'!$B$8*AVERAGE($C$2:C1382)</x:f>
        <x:v>1.290829458899618</x:v>
      </x:c>
      <x:c r="E1382" s="128" t="n">
        <x:f>'Итоги'!$B$9</x:f>
        <x:v>1.2958368660043291</x:v>
      </x:c>
      <x:c r="F1382" s="129" t="n">
        <x:f>ABS(D1382-E1382)</x:f>
        <x:v>0.005007407104711037</x:v>
      </x:c>
    </x:row>
    <x:row r="1383">
      <x:c r="A1383" s="107" t="n">
        <x:v>1382</x:v>
      </x:c>
      <x:c r="B1383" s="128" t="n">
        <x:v>1.0717977720147178</x:v>
      </x:c>
      <x:c r="C1383" s="128" t="n">
        <x:f>LN(B1383)</x:f>
        <x:v>0.06933739934414943</x:v>
      </x:c>
      <x:c r="D1383" s="128" t="n">
        <x:f>'Итоги'!$B$8*AVERAGE($C$2:C1383)</x:f>
        <x:v>1.2899957724595232</x:v>
      </x:c>
      <x:c r="E1383" s="128" t="n">
        <x:f>'Итоги'!$B$9</x:f>
        <x:v>1.2958368660043291</x:v>
      </x:c>
      <x:c r="F1383" s="129" t="n">
        <x:f>ABS(D1383-E1383)</x:f>
        <x:v>0.0058410935448058865</x:v>
      </x:c>
    </x:row>
    <x:row r="1384">
      <x:c r="A1384" s="107" t="n">
        <x:v>1383</x:v>
      </x:c>
      <x:c r="B1384" s="128" t="n">
        <x:v>2.069201502578551</x:v>
      </x:c>
      <x:c r="C1384" s="128" t="n">
        <x:f>LN(B1384)</x:f>
        <x:v>0.7271627853109603</x:v>
      </x:c>
      <x:c r="D1384" s="128" t="n">
        <x:f>'Итоги'!$B$8*AVERAGE($C$2:C1384)</x:f>
        <x:v>1.290114593716329</x:v>
      </x:c>
      <x:c r="E1384" s="128" t="n">
        <x:f>'Итоги'!$B$9</x:f>
        <x:v>1.2958368660043291</x:v>
      </x:c>
      <x:c r="F1384" s="129" t="n">
        <x:f>ABS(D1384-E1384)</x:f>
        <x:v>0.005722272288000152</x:v>
      </x:c>
    </x:row>
    <x:row r="1385">
      <x:c r="A1385" s="107" t="n">
        <x:v>1384</x:v>
      </x:c>
      <x:c r="B1385" s="128" t="n">
        <x:v>2.987085993573695</x:v>
      </x:c>
      <x:c r="C1385" s="128" t="n">
        <x:f>LN(B1385)</x:f>
        <x:v>1.0942983280976728</x:v>
      </x:c>
      <x:c r="D1385" s="128" t="n">
        <x:f>'Итоги'!$B$8*AVERAGE($C$2:C1385)</x:f>
        <x:v>1.2907637859580046</x:v>
      </x:c>
      <x:c r="E1385" s="128" t="n">
        <x:f>'Итоги'!$B$9</x:f>
        <x:v>1.2958368660043291</x:v>
      </x:c>
      <x:c r="F1385" s="129" t="n">
        <x:f>ABS(D1385-E1385)</x:f>
        <x:v>0.005073080046324563</x:v>
      </x:c>
    </x:row>
    <x:row r="1386">
      <x:c r="A1386" s="107" t="n">
        <x:v>1385</x:v>
      </x:c>
      <x:c r="B1386" s="128" t="n">
        <x:v>2.917415051943868</x:v>
      </x:c>
      <x:c r="C1386" s="128" t="n">
        <x:f>LN(B1386)</x:f>
        <x:v>1.0706979680259225</x:v>
      </x:c>
      <x:c r="D1386" s="128" t="n">
        <x:f>'Итоги'!$B$8*AVERAGE($C$2:C1386)</x:f>
        <x:v>1.2913779607956173</x:v>
      </x:c>
      <x:c r="E1386" s="128" t="n">
        <x:f>'Итоги'!$B$9</x:f>
        <x:v>1.2958368660043291</x:v>
      </x:c>
      <x:c r="F1386" s="129" t="n">
        <x:f>ABS(D1386-E1386)</x:f>
        <x:v>0.004458905208711839</x:v>
      </x:c>
    </x:row>
    <x:row r="1387">
      <x:c r="A1387" s="107" t="n">
        <x:v>1386</x:v>
      </x:c>
      <x:c r="B1387" s="128" t="n">
        <x:v>1.0807984576843264</x:v>
      </x:c>
      <x:c r="C1387" s="128" t="n">
        <x:f>LN(B1387)</x:f>
        <x:v>0.07770008064981236</x:v>
      </x:c>
      <x:c r="D1387" s="128" t="n">
        <x:f>'Итоги'!$B$8*AVERAGE($C$2:C1387)</x:f>
        <x:v>1.2905583519936723</x:v>
      </x:c>
      <x:c r="E1387" s="128" t="n">
        <x:f>'Итоги'!$B$9</x:f>
        <x:v>1.2958368660043291</x:v>
      </x:c>
      <x:c r="F1387" s="129" t="n">
        <x:f>ABS(D1387-E1387)</x:f>
        <x:v>0.005278514010656821</x:v>
      </x:c>
    </x:row>
    <x:row r="1388">
      <x:c r="A1388" s="107" t="n">
        <x:v>1387</x:v>
      </x:c>
      <x:c r="B1388" s="128" t="n">
        <x:v>2.4115940072589765</x:v>
      </x:c>
      <x:c r="C1388" s="128" t="n">
        <x:f>LN(B1388)</x:f>
        <x:v>0.8802879426652626</x:v>
      </x:c>
      <x:c r="D1388" s="128" t="n">
        <x:f>'Итоги'!$B$8*AVERAGE($C$2:C1388)</x:f>
        <x:v>1.290897225485624</x:v>
      </x:c>
      <x:c r="E1388" s="128" t="n">
        <x:f>'Итоги'!$B$9</x:f>
        <x:v>1.2958368660043291</x:v>
      </x:c>
      <x:c r="F1388" s="129" t="n">
        <x:f>ABS(D1388-E1388)</x:f>
        <x:v>0.004939640518705213</x:v>
      </x:c>
    </x:row>
    <x:row r="1389">
      <x:c r="A1389" s="107" t="n">
        <x:v>1388</x:v>
      </x:c>
      <x:c r="B1389" s="128" t="n">
        <x:v>1.6035297333938616</x:v>
      </x:c>
      <x:c r="C1389" s="128" t="n">
        <x:f>LN(B1389)</x:f>
        <x:v>0.4722072827879261</x:v>
      </x:c>
      <x:c r="D1389" s="128" t="n">
        <x:f>'Итоги'!$B$8*AVERAGE($C$2:C1389)</x:f>
        <x:v>1.290647598209032</x:v>
      </x:c>
      <x:c r="E1389" s="128" t="n">
        <x:f>'Итоги'!$B$9</x:f>
        <x:v>1.2958368660043291</x:v>
      </x:c>
      <x:c r="F1389" s="129" t="n">
        <x:f>ABS(D1389-E1389)</x:f>
        <x:v>0.005189267795297159</x:v>
      </x:c>
    </x:row>
    <x:row r="1390">
      <x:c r="A1390" s="107" t="n">
        <x:v>1389</x:v>
      </x:c>
      <x:c r="B1390" s="128" t="n">
        <x:v>2.8059783068122734</x:v>
      </x:c>
      <x:c r="C1390" s="128" t="n">
        <x:f>LN(B1390)</x:f>
        <x:v>1.0317522506497696</x:v>
      </x:c>
      <x:c r="D1390" s="128" t="n">
        <x:f>'Итоги'!$B$8*AVERAGE($C$2:C1390)</x:f>
        <x:v>1.2912040106662606</x:v>
      </x:c>
      <x:c r="E1390" s="128" t="n">
        <x:f>'Итоги'!$B$9</x:f>
        <x:v>1.2958368660043291</x:v>
      </x:c>
      <x:c r="F1390" s="129" t="n">
        <x:f>ABS(D1390-E1390)</x:f>
        <x:v>0.004632855338068564</x:v>
      </x:c>
    </x:row>
    <x:row r="1391">
      <x:c r="A1391" s="107" t="n">
        <x:v>1390</x:v>
      </x:c>
      <x:c r="B1391" s="128" t="n">
        <x:v>1.090229491418557</x:v>
      </x:c>
      <x:c r="C1391" s="128" t="n">
        <x:f>LN(B1391)</x:f>
        <x:v>0.08638821666590478</x:v>
      </x:c>
      <x:c r="D1391" s="128" t="n">
        <x:f>'Итоги'!$B$8*AVERAGE($C$2:C1391)</x:f>
        <x:v>1.2903993865099048</x:v>
      </x:c>
      <x:c r="E1391" s="128" t="n">
        <x:f>'Итоги'!$B$9</x:f>
        <x:v>1.2958368660043291</x:v>
      </x:c>
      <x:c r="F1391" s="129" t="n">
        <x:f>ABS(D1391-E1391)</x:f>
        <x:v>0.005437479494424302</x:v>
      </x:c>
    </x:row>
    <x:row r="1392">
      <x:c r="A1392" s="107" t="n">
        <x:v>1391</x:v>
      </x:c>
      <x:c r="B1392" s="128" t="n">
        <x:v>2.871748204022161</x:v>
      </x:c>
      <x:c r="C1392" s="128" t="n">
        <x:f>LN(B1392)</x:f>
        <x:v>1.0549209746482688</x:v>
      </x:c>
      <x:c r="D1392" s="128" t="n">
        <x:f>'Итоги'!$B$8*AVERAGE($C$2:C1392)</x:f>
        <x:v>1.2909884897182344</x:v>
      </x:c>
      <x:c r="E1392" s="128" t="n">
        <x:f>'Итоги'!$B$9</x:f>
        <x:v>1.2958368660043291</x:v>
      </x:c>
      <x:c r="F1392" s="129" t="n">
        <x:f>ABS(D1392-E1392)</x:f>
        <x:v>0.004848376286094691</x:v>
      </x:c>
    </x:row>
    <x:row r="1393">
      <x:c r="A1393" s="107" t="n">
        <x:v>1392</x:v>
      </x:c>
      <x:c r="B1393" s="128" t="n">
        <x:v>2.674951487575554</x:v>
      </x:c>
      <x:c r="C1393" s="128" t="n">
        <x:f>LN(B1393)</x:f>
        <x:v>0.9839312446977456</x:v>
      </x:c>
      <x:c r="D1393" s="128" t="n">
        <x:f>'Итоги'!$B$8*AVERAGE($C$2:C1393)</x:f>
        <x:v>1.2914747497754737</x:v>
      </x:c>
      <x:c r="E1393" s="128" t="n">
        <x:f>'Итоги'!$B$9</x:f>
        <x:v>1.2958368660043291</x:v>
      </x:c>
      <x:c r="F1393" s="129" t="n">
        <x:f>ABS(D1393-E1393)</x:f>
        <x:v>0.004362116228855406</x:v>
      </x:c>
    </x:row>
    <x:row r="1394">
      <x:c r="A1394" s="107" t="n">
        <x:v>1393</x:v>
      </x:c>
      <x:c r="B1394" s="128" t="n">
        <x:v>1.235008764505203</x:v>
      </x:c>
      <x:c r="C1394" s="128" t="n">
        <x:f>LN(B1394)</x:f>
        <x:v>0.2110780668201052</x:v>
      </x:c>
      <x:c r="D1394" s="128" t="n">
        <x:f>'Итоги'!$B$8*AVERAGE($C$2:C1394)</x:f>
        <x:v>1.2908506875959078</x:v>
      </x:c>
      <x:c r="E1394" s="128" t="n">
        <x:f>'Итоги'!$B$9</x:f>
        <x:v>1.2958368660043291</x:v>
      </x:c>
      <x:c r="F1394" s="129" t="n">
        <x:f>ABS(D1394-E1394)</x:f>
        <x:v>0.0049861784084213046</x:v>
      </x:c>
    </x:row>
    <x:row r="1395">
      <x:c r="A1395" s="107" t="n">
        <x:v>1394</x:v>
      </x:c>
      <x:c r="B1395" s="128" t="n">
        <x:v>1.1196486746345984</x:v>
      </x:c>
      <x:c r="C1395" s="128" t="n">
        <x:f>LN(B1395)</x:f>
        <x:v>0.11301495273612071</x:v>
      </x:c>
      <x:c r="D1395" s="128" t="n">
        <x:f>'Итоги'!$B$8*AVERAGE($C$2:C1395)</x:f>
        <x:v>1.290086827637426</x:v>
      </x:c>
      <x:c r="E1395" s="128" t="n">
        <x:f>'Итоги'!$B$9</x:f>
        <x:v>1.2958368660043291</x:v>
      </x:c>
      <x:c r="F1395" s="129" t="n">
        <x:f>ABS(D1395-E1395)</x:f>
        <x:v>0.005750038366903132</x:v>
      </x:c>
    </x:row>
    <x:row r="1396">
      <x:c r="A1396" s="107" t="n">
        <x:v>1395</x:v>
      </x:c>
      <x:c r="B1396" s="128" t="n">
        <x:v>2.669415328653872</x:v>
      </x:c>
      <x:c r="C1396" s="128" t="n">
        <x:f>LN(B1396)</x:f>
        <x:v>0.9818594704007105</x:v>
      </x:c>
      <x:c r="D1396" s="128" t="n">
        <x:f>'Итоги'!$B$8*AVERAGE($C$2:C1396)</x:f>
        <x:v>1.2905697180411277</x:v>
      </x:c>
      <x:c r="E1396" s="128" t="n">
        <x:f>'Итоги'!$B$9</x:f>
        <x:v>1.2958368660043291</x:v>
      </x:c>
      <x:c r="F1396" s="129" t="n">
        <x:f>ABS(D1396-E1396)</x:f>
        <x:v>0.00526714796320138</x:v>
      </x:c>
    </x:row>
    <x:row r="1397">
      <x:c r="A1397" s="107" t="n">
        <x:v>1396</x:v>
      </x:c>
      <x:c r="B1397" s="128" t="n">
        <x:v>1.3115153419491588</x:v>
      </x:c>
      <x:c r="C1397" s="128" t="n">
        <x:f>LN(B1397)</x:f>
        <x:v>0.2711832182732658</x:v>
      </x:c>
      <x:c r="D1397" s="128" t="n">
        <x:f>'Итоги'!$B$8*AVERAGE($C$2:C1397)</x:f>
        <x:v>1.2900337558051</x:v>
      </x:c>
      <x:c r="E1397" s="128" t="n">
        <x:f>'Итоги'!$B$9</x:f>
        <x:v>1.2958368660043291</x:v>
      </x:c>
      <x:c r="F1397" s="129" t="n">
        <x:f>ABS(D1397-E1397)</x:f>
        <x:v>0.005803110199229078</x:v>
      </x:c>
    </x:row>
    <x:row r="1398">
      <x:c r="A1398" s="107" t="n">
        <x:v>1397</x:v>
      </x:c>
      <x:c r="B1398" s="128" t="n">
        <x:v>2.069796305951741</x:v>
      </x:c>
      <x:c r="C1398" s="128" t="n">
        <x:f>LN(B1398)</x:f>
        <x:v>0.7274501995135283</x:v>
      </x:c>
      <x:c r="D1398" s="128" t="n">
        <x:f>'Итоги'!$B$8*AVERAGE($C$2:C1398)</x:f>
        <x:v>1.2901517705819232</x:v>
      </x:c>
      <x:c r="E1398" s="128" t="n">
        <x:f>'Итоги'!$B$9</x:f>
        <x:v>1.2958368660043291</x:v>
      </x:c>
      <x:c r="F1398" s="129" t="n">
        <x:f>ABS(D1398-E1398)</x:f>
        <x:v>0.005685095422405917</x:v>
      </x:c>
    </x:row>
    <x:row r="1399">
      <x:c r="A1399" s="107" t="n">
        <x:v>1398</x:v>
      </x:c>
      <x:c r="B1399" s="128" t="n">
        <x:v>2.831489715757419</x:v>
      </x:c>
      <x:c r="C1399" s="128" t="n">
        <x:f>LN(B1399)</x:f>
        <x:v>1.0408029744822798</x:v>
      </x:c>
      <x:c r="D1399" s="128" t="n">
        <x:f>'Итоги'!$B$8*AVERAGE($C$2:C1399)</x:f>
        <x:v>1.290717903756732</x:v>
      </x:c>
      <x:c r="E1399" s="128" t="n">
        <x:f>'Итоги'!$B$9</x:f>
        <x:v>1.2958368660043291</x:v>
      </x:c>
      <x:c r="F1399" s="129" t="n">
        <x:f>ABS(D1399-E1399)</x:f>
        <x:v>0.005118962247597114</x:v>
      </x:c>
    </x:row>
    <x:row r="1400">
      <x:c r="A1400" s="107" t="n">
        <x:v>1399</x:v>
      </x:c>
      <x:c r="B1400" s="128" t="n">
        <x:v>2.134896227098647</x:v>
      </x:c>
      <x:c r="C1400" s="128" t="n">
        <x:f>LN(B1400)</x:f>
        <x:v>0.7584180399248944</x:v>
      </x:c>
      <x:c r="D1400" s="128" t="n">
        <x:f>'Итоги'!$B$8*AVERAGE($C$2:C1400)</x:f>
        <x:v>1.2908795321885356</x:v>
      </x:c>
      <x:c r="E1400" s="128" t="n">
        <x:f>'Итоги'!$B$9</x:f>
        <x:v>1.2958368660043291</x:v>
      </x:c>
      <x:c r="F1400" s="129" t="n">
        <x:f>ABS(D1400-E1400)</x:f>
        <x:v>0.004957333815793552</x:v>
      </x:c>
    </x:row>
    <x:row r="1401">
      <x:c r="A1401" s="107" t="n">
        <x:v>1400</x:v>
      </x:c>
      <x:c r="B1401" s="128" t="n">
        <x:v>1.7944666029456482</x:v>
      </x:c>
      <x:c r="C1401" s="128" t="n">
        <x:f>LN(B1401)</x:f>
        <x:v>0.5847078206469691</x:v>
      </x:c>
      <x:c r="D1401" s="128" t="n">
        <x:f>'Итоги'!$B$8*AVERAGE($C$2:C1401)</x:f>
        <x:v>1.2907927722664678</x:v>
      </x:c>
      <x:c r="E1401" s="128" t="n">
        <x:f>'Итоги'!$B$9</x:f>
        <x:v>1.2958368660043291</x:v>
      </x:c>
      <x:c r="F1401" s="129" t="n">
        <x:f>ABS(D1401-E1401)</x:f>
        <x:v>0.005044093737861299</x:v>
      </x:c>
    </x:row>
    <x:row r="1402">
      <x:c r="A1402" s="107" t="n">
        <x:v>1401</x:v>
      </x:c>
      <x:c r="B1402" s="128" t="n">
        <x:v>1.8900321097079844</x:v>
      </x:c>
      <x:c r="C1402" s="128" t="n">
        <x:f>LN(B1402)</x:f>
        <x:v>0.6365938181907189</x:v>
      </x:c>
      <x:c r="D1402" s="128" t="n">
        <x:f>'Итоги'!$B$8*AVERAGE($C$2:C1402)</x:f>
        <x:v>1.290780206145208</x:v>
      </x:c>
      <x:c r="E1402" s="128" t="n">
        <x:f>'Итоги'!$B$9</x:f>
        <x:v>1.2958368660043291</x:v>
      </x:c>
      <x:c r="F1402" s="129" t="n">
        <x:f>ABS(D1402-E1402)</x:f>
        <x:v>0.005056659859121071</x:v>
      </x:c>
    </x:row>
    <x:row r="1403">
      <x:c r="A1403" s="107" t="n">
        <x:v>1402</x:v>
      </x:c>
      <x:c r="B1403" s="128" t="n">
        <x:v>1.126234341407742</x:v>
      </x:c>
      <x:c r="C1403" s="128" t="n">
        <x:f>LN(B1403)</x:f>
        <x:v>0.11887962654319682</x:v>
      </x:c>
      <x:c r="D1403" s="128" t="n">
        <x:f>'Итоги'!$B$8*AVERAGE($C$2:C1403)</x:f>
        <x:v>1.290029121299945</x:v>
      </x:c>
      <x:c r="E1403" s="128" t="n">
        <x:f>'Итоги'!$B$9</x:f>
        <x:v>1.2958368660043291</x:v>
      </x:c>
      <x:c r="F1403" s="129" t="n">
        <x:f>ABS(D1403-E1403)</x:f>
        <x:v>0.005807744704384055</x:v>
      </x:c>
    </x:row>
    <x:row r="1404">
      <x:c r="A1404" s="107" t="n">
        <x:v>1403</x:v>
      </x:c>
      <x:c r="B1404" s="128" t="n">
        <x:v>2.937504642723198</x:v>
      </x:c>
      <x:c r="C1404" s="128" t="n">
        <x:f>LN(B1404)</x:f>
        <x:v>1.0775604599705426</x:v>
      </x:c>
      <x:c r="D1404" s="128" t="n">
        <x:f>'Итоги'!$B$8*AVERAGE($C$2:C1404)</x:f>
        <x:v>1.2906457227244932</x:v>
      </x:c>
      <x:c r="E1404" s="128" t="n">
        <x:f>'Итоги'!$B$9</x:f>
        <x:v>1.2958368660043291</x:v>
      </x:c>
      <x:c r="F1404" s="129" t="n">
        <x:f>ABS(D1404-E1404)</x:f>
        <x:v>0.005191143279835941</x:v>
      </x:c>
    </x:row>
    <x:row r="1405">
      <x:c r="A1405" s="107" t="n">
        <x:v>1404</x:v>
      </x:c>
      <x:c r="B1405" s="128" t="n">
        <x:v>1.6213083701621656</x:v>
      </x:c>
      <x:c r="C1405" s="128" t="n">
        <x:f>LN(B1405)</x:f>
        <x:v>0.4832334591844826</x:v>
      </x:c>
      <x:c r="D1405" s="128" t="n">
        <x:f>'Итоги'!$B$8*AVERAGE($C$2:C1405)</x:f>
        <x:v>1.2904148261401944</x:v>
      </x:c>
      <x:c r="E1405" s="128" t="n">
        <x:f>'Итоги'!$B$9</x:f>
        <x:v>1.2958368660043291</x:v>
      </x:c>
      <x:c r="F1405" s="129" t="n">
        <x:f>ABS(D1405-E1405)</x:f>
        <x:v>0.005422039864134698</x:v>
      </x:c>
    </x:row>
    <x:row r="1406">
      <x:c r="A1406" s="107" t="n">
        <x:v>1405</x:v>
      </x:c>
      <x:c r="B1406" s="128" t="n">
        <x:v>1.3787269833457076</x:v>
      </x:c>
      <x:c r="C1406" s="128" t="n">
        <x:f>LN(B1406)</x:f>
        <x:v>0.32116059758999016</x:v>
      </x:c>
      <x:c r="D1406" s="128" t="n">
        <x:f>'Итоги'!$B$8*AVERAGE($C$2:C1406)</x:f>
        <x:v>1.2899535495345287</x:v>
      </x:c>
      <x:c r="E1406" s="128" t="n">
        <x:f>'Итоги'!$B$9</x:f>
        <x:v>1.2958368660043291</x:v>
      </x:c>
      <x:c r="F1406" s="129" t="n">
        <x:f>ABS(D1406-E1406)</x:f>
        <x:v>0.005883316469800448</x:v>
      </x:c>
    </x:row>
    <x:row r="1407">
      <x:c r="A1407" s="107" t="n">
        <x:v>1406</x:v>
      </x:c>
      <x:c r="B1407" s="128" t="n">
        <x:v>1.5720946036807906</x:v>
      </x:c>
      <x:c r="C1407" s="128" t="n">
        <x:f>LN(B1407)</x:f>
        <x:v>0.4524088726547618</x:v>
      </x:c>
      <x:c r="D1407" s="128" t="n">
        <x:f>'Итоги'!$B$8*AVERAGE($C$2:C1407)</x:f>
        <x:v>1.289679626487427</x:v>
      </x:c>
      <x:c r="E1407" s="128" t="n">
        <x:f>'Итоги'!$B$9</x:f>
        <x:v>1.2958368660043291</x:v>
      </x:c>
      <x:c r="F1407" s="129" t="n">
        <x:f>ABS(D1407-E1407)</x:f>
        <x:v>0.006157239516902058</x:v>
      </x:c>
    </x:row>
    <x:row r="1408">
      <x:c r="A1408" s="107" t="n">
        <x:v>1407</x:v>
      </x:c>
      <x:c r="B1408" s="128" t="n">
        <x:v>2.9287463897829578</x:v>
      </x:c>
      <x:c r="C1408" s="128" t="n">
        <x:f>LN(B1408)</x:f>
        <x:v>1.0745744781572333</x:v>
      </x:c>
      <x:c r="D1408" s="128" t="n">
        <x:f>'Итоги'!$B$8*AVERAGE($C$2:C1408)</x:f>
        <x:v>1.2902904788895784</x:v>
      </x:c>
      <x:c r="E1408" s="128" t="n">
        <x:f>'Итоги'!$B$9</x:f>
        <x:v>1.2958368660043291</x:v>
      </x:c>
      <x:c r="F1408" s="129" t="n">
        <x:f>ABS(D1408-E1408)</x:f>
        <x:v>0.00554638711475075</x:v>
      </x:c>
    </x:row>
    <x:row r="1409">
      <x:c r="A1409" s="107" t="n">
        <x:v>1408</x:v>
      </x:c>
      <x:c r="B1409" s="128" t="n">
        <x:v>1.188572106976014</x:v>
      </x:c>
      <x:c r="C1409" s="128" t="n">
        <x:f>LN(B1409)</x:f>
        <x:v>0.17275267655072973</x:v>
      </x:c>
      <x:c r="D1409" s="128" t="n">
        <x:f>'Итоги'!$B$8*AVERAGE($C$2:C1409)</x:f>
        <x:v>1.2896194667263767</x:v>
      </x:c>
      <x:c r="E1409" s="128" t="n">
        <x:f>'Итоги'!$B$9</x:f>
        <x:v>1.2958368660043291</x:v>
      </x:c>
      <x:c r="F1409" s="129" t="n">
        <x:f>ABS(D1409-E1409)</x:f>
        <x:v>0.006217399277952396</x:v>
      </x:c>
    </x:row>
    <x:row r="1410">
      <x:c r="A1410" s="107" t="n">
        <x:v>1409</x:v>
      </x:c>
      <x:c r="B1410" s="128" t="n">
        <x:v>2.7346060810023625</x:v>
      </x:c>
      <x:c r="C1410" s="128" t="n">
        <x:f>LN(B1410)</x:f>
        <x:v>1.0059873966168262</x:v>
      </x:c>
      <x:c r="D1410" s="128" t="n">
        <x:f>'Итоги'!$B$8*AVERAGE($C$2:C1410)</x:f>
        <x:v>1.2901321390659843</x:v>
      </x:c>
      <x:c r="E1410" s="128" t="n">
        <x:f>'Итоги'!$B$9</x:f>
        <x:v>1.2958368660043291</x:v>
      </x:c>
      <x:c r="F1410" s="129" t="n">
        <x:f>ABS(D1410-E1410)</x:f>
        <x:v>0.005704726938344784</x:v>
      </x:c>
    </x:row>
    <x:row r="1411">
      <x:c r="A1411" s="107" t="n">
        <x:v>1410</x:v>
      </x:c>
      <x:c r="B1411" s="128" t="n">
        <x:v>2.4156877888028956</x:v>
      </x:c>
      <x:c r="C1411" s="128" t="n">
        <x:f>LN(B1411)</x:f>
        <x:v>0.8819840452332387</x:v>
      </x:c>
      <x:c r="D1411" s="128" t="n">
        <x:f>'Итоги'!$B$8*AVERAGE($C$2:C1411)</x:f>
        <x:v>1.290468192932226</x:v>
      </x:c>
      <x:c r="E1411" s="128" t="n">
        <x:f>'Итоги'!$B$9</x:f>
        <x:v>1.2958368660043291</x:v>
      </x:c>
      <x:c r="F1411" s="129" t="n">
        <x:f>ABS(D1411-E1411)</x:f>
        <x:v>0.005368673072103203</x:v>
      </x:c>
    </x:row>
    <x:row r="1412">
      <x:c r="A1412" s="107" t="n">
        <x:v>1411</x:v>
      </x:c>
      <x:c r="B1412" s="128" t="n">
        <x:v>2.6600383583180562</x:v>
      </x:c>
      <x:c r="C1412" s="128" t="n">
        <x:f>LN(B1412)</x:f>
        <x:v>0.9783405431099563</x:v>
      </x:c>
      <x:c r="D1412" s="128" t="n">
        <x:f>'Итоги'!$B$8*AVERAGE($C$2:C1412)</x:f>
        <x:v>1.290940349483103</x:v>
      </x:c>
      <x:c r="E1412" s="128" t="n">
        <x:f>'Итоги'!$B$9</x:f>
        <x:v>1.2958368660043291</x:v>
      </x:c>
      <x:c r="F1412" s="129" t="n">
        <x:f>ABS(D1412-E1412)</x:f>
        <x:v>0.004896516521226024</x:v>
      </x:c>
    </x:row>
    <x:row r="1413">
      <x:c r="A1413" s="107" t="n">
        <x:v>1412</x:v>
      </x:c>
      <x:c r="B1413" s="128" t="n">
        <x:v>2.951795080735793</x:v>
      </x:c>
      <x:c r="C1413" s="128" t="n">
        <x:f>LN(B1413)</x:f>
        <x:v>1.082413487233827</x:v>
      </x:c>
      <x:c r="D1413" s="128" t="n">
        <x:f>'Итоги'!$B$8*AVERAGE($C$2:C1413)</x:f>
        <x:v>1.2915592493591543</x:v>
      </x:c>
      <x:c r="E1413" s="128" t="n">
        <x:f>'Итоги'!$B$9</x:f>
        <x:v>1.2958368660043291</x:v>
      </x:c>
      <x:c r="F1413" s="129" t="n">
        <x:f>ABS(D1413-E1413)</x:f>
        <x:v>0.004277616645174787</x:v>
      </x:c>
    </x:row>
    <x:row r="1414">
      <x:c r="A1414" s="107" t="n">
        <x:v>1413</x:v>
      </x:c>
      <x:c r="B1414" s="128" t="n">
        <x:v>2.6843093110337435</x:v>
      </x:c>
      <x:c r="C1414" s="128" t="n">
        <x:f>LN(B1414)</x:f>
        <x:v>0.9874234550305289</x:v>
      </x:c>
      <x:c r="D1414" s="128" t="n">
        <x:f>'Итоги'!$B$8*AVERAGE($C$2:C1414)</x:f>
        <x:v>1.292042821659722</x:v>
      </x:c>
      <x:c r="E1414" s="128" t="n">
        <x:f>'Итоги'!$B$9</x:f>
        <x:v>1.2958368660043291</x:v>
      </x:c>
      <x:c r="F1414" s="129" t="n">
        <x:f>ABS(D1414-E1414)</x:f>
        <x:v>0.0037940443446071725</x:v>
      </x:c>
    </x:row>
    <x:row r="1415">
      <x:c r="A1415" s="107" t="n">
        <x:v>1414</x:v>
      </x:c>
      <x:c r="B1415" s="128" t="n">
        <x:v>2.8867647025557055</x:v>
      </x:c>
      <x:c r="C1415" s="128" t="n">
        <x:f>LN(B1415)</x:f>
        <x:v>1.0601363949539295</x:v>
      </x:c>
      <x:c r="D1415" s="128" t="n">
        <x:f>'Итоги'!$B$8*AVERAGE($C$2:C1415)</x:f>
        <x:v>1.2926285571393883</x:v>
      </x:c>
      <x:c r="E1415" s="128" t="n">
        <x:f>'Итоги'!$B$9</x:f>
        <x:v>1.2958368660043291</x:v>
      </x:c>
      <x:c r="F1415" s="129" t="n">
        <x:f>ABS(D1415-E1415)</x:f>
        <x:v>0.0032083088649408342</x:v>
      </x:c>
    </x:row>
    <x:row r="1416">
      <x:c r="A1416" s="107" t="n">
        <x:v>1415</x:v>
      </x:c>
      <x:c r="B1416" s="128" t="n">
        <x:v>1.2538705135818395</x:v>
      </x:c>
      <x:c r="C1416" s="128" t="n">
        <x:f>LN(B1416)</x:f>
        <x:v>0.22623517817251465</x:v>
      </x:c>
      <x:c r="D1416" s="128" t="n">
        <x:f>'Итоги'!$B$8*AVERAGE($C$2:C1416)</x:f>
        <x:v>1.292034805760735</x:v>
      </x:c>
      <x:c r="E1416" s="128" t="n">
        <x:f>'Итоги'!$B$9</x:f>
        <x:v>1.2958368660043291</x:v>
      </x:c>
      <x:c r="F1416" s="129" t="n">
        <x:f>ABS(D1416-E1416)</x:f>
        <x:v>0.0038020602435941964</x:v>
      </x:c>
    </x:row>
    <x:row r="1417">
      <x:c r="A1417" s="107" t="n">
        <x:v>1416</x:v>
      </x:c>
      <x:c r="B1417" s="128" t="n">
        <x:v>2.59157713033394</x:v>
      </x:c>
      <x:c r="C1417" s="128" t="n">
        <x:f>LN(B1417)</x:f>
        <x:v>0.9522666210192835</x:v>
      </x:c>
      <x:c r="D1417" s="128" t="n">
        <x:f>'Итоги'!$B$8*AVERAGE($C$2:C1417)</x:f>
        <x:v>1.2924673611535866</x:v>
      </x:c>
      <x:c r="E1417" s="128" t="n">
        <x:f>'Итоги'!$B$9</x:f>
        <x:v>1.2958368660043291</x:v>
      </x:c>
      <x:c r="F1417" s="129" t="n">
        <x:f>ABS(D1417-E1417)</x:f>
        <x:v>0.0033695048507424996</x:v>
      </x:c>
    </x:row>
    <x:row r="1418">
      <x:c r="A1418" s="107" t="n">
        <x:v>1417</x:v>
      </x:c>
      <x:c r="B1418" s="128" t="n">
        <x:v>2.0913513881620958</x:v>
      </x:c>
      <x:c r="C1418" s="128" t="n">
        <x:f>LN(B1418)</x:f>
        <x:v>0.7378104542295579</x:v>
      </x:c>
      <x:c r="D1418" s="128" t="n">
        <x:f>'Итоги'!$B$8*AVERAGE($C$2:C1418)</x:f>
        <x:v>1.2925966155976978</x:v>
      </x:c>
      <x:c r="E1418" s="128" t="n">
        <x:f>'Итоги'!$B$9</x:f>
        <x:v>1.2958368660043291</x:v>
      </x:c>
      <x:c r="F1418" s="129" t="n">
        <x:f>ABS(D1418-E1418)</x:f>
        <x:v>0.00324025040663134</x:v>
      </x:c>
    </x:row>
    <x:row r="1419">
      <x:c r="A1419" s="107" t="n">
        <x:v>1418</x:v>
      </x:c>
      <x:c r="B1419" s="128" t="n">
        <x:v>2.086991190159721</x:v>
      </x:c>
      <x:c r="C1419" s="128" t="n">
        <x:f>LN(B1419)</x:f>
        <x:v>0.7357234067922973</x:v>
      </x:c>
      <x:c r="D1419" s="128" t="n">
        <x:f>'Итоги'!$B$8*AVERAGE($C$2:C1419)</x:f>
        <x:v>1.2927227440871103</x:v>
      </x:c>
      <x:c r="E1419" s="128" t="n">
        <x:f>'Итоги'!$B$9</x:f>
        <x:v>1.2958368660043291</x:v>
      </x:c>
      <x:c r="F1419" s="129" t="n">
        <x:f>ABS(D1419-E1419)</x:f>
        <x:v>0.003114121917218826</x:v>
      </x:c>
    </x:row>
    <x:row r="1420">
      <x:c r="A1420" s="107" t="n">
        <x:v>1419</x:v>
      </x:c>
      <x:c r="B1420" s="128" t="n">
        <x:v>2.7978431526410272</x:v>
      </x:c>
      <x:c r="C1420" s="128" t="n">
        <x:f>LN(B1420)</x:f>
        <x:v>1.0288488177174389</x:v>
      </x:c>
      <x:c r="D1420" s="128" t="n">
        <x:f>'Итоги'!$B$8*AVERAGE($C$2:C1420)</x:f>
        <x:v>1.2932618384432397</x:v>
      </x:c>
      <x:c r="E1420" s="128" t="n">
        <x:f>'Итоги'!$B$9</x:f>
        <x:v>1.2958368660043291</x:v>
      </x:c>
      <x:c r="F1420" s="129" t="n">
        <x:f>ABS(D1420-E1420)</x:f>
        <x:v>0.0025750275610894047</x:v>
      </x:c>
    </x:row>
    <x:row r="1421">
      <x:c r="A1421" s="107" t="n">
        <x:v>1420</x:v>
      </x:c>
      <x:c r="B1421" s="128" t="n">
        <x:v>2.9436076372934226</x:v>
      </x:c>
      <x:c r="C1421" s="128" t="n">
        <x:f>LN(B1421)</x:f>
        <x:v>1.0796359166088023</x:v>
      </x:c>
      <x:c r="D1421" s="128" t="n">
        <x:f>'Итоги'!$B$8*AVERAGE($C$2:C1421)</x:f>
        <x:v>1.2938717046367427</x:v>
      </x:c>
      <x:c r="E1421" s="128" t="n">
        <x:f>'Итоги'!$B$9</x:f>
        <x:v>1.2958368660043291</x:v>
      </x:c>
      <x:c r="F1421" s="129" t="n">
        <x:f>ABS(D1421-E1421)</x:f>
        <x:v>0.001965161367586399</x:v>
      </x:c>
    </x:row>
    <x:row r="1422">
      <x:c r="A1422" s="107" t="n">
        <x:v>1421</x:v>
      </x:c>
      <x:c r="B1422" s="128" t="n">
        <x:v>2.409676646086362</x:v>
      </x:c>
      <x:c r="C1422" s="128" t="n">
        <x:f>LN(B1422)</x:f>
        <x:v>0.8794925667523318</x:v>
      </x:c>
      <x:c r="D1422" s="128" t="n">
        <x:f>'Итоги'!$B$8*AVERAGE($C$2:C1422)</x:f>
        <x:v>1.2941990188020265</x:v>
      </x:c>
      <x:c r="E1422" s="128" t="n">
        <x:f>'Итоги'!$B$9</x:f>
        <x:v>1.2958368660043291</x:v>
      </x:c>
      <x:c r="F1422" s="129" t="n">
        <x:f>ABS(D1422-E1422)</x:f>
        <x:v>0.0016378472023026447</x:v>
      </x:c>
    </x:row>
    <x:row r="1423">
      <x:c r="A1423" s="107" t="n">
        <x:v>1422</x:v>
      </x:c>
      <x:c r="B1423" s="128" t="n">
        <x:v>1.9658767789435678</x:v>
      </x:c>
      <x:c r="C1423" s="128" t="n">
        <x:f>LN(B1423)</x:f>
        <x:v>0.6759383437401852</x:v>
      </x:c>
      <x:c r="D1423" s="128" t="n">
        <x:f>'Итоги'!$B$8*AVERAGE($C$2:C1423)</x:f>
        <x:v>1.294239579750464</x:v>
      </x:c>
      <x:c r="E1423" s="128" t="n">
        <x:f>'Итоги'!$B$9</x:f>
        <x:v>1.2958368660043291</x:v>
      </x:c>
      <x:c r="F1423" s="129" t="n">
        <x:f>ABS(D1423-E1423)</x:f>
        <x:v>0.0015972862538651267</x:v>
      </x:c>
    </x:row>
    <x:row r="1424">
      <x:c r="A1424" s="107" t="n">
        <x:v>1423</x:v>
      </x:c>
      <x:c r="B1424" s="128" t="n">
        <x:v>1.9128077158036907</x:v>
      </x:c>
      <x:c r="C1424" s="128" t="n">
        <x:f>LN(B1424)</x:f>
        <x:v>0.6485721709282519</x:v>
      </x:c>
      <x:c r="D1424" s="128" t="n">
        <x:f>'Итоги'!$B$8*AVERAGE($C$2:C1424)</x:f>
        <x:v>1.294241621044987</x:v>
      </x:c>
      <x:c r="E1424" s="128" t="n">
        <x:f>'Итоги'!$B$9</x:f>
        <x:v>1.2958368660043291</x:v>
      </x:c>
      <x:c r="F1424" s="129" t="n">
        <x:f>ABS(D1424-E1424)</x:f>
        <x:v>0.001595244959342157</x:v>
      </x:c>
    </x:row>
    <x:row r="1425">
      <x:c r="A1425" s="107" t="n">
        <x:v>1424</x:v>
      </x:c>
      <x:c r="B1425" s="128" t="n">
        <x:v>1.7726829144463636</x:v>
      </x:c>
      <x:c r="C1425" s="128" t="n">
        <x:f>LN(B1425)</x:f>
        <x:v>0.5724941698382596</x:v>
      </x:c>
      <x:c r="D1425" s="128" t="n">
        <x:f>'Итоги'!$B$8*AVERAGE($C$2:C1425)</x:f>
        <x:v>1.2941368083473967</x:v>
      </x:c>
      <x:c r="E1425" s="128" t="n">
        <x:f>'Итоги'!$B$9</x:f>
        <x:v>1.2958368660043291</x:v>
      </x:c>
      <x:c r="F1425" s="129" t="n">
        <x:f>ABS(D1425-E1425)</x:f>
        <x:v>0.0017000576569323744</x:v>
      </x:c>
    </x:row>
    <x:row r="1426">
      <x:c r="A1426" s="107" t="n">
        <x:v>1425</x:v>
      </x:c>
      <x:c r="B1426" s="128" t="n">
        <x:v>1.7231980591453253</x:v>
      </x:c>
      <x:c r="C1426" s="128" t="n">
        <x:f>LN(B1426)</x:f>
        <x:v>0.5441819011109297</x:v>
      </x:c>
      <x:c r="D1426" s="128" t="n">
        <x:f>'Итоги'!$B$8*AVERAGE($C$2:C1426)</x:f>
        <x:v>1.293992406237835</x:v>
      </x:c>
      <x:c r="E1426" s="128" t="n">
        <x:f>'Итоги'!$B$9</x:f>
        <x:v>1.2958368660043291</x:v>
      </x:c>
      <x:c r="F1426" s="129" t="n">
        <x:f>ABS(D1426-E1426)</x:f>
        <x:v>0.0018444597664941664</x:v>
      </x:c>
    </x:row>
    <x:row r="1427">
      <x:c r="A1427" s="107" t="n">
        <x:v>1426</x:v>
      </x:c>
      <x:c r="B1427" s="128" t="n">
        <x:v>1.7830136833688628</x:v>
      </x:c>
      <x:c r="C1427" s="128" t="n">
        <x:f>LN(B1427)</x:f>
        <x:v>0.5783050132031332</x:v>
      </x:c>
      <x:c r="D1427" s="128" t="n">
        <x:f>'Итоги'!$B$8*AVERAGE($C$2:C1427)</x:f>
        <x:v>1.2938960651580091</x:v>
      </x:c>
      <x:c r="E1427" s="128" t="n">
        <x:f>'Итоги'!$B$9</x:f>
        <x:v>1.2958368660043291</x:v>
      </x:c>
      <x:c r="F1427" s="129" t="n">
        <x:f>ABS(D1427-E1427)</x:f>
        <x:v>0.0019408008463199788</x:v>
      </x:c>
    </x:row>
    <x:row r="1428">
      <x:c r="A1428" s="107" t="n">
        <x:v>1427</x:v>
      </x:c>
      <x:c r="B1428" s="128" t="n">
        <x:v>1.1795064705023905</x:v>
      </x:c>
      <x:c r="C1428" s="128" t="n">
        <x:f>LN(B1428)</x:f>
        <x:v>0.16509610565163987</x:v>
      </x:c>
      <x:c r="D1428" s="128" t="n">
        <x:f>'Итоги'!$B$8*AVERAGE($C$2:C1428)</x:f>
        <x:v>1.2932207295911873</x:v>
      </x:c>
      <x:c r="E1428" s="128" t="n">
        <x:f>'Итоги'!$B$9</x:f>
        <x:v>1.2958368660043291</x:v>
      </x:c>
      <x:c r="F1428" s="129" t="n">
        <x:f>ABS(D1428-E1428)</x:f>
        <x:v>0.002616136413141845</x:v>
      </x:c>
    </x:row>
    <x:row r="1429">
      <x:c r="A1429" s="107" t="n">
        <x:v>1428</x:v>
      </x:c>
      <x:c r="B1429" s="128" t="n">
        <x:v>1.1548721705208764</x:v>
      </x:c>
      <x:c r="C1429" s="128" t="n">
        <x:f>LN(B1429)</x:f>
        <x:v>0.14398966297514104</x:v>
      </x:c>
      <x:c r="D1429" s="128" t="n">
        <x:f>'Итоги'!$B$8*AVERAGE($C$2:C1429)</x:f>
        <x:v>1.2925167790284136</x:v>
      </x:c>
      <x:c r="E1429" s="128" t="n">
        <x:f>'Итоги'!$B$9</x:f>
        <x:v>1.2958368660043291</x:v>
      </x:c>
      <x:c r="F1429" s="129" t="n">
        <x:f>ABS(D1429-E1429)</x:f>
        <x:v>0.0033200869759155704</x:v>
      </x:c>
    </x:row>
    <x:row r="1430">
      <x:c r="A1430" s="107" t="n">
        <x:v>1429</x:v>
      </x:c>
      <x:c r="B1430" s="128" t="n">
        <x:v>2.5597396877446235</x:v>
      </x:c>
      <x:c r="C1430" s="128" t="n">
        <x:f>LN(B1430)</x:f>
        <x:v>0.939905568846498</x:v>
      </x:c>
      <x:c r="D1430" s="128" t="n">
        <x:f>'Итоги'!$B$8*AVERAGE($C$2:C1430)</x:f>
        <x:v>1.292927761784652</x:v>
      </x:c>
      <x:c r="E1430" s="128" t="n">
        <x:f>'Итоги'!$B$9</x:f>
        <x:v>1.2958368660043291</x:v>
      </x:c>
      <x:c r="F1430" s="129" t="n">
        <x:f>ABS(D1430-E1430)</x:f>
        <x:v>0.002909104219677161</x:v>
      </x:c>
    </x:row>
    <x:row r="1431">
      <x:c r="A1431" s="107" t="n">
        <x:v>1430</x:v>
      </x:c>
      <x:c r="B1431" s="128" t="n">
        <x:v>1.8921457858404522</x:v>
      </x:c>
      <x:c r="C1431" s="128" t="n">
        <x:f>LN(B1431)</x:f>
        <x:v>0.6377115214880704</x:v>
      </x:c>
      <x:c r="D1431" s="128" t="n">
        <x:f>'Итоги'!$B$8*AVERAGE($C$2:C1431)</x:f>
        <x:v>1.292915520722548</x:v>
      </x:c>
      <x:c r="E1431" s="128" t="n">
        <x:f>'Итоги'!$B$9</x:f>
        <x:v>1.2958368660043291</x:v>
      </x:c>
      <x:c r="F1431" s="129" t="n">
        <x:f>ABS(D1431-E1431)</x:f>
        <x:v>0.002921345281781118</x:v>
      </x:c>
    </x:row>
    <x:row r="1432">
      <x:c r="A1432" s="107" t="n">
        <x:v>1431</x:v>
      </x:c>
      <x:c r="B1432" s="128" t="n">
        <x:v>2.861368977089241</x:v>
      </x:c>
      <x:c r="C1432" s="128" t="n">
        <x:f>LN(B1432)</x:f>
        <x:v>1.0513001736269356</x:v>
      </x:c>
      <x:c r="D1432" s="128" t="n">
        <x:f>'Итоги'!$B$8*AVERAGE($C$2:C1432)</x:f>
        <x:v>1.293481338211389</x:v>
      </x:c>
      <x:c r="E1432" s="128" t="n">
        <x:f>'Итоги'!$B$9</x:f>
        <x:v>1.2958368660043291</x:v>
      </x:c>
      <x:c r="F1432" s="129" t="n">
        <x:f>ABS(D1432-E1432)</x:f>
        <x:v>0.0023555277929401264</x:v>
      </x:c>
    </x:row>
    <x:row r="1433">
      <x:c r="A1433" s="107" t="n">
        <x:v>1432</x:v>
      </x:c>
      <x:c r="B1433" s="128" t="n">
        <x:v>2.224442017187905</x:v>
      </x:c>
      <x:c r="C1433" s="128" t="n">
        <x:f>LN(B1433)</x:f>
        <x:v>0.7995061053759914</x:v>
      </x:c>
      <x:c r="D1433" s="128" t="n">
        <x:f>'Итоги'!$B$8*AVERAGE($C$2:C1433)</x:f>
        <x:v>1.2936946977592525</x:v>
      </x:c>
      <x:c r="E1433" s="128" t="n">
        <x:f>'Итоги'!$B$9</x:f>
        <x:v>1.2958368660043291</x:v>
      </x:c>
      <x:c r="F1433" s="129" t="n">
        <x:f>ABS(D1433-E1433)</x:f>
        <x:v>0.0021421682450766255</x:v>
      </x:c>
    </x:row>
    <x:row r="1434">
      <x:c r="A1434" s="107" t="n">
        <x:v>1433</x:v>
      </x:c>
      <x:c r="B1434" s="128" t="n">
        <x:v>1.0703519643688395</x:v>
      </x:c>
      <x:c r="C1434" s="128" t="n">
        <x:f>LN(B1434)</x:f>
        <x:v>0.06798753304782067</x:v>
      </x:c>
      <x:c r="D1434" s="128" t="n">
        <x:f>'Итоги'!$B$8*AVERAGE($C$2:C1434)</x:f>
        <x:v>1.2928867985047767</x:v>
      </x:c>
      <x:c r="E1434" s="128" t="n">
        <x:f>'Итоги'!$B$9</x:f>
        <x:v>1.2958368660043291</x:v>
      </x:c>
      <x:c r="F1434" s="129" t="n">
        <x:f>ABS(D1434-E1434)</x:f>
        <x:v>0.0029500674995524</x:v>
      </x:c>
    </x:row>
    <x:row r="1435">
      <x:c r="A1435" s="107" t="n">
        <x:v>1434</x:v>
      </x:c>
      <x:c r="B1435" s="128" t="n">
        <x:v>1.315046682634959</x:v>
      </x:c>
      <x:c r="C1435" s="128" t="n">
        <x:f>LN(B1435)</x:f>
        <x:v>0.2738721651022445</x:v>
      </x:c>
      <x:c r="D1435" s="128" t="n">
        <x:f>'Итоги'!$B$8*AVERAGE($C$2:C1435)</x:f>
        <x:v>1.292367173352545</x:v>
      </x:c>
      <x:c r="E1435" s="128" t="n">
        <x:f>'Итоги'!$B$9</x:f>
        <x:v>1.2958368660043291</x:v>
      </x:c>
      <x:c r="F1435" s="129" t="n">
        <x:f>ABS(D1435-E1435)</x:f>
        <x:v>0.0034696926517840954</x:v>
      </x:c>
    </x:row>
    <x:row r="1436">
      <x:c r="A1436" s="107" t="n">
        <x:v>1435</x:v>
      </x:c>
      <x:c r="B1436" s="128" t="n">
        <x:v>1.4116395860260151</x:v>
      </x:c>
      <x:c r="C1436" s="128" t="n">
        <x:f>LN(B1436)</x:f>
        <x:v>0.34475185579925754</x:v>
      </x:c>
      <x:c r="D1436" s="128" t="n">
        <x:f>'Итоги'!$B$8*AVERAGE($C$2:C1436)</x:f>
        <x:v>1.2919470594419151</x:v>
      </x:c>
      <x:c r="E1436" s="128" t="n">
        <x:f>'Итоги'!$B$9</x:f>
        <x:v>1.2958368660043291</x:v>
      </x:c>
      <x:c r="F1436" s="129" t="n">
        <x:f>ABS(D1436-E1436)</x:f>
        <x:v>0.003889806562414</x:v>
      </x:c>
    </x:row>
    <x:row r="1437">
      <x:c r="A1437" s="107" t="n">
        <x:v>1436</x:v>
      </x:c>
      <x:c r="B1437" s="128" t="n">
        <x:v>2.951472048779321</x:v>
      </x:c>
      <x:c r="C1437" s="128" t="n">
        <x:f>LN(B1437)</x:f>
        <x:v>1.082304045479047</x:v>
      </x:c>
      <x:c r="D1437" s="128" t="n">
        <x:f>'Итоги'!$B$8*AVERAGE($C$2:C1437)</x:f>
        <x:v>1.292554762110102</x:v>
      </x:c>
      <x:c r="E1437" s="128" t="n">
        <x:f>'Итоги'!$B$9</x:f>
        <x:v>1.2958368660043291</x:v>
      </x:c>
      <x:c r="F1437" s="129" t="n">
        <x:f>ABS(D1437-E1437)</x:f>
        <x:v>0.0032821038942272285</x:v>
      </x:c>
    </x:row>
    <x:row r="1438">
      <x:c r="A1438" s="107" t="n">
        <x:v>1437</x:v>
      </x:c>
      <x:c r="B1438" s="128" t="n">
        <x:v>1.4374084523032697</x:v>
      </x:c>
      <x:c r="C1438" s="128" t="n">
        <x:f>LN(B1438)</x:f>
        <x:v>0.36284180630712304</x:v>
      </x:c>
      <x:c r="D1438" s="128" t="n">
        <x:f>'Итоги'!$B$8*AVERAGE($C$2:C1438)</x:f>
        <x:v>1.2921602797513712</x:v>
      </x:c>
      <x:c r="E1438" s="128" t="n">
        <x:f>'Итоги'!$B$9</x:f>
        <x:v>1.2958368660043291</x:v>
      </x:c>
      <x:c r="F1438" s="129" t="n">
        <x:f>ABS(D1438-E1438)</x:f>
        <x:v>0.0036765862529579696</x:v>
      </x:c>
    </x:row>
    <x:row r="1439">
      <x:c r="A1439" s="107" t="n">
        <x:v>1438</x:v>
      </x:c>
      <x:c r="B1439" s="128" t="n">
        <x:v>2.0315113525761026</x:v>
      </x:c>
      <x:c r="C1439" s="128" t="n">
        <x:f>LN(B1439)</x:f>
        <x:v>0.7087800247027854</x:v>
      </x:c>
      <x:c r="D1439" s="128" t="n">
        <x:f>'Итоги'!$B$8*AVERAGE($C$2:C1439)</x:f>
        <x:v>1.2922474840418123</x:v>
      </x:c>
      <x:c r="E1439" s="128" t="n">
        <x:f>'Итоги'!$B$9</x:f>
        <x:v>1.2958368660043291</x:v>
      </x:c>
      <x:c r="F1439" s="129" t="n">
        <x:f>ABS(D1439-E1439)</x:f>
        <x:v>0.003589381962516791</x:v>
      </x:c>
    </x:row>
    <x:row r="1440">
      <x:c r="A1440" s="107" t="n">
        <x:v>1439</x:v>
      </x:c>
      <x:c r="B1440" s="128" t="n">
        <x:v>2.8723538632803924</x:v>
      </x:c>
      <x:c r="C1440" s="128" t="n">
        <x:f>LN(B1440)</x:f>
        <x:v>1.0551318550446753</x:v>
      </x:c>
      <x:c r="D1440" s="128" t="n">
        <x:f>'Итоги'!$B$8*AVERAGE($C$2:C1440)</x:f>
        <x:v>1.2928159456304487</x:v>
      </x:c>
      <x:c r="E1440" s="128" t="n">
        <x:f>'Итоги'!$B$9</x:f>
        <x:v>1.2958368660043291</x:v>
      </x:c>
      <x:c r="F1440" s="129" t="n">
        <x:f>ABS(D1440-E1440)</x:f>
        <x:v>0.0030209203738804646</x:v>
      </x:c>
    </x:row>
    <x:row r="1441">
      <x:c r="A1441" s="107" t="n">
        <x:v>1440</x:v>
      </x:c>
      <x:c r="B1441" s="128" t="n">
        <x:v>2.954385459828715</x:v>
      </x:c>
      <x:c r="C1441" s="128" t="n">
        <x:f>LN(B1441)</x:f>
        <x:v>1.0832906630130723</x:v>
      </x:c>
      <x:c r="D1441" s="128" t="n">
        <x:f>'Итоги'!$B$8*AVERAGE($C$2:C1441)</x:f>
        <x:v>1.2934227271446121</x:v>
      </x:c>
      <x:c r="E1441" s="128" t="n">
        <x:f>'Итоги'!$B$9</x:f>
        <x:v>1.2958368660043291</x:v>
      </x:c>
      <x:c r="F1441" s="129" t="n">
        <x:f>ABS(D1441-E1441)</x:f>
        <x:v>0.0024141388597169744</x:v>
      </x:c>
    </x:row>
    <x:row r="1442">
      <x:c r="A1442" s="107" t="n">
        <x:v>1441</x:v>
      </x:c>
      <x:c r="B1442" s="128" t="n">
        <x:v>1.4727208707670891</x:v>
      </x:c>
      <x:c r="C1442" s="128" t="n">
        <x:f>LN(B1442)</x:f>
        <x:v>0.3871116224205184</x:v>
      </x:c>
      <x:c r="D1442" s="128" t="n">
        <x:f>'Итоги'!$B$8*AVERAGE($C$2:C1442)</x:f>
        <x:v>1.2930624221603626</x:v>
      </x:c>
      <x:c r="E1442" s="128" t="n">
        <x:f>'Итоги'!$B$9</x:f>
        <x:v>1.2958368660043291</x:v>
      </x:c>
      <x:c r="F1442" s="129" t="n">
        <x:f>ABS(D1442-E1442)</x:f>
        <x:v>0.002774443843966523</x:v>
      </x:c>
    </x:row>
    <x:row r="1443">
      <x:c r="A1443" s="107" t="n">
        <x:v>1442</x:v>
      </x:c>
      <x:c r="B1443" s="128" t="n">
        <x:v>1.0982352875000803</x:v>
      </x:c>
      <x:c r="C1443" s="128" t="n">
        <x:f>LN(B1443)</x:f>
        <x:v>0.09370460747177853</x:v>
      </x:c>
      <x:c r="D1443" s="128" t="n">
        <x:f>'Итоги'!$B$8*AVERAGE($C$2:C1443)</x:f>
        <x:v>1.2922956723634023</x:v>
      </x:c>
      <x:c r="E1443" s="128" t="n">
        <x:f>'Итоги'!$B$9</x:f>
        <x:v>1.2958368660043291</x:v>
      </x:c>
      <x:c r="F1443" s="129" t="n">
        <x:f>ABS(D1443-E1443)</x:f>
        <x:v>0.003541193640926865</x:v>
      </x:c>
    </x:row>
    <x:row r="1444">
      <x:c r="A1444" s="107" t="n">
        <x:v>1443</x:v>
      </x:c>
      <x:c r="B1444" s="128" t="n">
        <x:v>1.307203665075517</x:v>
      </x:c>
      <x:c r="C1444" s="128" t="n">
        <x:f>LN(B1444)</x:f>
        <x:v>0.2678902488800113</x:v>
      </x:c>
      <x:c r="D1444" s="128" t="n">
        <x:f>'Итоги'!$B$8*AVERAGE($C$2:C1444)</x:f>
        <x:v>1.2917714068231367</x:v>
      </x:c>
      <x:c r="E1444" s="128" t="n">
        <x:f>'Итоги'!$B$9</x:f>
        <x:v>1.2958368660043291</x:v>
      </x:c>
      <x:c r="F1444" s="129" t="n">
        <x:f>ABS(D1444-E1444)</x:f>
        <x:v>0.004065459181192388</x:v>
      </x:c>
    </x:row>
    <x:row r="1445">
      <x:c r="A1445" s="107" t="n">
        <x:v>1444</x:v>
      </x:c>
      <x:c r="B1445" s="128" t="n">
        <x:v>1.1266569574051162</x:v>
      </x:c>
      <x:c r="C1445" s="128" t="n">
        <x:f>LN(B1445)</x:f>
        <x:v>0.11925480310191854</x:v>
      </x:c>
      <x:c r="D1445" s="128" t="n">
        <x:f>'Итоги'!$B$8*AVERAGE($C$2:C1445)</x:f>
        <x:v>1.2910420011440376</x:v>
      </x:c>
      <x:c r="E1445" s="128" t="n">
        <x:f>'Итоги'!$B$9</x:f>
        <x:v>1.2958368660043291</x:v>
      </x:c>
      <x:c r="F1445" s="129" t="n">
        <x:f>ABS(D1445-E1445)</x:f>
        <x:v>0.00479486486029157</x:v>
      </x:c>
    </x:row>
    <x:row r="1446">
      <x:c r="A1446" s="107" t="n">
        <x:v>1445</x:v>
      </x:c>
      <x:c r="B1446" s="128" t="n">
        <x:v>1.3902484821846728</x:v>
      </x:c>
      <x:c r="C1446" s="128" t="n">
        <x:f>LN(B1446)</x:f>
        <x:v>0.3294824953278267</x:v>
      </x:c>
      <x:c r="D1446" s="128" t="n">
        <x:f>'Итоги'!$B$8*AVERAGE($C$2:C1446)</x:f>
        <x:v>1.2906045776073674</x:v>
      </x:c>
      <x:c r="E1446" s="128" t="n">
        <x:f>'Итоги'!$B$9</x:f>
        <x:v>1.2958368660043291</x:v>
      </x:c>
      <x:c r="F1446" s="129" t="n">
        <x:f>ABS(D1446-E1446)</x:f>
        <x:v>0.005232288396961771</x:v>
      </x:c>
    </x:row>
    <x:row r="1447">
      <x:c r="A1447" s="107" t="n">
        <x:v>1446</x:v>
      </x:c>
      <x:c r="B1447" s="128" t="n">
        <x:v>2.137139429407471</x:v>
      </x:c>
      <x:c r="C1447" s="128" t="n">
        <x:f>LN(B1447)</x:f>
        <x:v>0.759468219602853</x:v>
      </x:c>
      <x:c r="D1447" s="128" t="n">
        <x:f>'Итоги'!$B$8*AVERAGE($C$2:C1447)</x:f>
        <x:v>1.290762483459095</x:v>
      </x:c>
      <x:c r="E1447" s="128" t="n">
        <x:f>'Итоги'!$B$9</x:f>
        <x:v>1.2958368660043291</x:v>
      </x:c>
      <x:c r="F1447" s="129" t="n">
        <x:f>ABS(D1447-E1447)</x:f>
        <x:v>0.0050743825452341795</x:v>
      </x:c>
    </x:row>
    <x:row r="1448">
      <x:c r="A1448" s="107" t="n">
        <x:v>1447</x:v>
      </x:c>
      <x:c r="B1448" s="128" t="n">
        <x:v>2.8248975925912836</x:v>
      </x:c>
      <x:c r="C1448" s="128" t="n">
        <x:f>LN(B1448)</x:f>
        <x:v>1.0384721135311772</x:v>
      </x:c>
      <x:c r="D1448" s="128" t="n">
        <x:f>'Итоги'!$B$8*AVERAGE($C$2:C1448)</x:f>
        <x:v>1.2913058018720898</x:v>
      </x:c>
      <x:c r="E1448" s="128" t="n">
        <x:f>'Итоги'!$B$9</x:f>
        <x:v>1.2958368660043291</x:v>
      </x:c>
      <x:c r="F1448" s="129" t="n">
        <x:f>ABS(D1448-E1448)</x:f>
        <x:v>0.00453106413223936</x:v>
      </x:c>
    </x:row>
    <x:row r="1449">
      <x:c r="A1449" s="107" t="n">
        <x:v>1448</x:v>
      </x:c>
      <x:c r="B1449" s="128" t="n">
        <x:v>2.0744377673886802</x:v>
      </x:c>
      <x:c r="C1449" s="128" t="n">
        <x:f>LN(B1449)</x:f>
        <x:v>0.7296901614922597</x:v>
      </x:c>
      <x:c r="D1449" s="128" t="n">
        <x:f>'Итоги'!$B$8*AVERAGE($C$2:C1449)</x:f>
        <x:v>1.2914218754363938</x:v>
      </x:c>
      <x:c r="E1449" s="128" t="n">
        <x:f>'Итоги'!$B$9</x:f>
        <x:v>1.2958368660043291</x:v>
      </x:c>
      <x:c r="F1449" s="129" t="n">
        <x:f>ABS(D1449-E1449)</x:f>
        <x:v>0.004414990567935373</x:v>
      </x:c>
    </x:row>
    <x:row r="1450">
      <x:c r="A1450" s="107" t="n">
        <x:v>1449</x:v>
      </x:c>
      <x:c r="B1450" s="128" t="n">
        <x:v>2.2519791133981615</x:v>
      </x:c>
      <x:c r="C1450" s="128" t="n">
        <x:f>LN(B1450)</x:f>
        <x:v>0.8118094355444522</x:v>
      </x:c>
      <x:c r="D1450" s="128" t="n">
        <x:f>'Итоги'!$B$8*AVERAGE($C$2:C1450)</x:f>
        <x:v>1.2916511349226965</x:v>
      </x:c>
      <x:c r="E1450" s="128" t="n">
        <x:f>'Итоги'!$B$9</x:f>
        <x:v>1.2958368660043291</x:v>
      </x:c>
      <x:c r="F1450" s="129" t="n">
        <x:f>ABS(D1450-E1450)</x:f>
        <x:v>0.004185731081632671</x:v>
      </x:c>
    </x:row>
    <x:row r="1451">
      <x:c r="A1451" s="107" t="n">
        <x:v>1450</x:v>
      </x:c>
      <x:c r="B1451" s="128" t="n">
        <x:v>1.4037345032190822</x:v>
      </x:c>
      <x:c r="C1451" s="128" t="n">
        <x:f>LN(B1451)</x:f>
        <x:v>0.33913618745059976</x:v>
      </x:c>
      <x:c r="D1451" s="128" t="n">
        <x:f>'Итоги'!$B$8*AVERAGE($C$2:C1451)</x:f>
        <x:v>1.2912281150881988</x:v>
      </x:c>
      <x:c r="E1451" s="128" t="n">
        <x:f>'Итоги'!$B$9</x:f>
        <x:v>1.2958368660043291</x:v>
      </x:c>
      <x:c r="F1451" s="129" t="n">
        <x:f>ABS(D1451-E1451)</x:f>
        <x:v>0.004608750916130333</x:v>
      </x:c>
    </x:row>
    <x:row r="1452">
      <x:c r="A1452" s="107" t="n">
        <x:v>1451</x:v>
      </x:c>
      <x:c r="B1452" s="128" t="n">
        <x:v>2.6011672413477003</x:v>
      </x:c>
      <x:c r="C1452" s="128" t="n">
        <x:f>LN(B1452)</x:f>
        <x:v>0.9559602832643678</x:v>
      </x:c>
      <x:c r="D1452" s="128" t="n">
        <x:f>'Итоги'!$B$8*AVERAGE($C$2:C1452)</x:f>
        <x:v>1.2916558838348842</x:v>
      </x:c>
      <x:c r="E1452" s="128" t="n">
        <x:f>'Итоги'!$B$9</x:f>
        <x:v>1.2958368660043291</x:v>
      </x:c>
      <x:c r="F1452" s="129" t="n">
        <x:f>ABS(D1452-E1452)</x:f>
        <x:v>0.004180982169444958</x:v>
      </x:c>
    </x:row>
    <x:row r="1453">
      <x:c r="A1453" s="107" t="n">
        <x:v>1452</x:v>
      </x:c>
      <x:c r="B1453" s="128" t="n">
        <x:v>2.2355778170111664</x:v>
      </x:c>
      <x:c r="C1453" s="128" t="n">
        <x:f>LN(B1453)</x:f>
        <x:v>0.8044997257533189</x:v>
      </x:c>
      <x:c r="D1453" s="128" t="n">
        <x:f>'Итоги'!$B$8*AVERAGE($C$2:C1453)</x:f>
        <x:v>1.2918744400109667</x:v>
      </x:c>
      <x:c r="E1453" s="128" t="n">
        <x:f>'Итоги'!$B$9</x:f>
        <x:v>1.2958368660043291</x:v>
      </x:c>
      <x:c r="F1453" s="129" t="n">
        <x:f>ABS(D1453-E1453)</x:f>
        <x:v>0.003962425993362384</x:v>
      </x:c>
    </x:row>
    <x:row r="1454">
      <x:c r="A1454" s="107" t="n">
        <x:v>1453</x:v>
      </x:c>
      <x:c r="B1454" s="128" t="n">
        <x:v>2.72827365838545</x:v>
      </x:c>
      <x:c r="C1454" s="128" t="n">
        <x:f>LN(B1454)</x:f>
        <x:v>1.0036690496074598</x:v>
      </x:c>
      <x:c r="D1454" s="128" t="n">
        <x:f>'Итоги'!$B$8*AVERAGE($C$2:C1454)</x:f>
        <x:v>1.2923668444563927</x:v>
      </x:c>
      <x:c r="E1454" s="128" t="n">
        <x:f>'Итоги'!$B$9</x:f>
        <x:v>1.2958368660043291</x:v>
      </x:c>
      <x:c r="F1454" s="129" t="n">
        <x:f>ABS(D1454-E1454)</x:f>
        <x:v>0.0034700215479364083</x:v>
      </x:c>
    </x:row>
    <x:row r="1455">
      <x:c r="A1455" s="107" t="n">
        <x:v>1454</x:v>
      </x:c>
      <x:c r="B1455" s="128" t="n">
        <x:v>2.8976862140115682</x:v>
      </x:c>
      <x:c r="C1455" s="128" t="n">
        <x:f>LN(B1455)</x:f>
        <x:v>1.0639125612975522</x:v>
      </x:c>
      <x:c r="D1455" s="128" t="n">
        <x:f>'Итоги'!$B$8*AVERAGE($C$2:C1455)</x:f>
        <x:v>1.2929414374950026</x:v>
      </x:c>
      <x:c r="E1455" s="128" t="n">
        <x:f>'Итоги'!$B$9</x:f>
        <x:v>1.2958368660043291</x:v>
      </x:c>
      <x:c r="F1455" s="129" t="n">
        <x:f>ABS(D1455-E1455)</x:f>
        <x:v>0.0028954285093265586</x:v>
      </x:c>
    </x:row>
    <x:row r="1456">
      <x:c r="A1456" s="107" t="n">
        <x:v>1455</x:v>
      </x:c>
      <x:c r="B1456" s="128" t="n">
        <x:v>1.6958015515131846</x:v>
      </x:c>
      <x:c r="C1456" s="128" t="n">
        <x:f>LN(B1456)</x:f>
        <x:v>0.5281555208025402</x:v>
      </x:c>
      <x:c r="D1456" s="128" t="n">
        <x:f>'Итоги'!$B$8*AVERAGE($C$2:C1456)</x:f>
        <x:v>1.2927788049205078</x:v>
      </x:c>
      <x:c r="E1456" s="128" t="n">
        <x:f>'Итоги'!$B$9</x:f>
        <x:v>1.2958368660043291</x:v>
      </x:c>
      <x:c r="F1456" s="129" t="n">
        <x:f>ABS(D1456-E1456)</x:f>
        <x:v>0.0030580610838213396</x:v>
      </x:c>
    </x:row>
    <x:row r="1457">
      <x:c r="A1457" s="107" t="n">
        <x:v>1456</x:v>
      </x:c>
      <x:c r="B1457" s="128" t="n">
        <x:v>1.1811581170708787</x:v>
      </x:c>
      <x:c r="C1457" s="128" t="n">
        <x:f>LN(B1457)</x:f>
        <x:v>0.1664954123101837</x:v>
      </x:c>
      <x:c r="D1457" s="128" t="n">
        <x:f>'Итоги'!$B$8*AVERAGE($C$2:C1457)</x:f>
        <x:v>1.2921196098790928</x:v>
      </x:c>
      <x:c r="E1457" s="128" t="n">
        <x:f>'Итоги'!$B$9</x:f>
        <x:v>1.2958368660043291</x:v>
      </x:c>
      <x:c r="F1457" s="129" t="n">
        <x:f>ABS(D1457-E1457)</x:f>
        <x:v>0.0037172561252363234</x:v>
      </x:c>
    </x:row>
    <x:row r="1458">
      <x:c r="A1458" s="107" t="n">
        <x:v>1457</x:v>
      </x:c>
      <x:c r="B1458" s="128" t="n">
        <x:v>1.451857915833565</x:v>
      </x:c>
      <x:c r="C1458" s="128" t="n">
        <x:f>LN(B1458)</x:f>
        <x:v>0.3728440575054636</x:v>
      </x:c>
      <x:c r="D1458" s="128" t="n">
        <x:f>'Итоги'!$B$8*AVERAGE($C$2:C1458)</x:f>
        <x:v>1.2917445711043034</x:v>
      </x:c>
      <x:c r="E1458" s="128" t="n">
        <x:f>'Итоги'!$B$9</x:f>
        <x:v>1.2958368660043291</x:v>
      </x:c>
      <x:c r="F1458" s="129" t="n">
        <x:f>ABS(D1458-E1458)</x:f>
        <x:v>0.004092294900025717</x:v>
      </x:c>
    </x:row>
    <x:row r="1459">
      <x:c r="A1459" s="107" t="n">
        <x:v>1458</x:v>
      </x:c>
      <x:c r="B1459" s="128" t="n">
        <x:v>1.8756831313516744</x:v>
      </x:c>
      <x:c r="C1459" s="128" t="n">
        <x:f>LN(B1459)</x:f>
        <x:v>0.6289729297887605</x:v>
      </x:c>
      <x:c r="D1459" s="128" t="n">
        <x:f>'Итоги'!$B$8*AVERAGE($C$2:C1459)</x:f>
        <x:v>1.291721389546329</x:v>
      </x:c>
      <x:c r="E1459" s="128" t="n">
        <x:f>'Итоги'!$B$9</x:f>
        <x:v>1.2958368660043291</x:v>
      </x:c>
      <x:c r="F1459" s="129" t="n">
        <x:f>ABS(D1459-E1459)</x:f>
        <x:v>0.004115476458000034</x:v>
      </x:c>
    </x:row>
    <x:row r="1460">
      <x:c r="A1460" s="107" t="n">
        <x:v>1459</x:v>
      </x:c>
      <x:c r="B1460" s="128" t="n">
        <x:v>2.891387303648947</x:v>
      </x:c>
      <x:c r="C1460" s="128" t="n">
        <x:f>LN(B1460)</x:f>
        <x:v>1.0617364228086716</x:v>
      </x:c>
      <x:c r="D1460" s="128" t="n">
        <x:f>'Итоги'!$B$8*AVERAGE($C$2:C1460)</x:f>
        <x:v>1.2922914727924366</x:v>
      </x:c>
      <x:c r="E1460" s="128" t="n">
        <x:f>'Итоги'!$B$9</x:f>
        <x:v>1.2958368660043291</x:v>
      </x:c>
      <x:c r="F1460" s="129" t="n">
        <x:f>ABS(D1460-E1460)</x:f>
        <x:v>0.0035453932118925113</x:v>
      </x:c>
    </x:row>
    <x:row r="1461">
      <x:c r="A1461" s="107" t="n">
        <x:v>1460</x:v>
      </x:c>
      <x:c r="B1461" s="128" t="n">
        <x:v>1.7566196447468305</x:v>
      </x:c>
      <x:c r="C1461" s="128" t="n">
        <x:f>LN(B1461)</x:f>
        <x:v>0.5633913058305987</x:v>
      </x:c>
      <x:c r="D1461" s="128" t="n">
        <x:f>'Итоги'!$B$8*AVERAGE($C$2:C1461)</x:f>
        <x:v>1.292178110558785</x:v>
      </x:c>
      <x:c r="E1461" s="128" t="n">
        <x:f>'Итоги'!$B$9</x:f>
        <x:v>1.2958368660043291</x:v>
      </x:c>
      <x:c r="F1461" s="129" t="n">
        <x:f>ABS(D1461-E1461)</x:f>
        <x:v>0.0036587554455440596</x:v>
      </x:c>
    </x:row>
    <x:row r="1462">
      <x:c r="A1462" s="107" t="n">
        <x:v>1461</x:v>
      </x:c>
      <x:c r="B1462" s="128" t="n">
        <x:v>2.54154642733074</x:v>
      </x:c>
      <x:c r="C1462" s="128" t="n">
        <x:f>LN(B1462)</x:f>
        <x:v>0.9327727254266321</x:v>
      </x:c>
      <x:c r="D1462" s="128" t="n">
        <x:f>'Итоги'!$B$8*AVERAGE($C$2:C1462)</x:f>
        <x:v>1.2925705591147703</x:v>
      </x:c>
      <x:c r="E1462" s="128" t="n">
        <x:f>'Итоги'!$B$9</x:f>
        <x:v>1.2958368660043291</x:v>
      </x:c>
      <x:c r="F1462" s="129" t="n">
        <x:f>ABS(D1462-E1462)</x:f>
        <x:v>0.0032663068895588676</x:v>
      </x:c>
    </x:row>
    <x:row r="1463">
      <x:c r="A1463" s="107" t="n">
        <x:v>1462</x:v>
      </x:c>
      <x:c r="B1463" s="128" t="n">
        <x:v>2.08095338434151</x:v>
      </x:c>
      <x:c r="C1463" s="128" t="n">
        <x:f>LN(B1463)</x:f>
        <x:v>0.7328261465558474</x:v>
      </x:c>
      <x:c r="D1463" s="128" t="n">
        <x:f>'Итоги'!$B$8*AVERAGE($C$2:C1463)</x:f>
        <x:v>1.2926889460737285</x:v>
      </x:c>
      <x:c r="E1463" s="128" t="n">
        <x:f>'Итоги'!$B$9</x:f>
        <x:v>1.2958368660043291</x:v>
      </x:c>
      <x:c r="F1463" s="129" t="n">
        <x:f>ABS(D1463-E1463)</x:f>
        <x:v>0.0031479199306005956</x:v>
      </x:c>
    </x:row>
    <x:row r="1464">
      <x:c r="A1464" s="107" t="n">
        <x:v>1463</x:v>
      </x:c>
      <x:c r="B1464" s="128" t="n">
        <x:v>1.365617540861953</x:v>
      </x:c>
      <x:c r="C1464" s="128" t="n">
        <x:f>LN(B1464)</x:f>
        <x:v>0.31160673721785037</x:v>
      </x:c>
      <x:c r="D1464" s="128" t="n">
        <x:f>'Итоги'!$B$8*AVERAGE($C$2:C1464)</x:f>
        <x:v>1.2922313415134836</x:v>
      </x:c>
      <x:c r="E1464" s="128" t="n">
        <x:f>'Итоги'!$B$9</x:f>
        <x:v>1.2958368660043291</x:v>
      </x:c>
      <x:c r="F1464" s="129" t="n">
        <x:f>ABS(D1464-E1464)</x:f>
        <x:v>0.003605524490845502</x:v>
      </x:c>
    </x:row>
    <x:row r="1465">
      <x:c r="A1465" s="107" t="n">
        <x:v>1464</x:v>
      </x:c>
      <x:c r="B1465" s="128" t="n">
        <x:v>1.6414682379069032</x:v>
      </x:c>
      <x:c r="C1465" s="128" t="n">
        <x:f>LN(B1465)</x:f>
        <x:v>0.49559110834002207</x:v>
      </x:c>
      <x:c r="D1465" s="128" t="n">
        <x:f>'Итоги'!$B$8*AVERAGE($C$2:C1465)</x:f>
        <x:v>1.2920257068653735</x:v>
      </x:c>
      <x:c r="E1465" s="128" t="n">
        <x:f>'Итоги'!$B$9</x:f>
        <x:v>1.2958368660043291</x:v>
      </x:c>
      <x:c r="F1465" s="129" t="n">
        <x:f>ABS(D1465-E1465)</x:f>
        <x:v>0.0038111591389555777</x:v>
      </x:c>
    </x:row>
    <x:row r="1466">
      <x:c r="A1466" s="107" t="n">
        <x:v>1465</x:v>
      </x:c>
      <x:c r="B1466" s="128" t="n">
        <x:v>2.3063837700456373</x:v>
      </x:c>
      <x:c r="C1466" s="128" t="n">
        <x:f>LN(B1466)</x:f>
        <x:v>0.8356808303963966</x:v>
      </x:c>
      <x:c r="D1466" s="128" t="n">
        <x:f>'Итоги'!$B$8*AVERAGE($C$2:C1466)</x:f>
        <x:v>1.2922846392571328</x:v>
      </x:c>
      <x:c r="E1466" s="128" t="n">
        <x:f>'Итоги'!$B$9</x:f>
        <x:v>1.2958368660043291</x:v>
      </x:c>
      <x:c r="F1466" s="129" t="n">
        <x:f>ABS(D1466-E1466)</x:f>
        <x:v>0.003552226747196352</x:v>
      </x:c>
    </x:row>
    <x:row r="1467">
      <x:c r="A1467" s="107" t="n">
        <x:v>1466</x:v>
      </x:c>
      <x:c r="B1467" s="128" t="n">
        <x:v>2.345706789369787</x:v>
      </x:c>
      <x:c r="C1467" s="128" t="n">
        <x:f>LN(B1467)</x:f>
        <x:v>0.8525867592018959</x:v>
      </x:c>
      <x:c r="D1467" s="128" t="n">
        <x:f>'Итоги'!$B$8*AVERAGE($C$2:C1467)</x:f>
        <x:v>1.2925662824216257</x:v>
      </x:c>
      <x:c r="E1467" s="128" t="n">
        <x:f>'Итоги'!$B$9</x:f>
        <x:v>1.2958368660043291</x:v>
      </x:c>
      <x:c r="F1467" s="129" t="n">
        <x:f>ABS(D1467-E1467)</x:f>
        <x:v>0.003270583582703379</x:v>
      </x:c>
    </x:row>
    <x:row r="1468">
      <x:c r="A1468" s="107" t="n">
        <x:v>1467</x:v>
      </x:c>
      <x:c r="B1468" s="128" t="n">
        <x:v>1.8695194936180923</x:v>
      </x:c>
      <x:c r="C1468" s="128" t="n">
        <x:f>LN(B1468)</x:f>
        <x:v>0.6256814425633872</x:v>
      </x:c>
      <x:c r="D1468" s="128" t="n">
        <x:f>'Итоги'!$B$8*AVERAGE($C$2:C1468)</x:f>
        <x:v>1.2925381955795707</x:v>
      </x:c>
      <x:c r="E1468" s="128" t="n">
        <x:f>'Итоги'!$B$9</x:f>
        <x:v>1.2958368660043291</x:v>
      </x:c>
      <x:c r="F1468" s="129" t="n">
        <x:f>ABS(D1468-E1468)</x:f>
        <x:v>0.0032986704247583987</x:v>
      </x:c>
    </x:row>
    <x:row r="1469">
      <x:c r="A1469" s="107" t="n">
        <x:v>1468</x:v>
      </x:c>
      <x:c r="B1469" s="128" t="n">
        <x:v>1.4572912053242293</x:v>
      </x:c>
      <x:c r="C1469" s="128" t="n">
        <x:f>LN(B1469)</x:f>
        <x:v>0.37657937362832405</x:v>
      </x:c>
      <x:c r="D1469" s="128" t="n">
        <x:f>'Итоги'!$B$8*AVERAGE($C$2:C1469)</x:f>
        <x:v>1.2921707708872527</x:v>
      </x:c>
      <x:c r="E1469" s="128" t="n">
        <x:f>'Итоги'!$B$9</x:f>
        <x:v>1.2958368660043291</x:v>
      </x:c>
      <x:c r="F1469" s="129" t="n">
        <x:f>ABS(D1469-E1469)</x:f>
        <x:v>0.0036660951170763845</x:v>
      </x:c>
    </x:row>
    <x:row r="1470">
      <x:c r="A1470" s="107" t="n">
        <x:v>1469</x:v>
      </x:c>
      <x:c r="B1470" s="128" t="n">
        <x:v>2.4438135590253527</x:v>
      </x:c>
      <x:c r="C1470" s="128" t="n">
        <x:f>LN(B1470)</x:f>
        <x:v>0.8935597532216442</x:v>
      </x:c>
      <x:c r="D1470" s="128" t="n">
        <x:f>'Итоги'!$B$8*AVERAGE($C$2:C1470)</x:f>
        <x:v>1.2925076999107763</x:v>
      </x:c>
      <x:c r="E1470" s="128" t="n">
        <x:f>'Итоги'!$B$9</x:f>
        <x:v>1.2958368660043291</x:v>
      </x:c>
      <x:c r="F1470" s="129" t="n">
        <x:f>ABS(D1470-E1470)</x:f>
        <x:v>0.0033291660935528267</x:v>
      </x:c>
    </x:row>
    <x:row r="1471">
      <x:c r="A1471" s="107" t="n">
        <x:v>1470</x:v>
      </x:c>
      <x:c r="B1471" s="128" t="n">
        <x:v>1.3377460832254295</x:v>
      </x:c>
      <x:c r="C1471" s="128" t="n">
        <x:f>LN(B1471)</x:f>
        <x:v>0.29098617032267304</x:v>
      </x:c>
      <x:c r="D1471" s="128" t="n">
        <x:f>'Итоги'!$B$8*AVERAGE($C$2:C1471)</x:f>
        <x:v>1.2920243425235207</x:v>
      </x:c>
      <x:c r="E1471" s="128" t="n">
        <x:f>'Итоги'!$B$9</x:f>
        <x:v>1.2958368660043291</x:v>
      </x:c>
      <x:c r="F1471" s="129" t="n">
        <x:f>ABS(D1471-E1471)</x:f>
        <x:v>0.003812523480808405</x:v>
      </x:c>
    </x:row>
    <x:row r="1472">
      <x:c r="A1472" s="107" t="n">
        <x:v>1471</x:v>
      </x:c>
      <x:c r="B1472" s="128" t="n">
        <x:v>2.8733393837302534</x:v>
      </x:c>
      <x:c r="C1472" s="128" t="n">
        <x:f>LN(B1472)</x:f>
        <x:v>1.0554749017118599</x:v>
      </x:c>
      <x:c r="D1472" s="128" t="n">
        <x:f>'Итоги'!$B$8*AVERAGE($C$2:C1472)</x:f>
        <x:v>1.2925810559571715</x:v>
      </x:c>
      <x:c r="E1472" s="128" t="n">
        <x:f>'Итоги'!$B$9</x:f>
        <x:v>1.2958368660043291</x:v>
      </x:c>
      <x:c r="F1472" s="129" t="n">
        <x:f>ABS(D1472-E1472)</x:f>
        <x:v>0.0032558100471575813</x:v>
      </x:c>
    </x:row>
    <x:row r="1473">
      <x:c r="A1473" s="107" t="n">
        <x:v>1472</x:v>
      </x:c>
      <x:c r="B1473" s="128" t="n">
        <x:v>1.3758071580729534</x:v>
      </x:c>
      <x:c r="C1473" s="128" t="n">
        <x:f>LN(B1473)</x:f>
        <x:v>0.31904058294037146</x:v>
      </x:c>
      <x:c r="D1473" s="128" t="n">
        <x:f>'Итоги'!$B$8*AVERAGE($C$2:C1473)</x:f>
        <x:v>1.292136422879674</x:v>
      </x:c>
      <x:c r="E1473" s="128" t="n">
        <x:f>'Итоги'!$B$9</x:f>
        <x:v>1.2958368660043291</x:v>
      </x:c>
      <x:c r="F1473" s="129" t="n">
        <x:f>ABS(D1473-E1473)</x:f>
        <x:v>0.0037004431246552283</x:v>
      </x:c>
    </x:row>
    <x:row r="1474">
      <x:c r="A1474" s="107" t="n">
        <x:v>1473</x:v>
      </x:c>
      <x:c r="B1474" s="128" t="n">
        <x:v>1.2146247256650409</x:v>
      </x:c>
      <x:c r="C1474" s="128" t="n">
        <x:f>LN(B1474)</x:f>
        <x:v>0.19443516131764088</x:v>
      </x:c>
      <x:c r="D1474" s="128" t="n">
        <x:f>'Итоги'!$B$8*AVERAGE($C$2:C1474)</x:f>
        <x:v>1.2915232076045589</x:v>
      </x:c>
      <x:c r="E1474" s="128" t="n">
        <x:f>'Итоги'!$B$9</x:f>
        <x:v>1.2958368660043291</x:v>
      </x:c>
      <x:c r="F1474" s="129" t="n">
        <x:f>ABS(D1474-E1474)</x:f>
        <x:v>0.0043136583997702704</x:v>
      </x:c>
    </x:row>
    <x:row r="1475">
      <x:c r="A1475" s="107" t="n">
        <x:v>1474</x:v>
      </x:c>
      <x:c r="B1475" s="128" t="n">
        <x:v>1.9952954047307576</x:v>
      </x:c>
      <x:c r="C1475" s="128" t="n">
        <x:f>LN(B1475)</x:f>
        <x:v>0.6907921119269149</x:v>
      </x:c>
      <x:c r="D1475" s="128" t="n">
        <x:f>'Итоги'!$B$8*AVERAGE($C$2:C1475)</x:f>
        <x:v>1.2915843073442124</x:v>
      </x:c>
      <x:c r="E1475" s="128" t="n">
        <x:f>'Итоги'!$B$9</x:f>
        <x:v>1.2958368660043291</x:v>
      </x:c>
      <x:c r="F1475" s="129" t="n">
        <x:f>ABS(D1475-E1475)</x:f>
        <x:v>0.004252558660116756</x:v>
      </x:c>
    </x:row>
    <x:row r="1476">
      <x:c r="A1476" s="107" t="n">
        <x:v>1475</x:v>
      </x:c>
      <x:c r="B1476" s="128" t="n">
        <x:v>2.039099196219388</x:v>
      </x:c>
      <x:c r="C1476" s="128" t="n">
        <x:f>LN(B1476)</x:f>
        <x:v>0.7125081398544789</x:v>
      </x:c>
      <x:c r="D1476" s="128" t="n">
        <x:f>'Итоги'!$B$8*AVERAGE($C$2:C1476)</x:f>
        <x:v>1.291674769698358</x:v>
      </x:c>
      <x:c r="E1476" s="128" t="n">
        <x:f>'Итоги'!$B$9</x:f>
        <x:v>1.2958368660043291</x:v>
      </x:c>
      <x:c r="F1476" s="129" t="n">
        <x:f>ABS(D1476-E1476)</x:f>
        <x:v>0.004162096305971197</x:v>
      </x:c>
    </x:row>
    <x:row r="1477">
      <x:c r="A1477" s="107" t="n">
        <x:v>1476</x:v>
      </x:c>
      <x:c r="B1477" s="128" t="n">
        <x:v>2.01638582955649</x:v>
      </x:c>
      <x:c r="C1477" s="128" t="n">
        <x:f>LN(B1477)</x:f>
        <x:v>0.7013067156061729</x:v>
      </x:c>
      <x:c r="D1477" s="128" t="n">
        <x:f>'Итоги'!$B$8*AVERAGE($C$2:C1477)</x:f>
        <x:v>1.2917499313931506</x:v>
      </x:c>
      <x:c r="E1477" s="128" t="n">
        <x:f>'Итоги'!$B$9</x:f>
        <x:v>1.2958368660043291</x:v>
      </x:c>
      <x:c r="F1477" s="129" t="n">
        <x:f>ABS(D1477-E1477)</x:f>
        <x:v>0.004086934611178483</x:v>
      </x:c>
    </x:row>
    <x:row r="1478">
      <x:c r="A1478" s="107" t="n">
        <x:v>1477</x:v>
      </x:c>
      <x:c r="B1478" s="128" t="n">
        <x:v>1.873334978677679</x:v>
      </x:c>
      <x:c r="C1478" s="128" t="n">
        <x:f>LN(B1478)</x:f>
        <x:v>0.6277202535347977</x:v>
      </x:c>
      <x:c r="D1478" s="128" t="n">
        <x:f>'Итоги'!$B$8*AVERAGE($C$2:C1478)</x:f>
        <x:v>1.2917253481674746</x:v>
      </x:c>
      <x:c r="E1478" s="128" t="n">
        <x:f>'Итоги'!$B$9</x:f>
        <x:v>1.2958368660043291</x:v>
      </x:c>
      <x:c r="F1478" s="129" t="n">
        <x:f>ABS(D1478-E1478)</x:f>
        <x:v>0.004111517836854484</x:v>
      </x:c>
    </x:row>
    <x:row r="1479">
      <x:c r="A1479" s="107" t="n">
        <x:v>1478</x:v>
      </x:c>
      <x:c r="B1479" s="128" t="n">
        <x:v>2.9896297856592167</x:v>
      </x:c>
      <x:c r="C1479" s="128" t="n">
        <x:f>LN(B1479)</x:f>
        <x:v>1.0951495622312963</x:v>
      </x:c>
      <x:c r="D1479" s="128" t="n">
        <x:f>'Итоги'!$B$8*AVERAGE($C$2:C1479)</x:f>
        <x:v>1.292333314186619</x:v>
      </x:c>
      <x:c r="E1479" s="128" t="n">
        <x:f>'Итоги'!$B$9</x:f>
        <x:v>1.2958368660043291</x:v>
      </x:c>
      <x:c r="F1479" s="129" t="n">
        <x:f>ABS(D1479-E1479)</x:f>
        <x:v>0.0035035518177102265</x:v>
      </x:c>
    </x:row>
    <x:row r="1480">
      <x:c r="A1480" s="107" t="n">
        <x:v>1479</x:v>
      </x:c>
      <x:c r="B1480" s="128" t="n">
        <x:v>1.9725612253411637</x:v>
      </x:c>
      <x:c r="C1480" s="128" t="n">
        <x:f>LN(B1480)</x:f>
        <x:v>0.679332812719379</x:v>
      </x:c>
      <x:c r="D1480" s="128" t="n">
        <x:f>'Итоги'!$B$8*AVERAGE($C$2:C1480)</x:f>
        <x:v>1.2923781636195142</x:v>
      </x:c>
      <x:c r="E1480" s="128" t="n">
        <x:f>'Итоги'!$B$9</x:f>
        <x:v>1.2958368660043291</x:v>
      </x:c>
      <x:c r="F1480" s="129" t="n">
        <x:f>ABS(D1480-E1480)</x:f>
        <x:v>0.003458702384814938</x:v>
      </x:c>
    </x:row>
    <x:row r="1481">
      <x:c r="A1481" s="107" t="n">
        <x:v>1480</x:v>
      </x:c>
      <x:c r="B1481" s="128" t="n">
        <x:v>1.955893161479662</x:v>
      </x:c>
      <x:c r="C1481" s="128" t="n">
        <x:f>LN(B1481)</x:f>
        <x:v>0.6708469492004305</x:v>
      </x:c>
      <x:c r="D1481" s="128" t="n">
        <x:f>'Итоги'!$B$8*AVERAGE($C$2:C1481)</x:f>
        <x:v>1.292411485061934</x:v>
      </x:c>
      <x:c r="E1481" s="128" t="n">
        <x:f>'Итоги'!$B$9</x:f>
        <x:v>1.2958368660043291</x:v>
      </x:c>
      <x:c r="F1481" s="129" t="n">
        <x:f>ABS(D1481-E1481)</x:f>
        <x:v>0.0034253809423951953</x:v>
      </x:c>
    </x:row>
    <x:row r="1482">
      <x:c r="A1482" s="107" t="n">
        <x:v>1481</x:v>
      </x:c>
      <x:c r="B1482" s="128" t="n">
        <x:v>1.8435321254291226</x:v>
      </x:c>
      <x:c r="C1482" s="128" t="n">
        <x:f>LN(B1482)</x:f>
        <x:v>0.611683364864675</x:v>
      </x:c>
      <x:c r="D1482" s="128" t="n">
        <x:f>'Итоги'!$B$8*AVERAGE($C$2:C1482)</x:f>
        <x:v>1.2923648647004669</x:v>
      </x:c>
      <x:c r="E1482" s="128" t="n">
        <x:f>'Итоги'!$B$9</x:f>
        <x:v>1.2958368660043291</x:v>
      </x:c>
      <x:c r="F1482" s="129" t="n">
        <x:f>ABS(D1482-E1482)</x:f>
        <x:v>0.003472001303862271</x:v>
      </x:c>
    </x:row>
    <x:row r="1483">
      <x:c r="A1483" s="107" t="n">
        <x:v>1482</x:v>
      </x:c>
      <x:c r="B1483" s="128" t="n">
        <x:v>1.1336515094029258</x:v>
      </x:c>
      <x:c r="C1483" s="128" t="n">
        <x:f>LN(B1483)</x:f>
        <x:v>0.12544384714371523</x:v>
      </x:c>
      <x:c r="D1483" s="128" t="n">
        <x:f>'Итоги'!$B$8*AVERAGE($C$2:C1483)</x:f>
        <x:v>1.2916621135733326</x:v>
      </x:c>
      <x:c r="E1483" s="128" t="n">
        <x:f>'Итоги'!$B$9</x:f>
        <x:v>1.2958368660043291</x:v>
      </x:c>
      <x:c r="F1483" s="129" t="n">
        <x:f>ABS(D1483-E1483)</x:f>
        <x:v>0.00417475243099652</x:v>
      </x:c>
    </x:row>
    <x:row r="1484">
      <x:c r="A1484" s="107" t="n">
        <x:v>1483</x:v>
      </x:c>
      <x:c r="B1484" s="128" t="n">
        <x:v>2.1859132622992323</x:v>
      </x:c>
      <x:c r="C1484" s="128" t="n">
        <x:f>LN(B1484)</x:f>
        <x:v>0.7820337102385032</x:v>
      </x:c>
      <x:c r="D1484" s="128" t="n">
        <x:f>'Итоги'!$B$8*AVERAGE($C$2:C1484)</x:f>
        <x:v>1.2918457988780552</x:v>
      </x:c>
      <x:c r="E1484" s="128" t="n">
        <x:f>'Итоги'!$B$9</x:f>
        <x:v>1.2958368660043291</x:v>
      </x:c>
      <x:c r="F1484" s="129" t="n">
        <x:f>ABS(D1484-E1484)</x:f>
        <x:v>0.0039910671262739505</x:v>
      </x:c>
    </x:row>
    <x:row r="1485">
      <x:c r="A1485" s="107" t="n">
        <x:v>1484</x:v>
      </x:c>
      <x:c r="B1485" s="128" t="n">
        <x:v>1.4559355444463649</x:v>
      </x:c>
      <x:c r="C1485" s="128" t="n">
        <x:f>LN(B1485)</x:f>
        <x:v>0.3756486798703965</x:v>
      </x:c>
      <x:c r="D1485" s="128" t="n">
        <x:f>'Итоги'!$B$8*AVERAGE($C$2:C1485)</x:f>
        <x:v>1.2914815479082862</x:v>
      </x:c>
      <x:c r="E1485" s="128" t="n">
        <x:f>'Итоги'!$B$9</x:f>
        <x:v>1.2958368660043291</x:v>
      </x:c>
      <x:c r="F1485" s="129" t="n">
        <x:f>ABS(D1485-E1485)</x:f>
        <x:v>0.004355318096042948</x:v>
      </x:c>
    </x:row>
    <x:row r="1486">
      <x:c r="A1486" s="107" t="n">
        <x:v>1485</x:v>
      </x:c>
      <x:c r="B1486" s="128" t="n">
        <x:v>2.2752179604580998</x:v>
      </x:c>
      <x:c r="C1486" s="128" t="n">
        <x:f>LN(B1486)</x:f>
        <x:v>0.822075854608505</x:v>
      </x:c>
      <x:c r="D1486" s="128" t="n">
        <x:f>'Итоги'!$B$8*AVERAGE($C$2:C1486)</x:f>
        <x:v>1.2917190362324</x:v>
      </x:c>
      <x:c r="E1486" s="128" t="n">
        <x:f>'Итоги'!$B$9</x:f>
        <x:v>1.2958368660043291</x:v>
      </x:c>
      <x:c r="F1486" s="129" t="n">
        <x:f>ABS(D1486-E1486)</x:f>
        <x:v>0.0041178297719290935</x:v>
      </x:c>
    </x:row>
    <x:row r="1487">
      <x:c r="A1487" s="107" t="n">
        <x:v>1486</x:v>
      </x:c>
      <x:c r="B1487" s="128" t="n">
        <x:v>1.1016669238969543</x:v>
      </x:c>
      <x:c r="C1487" s="128" t="n">
        <x:f>LN(B1487)</x:f>
        <x:v>0.09682441812745303</x:v>
      </x:c>
      <x:c r="D1487" s="128" t="n">
        <x:f>'Итоги'!$B$8*AVERAGE($C$2:C1487)</x:f>
        <x:v>1.2909800926254165</x:v>
      </x:c>
      <x:c r="E1487" s="128" t="n">
        <x:f>'Итоги'!$B$9</x:f>
        <x:v>1.2958368660043291</x:v>
      </x:c>
      <x:c r="F1487" s="129" t="n">
        <x:f>ABS(D1487-E1487)</x:f>
        <x:v>0.00485677337891266</x:v>
      </x:c>
    </x:row>
    <x:row r="1488">
      <x:c r="A1488" s="107" t="n">
        <x:v>1487</x:v>
      </x:c>
      <x:c r="B1488" s="128" t="n">
        <x:v>2.9627742025060035</x:v>
      </x:c>
      <x:c r="C1488" s="128" t="n">
        <x:f>LN(B1488)</x:f>
        <x:v>1.0861260599859737</x:v>
      </x:c>
      <x:c r="D1488" s="128" t="n">
        <x:f>'Итоги'!$B$8*AVERAGE($C$2:C1488)</x:f>
        <x:v>1.2915727436189246</x:v>
      </x:c>
      <x:c r="E1488" s="128" t="n">
        <x:f>'Итоги'!$B$9</x:f>
        <x:v>1.2958368660043291</x:v>
      </x:c>
      <x:c r="F1488" s="129" t="n">
        <x:f>ABS(D1488-E1488)</x:f>
        <x:v>0.004264122385404523</x:v>
      </x:c>
    </x:row>
    <x:row r="1489">
      <x:c r="A1489" s="107" t="n">
        <x:v>1488</x:v>
      </x:c>
      <x:c r="B1489" s="128" t="n">
        <x:v>1.9380101580253444</x:v>
      </x:c>
      <x:c r="C1489" s="128" t="n">
        <x:f>LN(B1489)</x:f>
        <x:v>0.6616617549539836</x:v>
      </x:c>
      <x:c r="D1489" s="128" t="n">
        <x:f>'Итоги'!$B$8*AVERAGE($C$2:C1489)</x:f>
        <x:v>1.291594081499495</x:v>
      </x:c>
      <x:c r="E1489" s="128" t="n">
        <x:f>'Итоги'!$B$9</x:f>
        <x:v>1.2958368660043291</x:v>
      </x:c>
      <x:c r="F1489" s="129" t="n">
        <x:f>ABS(D1489-E1489)</x:f>
        <x:v>0.004242784504834063</x:v>
      </x:c>
    </x:row>
    <x:row r="1490">
      <x:c r="A1490" s="107" t="n">
        <x:v>1489</x:v>
      </x:c>
      <x:c r="B1490" s="128" t="n">
        <x:v>2.793510743181397</x:v>
      </x:c>
      <x:c r="C1490" s="128" t="n">
        <x:f>LN(B1490)</x:f>
        <x:v>1.0272991356878696</x:v>
      </x:c>
      <x:c r="D1490" s="128" t="n">
        <x:f>'Итоги'!$B$8*AVERAGE($C$2:C1490)</x:f>
        <x:v>1.292106508759318</x:v>
      </x:c>
      <x:c r="E1490" s="128" t="n">
        <x:f>'Итоги'!$B$9</x:f>
        <x:v>1.2958368660043291</x:v>
      </x:c>
      <x:c r="F1490" s="129" t="n">
        <x:f>ABS(D1490-E1490)</x:f>
        <x:v>0.00373035724501114</x:v>
      </x:c>
    </x:row>
    <x:row r="1491">
      <x:c r="A1491" s="107" t="n">
        <x:v>1490</x:v>
      </x:c>
      <x:c r="B1491" s="128" t="n">
        <x:v>1.9511223464658696</x:v>
      </x:c>
      <x:c r="C1491" s="128" t="n">
        <x:f>LN(B1491)</x:f>
        <x:v>0.6684047692933984</x:v>
      </x:c>
      <x:c r="D1491" s="128" t="n">
        <x:f>'Итоги'!$B$8*AVERAGE($C$2:C1491)</x:f>
        <x:v>1.2921365107927592</x:v>
      </x:c>
      <x:c r="E1491" s="128" t="n">
        <x:f>'Итоги'!$B$9</x:f>
        <x:v>1.2958368660043291</x:v>
      </x:c>
      <x:c r="F1491" s="129" t="n">
        <x:f>ABS(D1491-E1491)</x:f>
        <x:v>0.0037003552115699723</x:v>
      </x:c>
    </x:row>
    <x:row r="1492">
      <x:c r="A1492" s="107" t="n">
        <x:v>1491</x:v>
      </x:c>
      <x:c r="B1492" s="128" t="n">
        <x:v>1.1206616371484435</x:v>
      </x:c>
      <x:c r="C1492" s="128" t="n">
        <x:f>LN(B1492)</x:f>
        <x:v>0.11391925833838312</x:v>
      </x:c>
      <x:c r="D1492" s="128" t="n">
        <x:f>'Итоги'!$B$8*AVERAGE($C$2:C1492)</x:f>
        <x:v>1.2914226959073696</x:v>
      </x:c>
      <x:c r="E1492" s="128" t="n">
        <x:f>'Итоги'!$B$9</x:f>
        <x:v>1.2958368660043291</x:v>
      </x:c>
      <x:c r="F1492" s="129" t="n">
        <x:f>ABS(D1492-E1492)</x:f>
        <x:v>0.0044141700969595465</x:v>
      </x:c>
    </x:row>
    <x:row r="1493">
      <x:c r="A1493" s="107" t="n">
        <x:v>1492</x:v>
      </x:c>
      <x:c r="B1493" s="128" t="n">
        <x:v>2.644427092187614</x:v>
      </x:c>
      <x:c r="C1493" s="128" t="n">
        <x:f>LN(B1493)</x:f>
        <x:v>0.972454441541888</x:v>
      </x:c>
      <x:c r="D1493" s="128" t="n">
        <x:f>'Итоги'!$B$8*AVERAGE($C$2:C1493)</x:f>
        <x:v>1.29186068933041</x:v>
      </x:c>
      <x:c r="E1493" s="128" t="n">
        <x:f>'Итоги'!$B$9</x:f>
        <x:v>1.2958368660043291</x:v>
      </x:c>
      <x:c r="F1493" s="129" t="n">
        <x:f>ABS(D1493-E1493)</x:f>
        <x:v>0.00397617667391903</x:v>
      </x:c>
    </x:row>
    <x:row r="1494">
      <x:c r="A1494" s="107" t="n">
        <x:v>1493</x:v>
      </x:c>
      <x:c r="B1494" s="128" t="n">
        <x:v>2.2963674593342684</x:v>
      </x:c>
      <x:c r="C1494" s="128" t="n">
        <x:f>LN(B1494)</x:f>
        <x:v>0.8313285089158173</x:v>
      </x:c>
      <x:c r="D1494" s="128" t="n">
        <x:f>'Итоги'!$B$8*AVERAGE($C$2:C1494)</x:f>
        <x:v>1.2921090458799755</x:v>
      </x:c>
      <x:c r="E1494" s="128" t="n">
        <x:f>'Итоги'!$B$9</x:f>
        <x:v>1.2958368660043291</x:v>
      </x:c>
      <x:c r="F1494" s="129" t="n">
        <x:f>ABS(D1494-E1494)</x:f>
        <x:v>0.003727820124353576</x:v>
      </x:c>
    </x:row>
    <x:row r="1495">
      <x:c r="A1495" s="107" t="n">
        <x:v>1494</x:v>
      </x:c>
      <x:c r="B1495" s="128" t="n">
        <x:v>2.56351409514789</x:v>
      </x:c>
      <x:c r="C1495" s="128" t="n">
        <x:f>LN(B1495)</x:f>
        <x:v>0.9413790106263031</x:v>
      </x:c>
      <x:c r="D1495" s="128" t="n">
        <x:f>'Итоги'!$B$8*AVERAGE($C$2:C1495)</x:f>
        <x:v>1.2925043932530496</x:v>
      </x:c>
      <x:c r="E1495" s="128" t="n">
        <x:f>'Итоги'!$B$9</x:f>
        <x:v>1.2958368660043291</x:v>
      </x:c>
      <x:c r="F1495" s="129" t="n">
        <x:f>ABS(D1495-E1495)</x:f>
        <x:v>0.0033324727512795693</x:v>
      </x:c>
    </x:row>
    <x:row r="1496">
      <x:c r="A1496" s="107" t="n">
        <x:v>1495</x:v>
      </x:c>
      <x:c r="B1496" s="128" t="n">
        <x:v>1.8563397270177466</x:v>
      </x:c>
      <x:c r="C1496" s="128" t="n">
        <x:f>LN(B1496)</x:f>
        <x:v>0.6186066601879777</x:v>
      </x:c>
      <x:c r="D1496" s="128" t="n">
        <x:f>'Итоги'!$B$8*AVERAGE($C$2:C1496)</x:f>
        <x:v>1.292467409257814</x:v>
      </x:c>
      <x:c r="E1496" s="128" t="n">
        <x:f>'Итоги'!$B$9</x:f>
        <x:v>1.2958368660043291</x:v>
      </x:c>
      <x:c r="F1496" s="129" t="n">
        <x:f>ABS(D1496-E1496)</x:f>
        <x:v>0.0033694567465152314</x:v>
      </x:c>
    </x:row>
    <x:row r="1497">
      <x:c r="A1497" s="107" t="n">
        <x:v>1496</x:v>
      </x:c>
      <x:c r="B1497" s="128" t="n">
        <x:v>2.27587348849329</x:v>
      </x:c>
      <x:c r="C1497" s="128" t="n">
        <x:f>LN(B1497)</x:f>
        <x:v>0.8223639296986571</x:v>
      </x:c>
      <x:c r="D1497" s="128" t="n">
        <x:f>'Итоги'!$B$8*AVERAGE($C$2:C1497)</x:f>
        <x:v>1.292702877473148</x:v>
      </x:c>
      <x:c r="E1497" s="128" t="n">
        <x:f>'Итоги'!$B$9</x:f>
        <x:v>1.2958368660043291</x:v>
      </x:c>
      <x:c r="F1497" s="129" t="n">
        <x:f>ABS(D1497-E1497)</x:f>
        <x:v>0.0031339885311811866</x:v>
      </x:c>
    </x:row>
    <x:row r="1498">
      <x:c r="A1498" s="107" t="n">
        <x:v>1497</x:v>
      </x:c>
      <x:c r="B1498" s="128" t="n">
        <x:v>2.7124580075932148</x:v>
      </x:c>
      <x:c r="C1498" s="128" t="n">
        <x:f>LN(B1498)</x:f>
        <x:v>0.997855237675119</x:v>
      </x:c>
      <x:c r="D1498" s="128" t="n">
        <x:f>'Итоги'!$B$8*AVERAGE($C$2:C1498)</x:f>
        <x:v>1.2931724884269735</x:v>
      </x:c>
      <x:c r="E1498" s="128" t="n">
        <x:f>'Итоги'!$B$9</x:f>
        <x:v>1.2958368660043291</x:v>
      </x:c>
      <x:c r="F1498" s="129" t="n">
        <x:f>ABS(D1498-E1498)</x:f>
        <x:v>0.0026643775773556033</x:v>
      </x:c>
    </x:row>
    <x:row r="1499">
      <x:c r="A1499" s="107" t="n">
        <x:v>1498</x:v>
      </x:c>
      <x:c r="B1499" s="128" t="n">
        <x:v>2.262130885743775</x:v>
      </x:c>
      <x:c r="C1499" s="128" t="n">
        <x:f>LN(B1499)</x:f>
        <x:v>0.8163072388598044</x:v>
      </x:c>
      <x:c r="D1499" s="128" t="n">
        <x:f>'Итоги'!$B$8*AVERAGE($C$2:C1499)</x:f>
        <x:v>1.2933990852155535</x:v>
      </x:c>
      <x:c r="E1499" s="128" t="n">
        <x:f>'Итоги'!$B$9</x:f>
        <x:v>1.2958368660043291</x:v>
      </x:c>
      <x:c r="F1499" s="129" t="n">
        <x:f>ABS(D1499-E1499)</x:f>
        <x:v>0.0024377807887756564</x:v>
      </x:c>
    </x:row>
    <x:row r="1500">
      <x:c r="A1500" s="107" t="n">
        <x:v>1499</x:v>
      </x:c>
      <x:c r="B1500" s="128" t="n">
        <x:v>1.6953472696718066</x:v>
      </x:c>
      <x:c r="C1500" s="128" t="n">
        <x:f>LN(B1500)</x:f>
        <x:v>0.5278875987100284</x:v>
      </x:c>
      <x:c r="D1500" s="128" t="n">
        <x:f>'Итоги'!$B$8*AVERAGE($C$2:C1500)</x:f>
        <x:v>1.2932405636092856</x:v>
      </x:c>
      <x:c r="E1500" s="128" t="n">
        <x:f>'Итоги'!$B$9</x:f>
        <x:v>1.2958368660043291</x:v>
      </x:c>
      <x:c r="F1500" s="129" t="n">
        <x:f>ABS(D1500-E1500)</x:f>
        <x:v>0.0025963023950434927</x:v>
      </x:c>
    </x:row>
    <x:row r="1501">
      <x:c r="A1501" s="107" t="n">
        <x:v>1500</x:v>
      </x:c>
      <x:c r="B1501" s="128" t="n">
        <x:v>2.3250591887324</x:v>
      </x:c>
      <x:c r="C1501" s="128" t="n">
        <x:f>LN(B1501)</x:f>
        <x:v>0.8437454962345943</x:v>
      </x:c>
      <x:c r="D1501" s="128" t="n">
        <x:f>'Итоги'!$B$8*AVERAGE($C$2:C1501)</x:f>
        <x:v>1.2935033972285257</x:v>
      </x:c>
      <x:c r="E1501" s="128" t="n">
        <x:f>'Итоги'!$B$9</x:f>
        <x:v>1.2958368660043291</x:v>
      </x:c>
      <x:c r="F1501" s="129" t="n">
        <x:f>ABS(D1501-E1501)</x:f>
        <x:v>0.0023334687758034267</x:v>
      </x:c>
    </x:row>
    <x:row r="1502">
      <x:c r="A1502" s="107" t="n">
        <x:v>1501</x:v>
      </x:c>
      <x:c r="B1502" s="128" t="n">
        <x:v>2.3437083772281344</x:v>
      </x:c>
      <x:c r="C1502" s="128" t="n">
        <x:f>LN(B1502)</x:f>
        <x:v>0.8517344515295608</x:v>
      </x:c>
      <x:c r="D1502" s="128" t="n">
        <x:f>'Итоги'!$B$8*AVERAGE($C$2:C1502)</x:f>
        <x:v>1.293776525480245</x:v>
      </x:c>
      <x:c r="E1502" s="128" t="n">
        <x:f>'Итоги'!$B$9</x:f>
        <x:v>1.2958368660043291</x:v>
      </x:c>
      <x:c r="F1502" s="129" t="n">
        <x:f>ABS(D1502-E1502)</x:f>
        <x:v>0.0020603405240842143</x:v>
      </x:c>
    </x:row>
    <x:row r="1503">
      <x:c r="A1503" s="107" t="n">
        <x:v>1502</x:v>
      </x:c>
      <x:c r="B1503" s="128" t="n">
        <x:v>2.92117392501325</x:v>
      </x:c>
      <x:c r="C1503" s="128" t="n">
        <x:f>LN(B1503)</x:f>
        <x:v>1.071985564602266</x:v>
      </x:c>
      <x:c r="D1503" s="128" t="n">
        <x:f>'Итоги'!$B$8*AVERAGE($C$2:C1503)</x:f>
        <x:v>1.2943425671604873</x:v>
      </x:c>
      <x:c r="E1503" s="128" t="n">
        <x:f>'Итоги'!$B$9</x:f>
        <x:v>1.2958368660043291</x:v>
      </x:c>
      <x:c r="F1503" s="129" t="n">
        <x:f>ABS(D1503-E1503)</x:f>
        <x:v>0.0014942988438417792</x:v>
      </x:c>
    </x:row>
    <x:row r="1504">
      <x:c r="A1504" s="107" t="n">
        <x:v>1503</x:v>
      </x:c>
      <x:c r="B1504" s="128" t="n">
        <x:v>1.7418246430833384</x:v>
      </x:c>
      <x:c r="C1504" s="128" t="n">
        <x:f>LN(B1504)</x:f>
        <x:v>0.5549332092320736</x:v>
      </x:c>
      <x:c r="D1504" s="128" t="n">
        <x:f>'Итоги'!$B$8*AVERAGE($C$2:C1504)</x:f>
        <x:v>1.2942198285386004</x:v>
      </x:c>
      <x:c r="E1504" s="128" t="n">
        <x:f>'Итоги'!$B$9</x:f>
        <x:v>1.2958368660043291</x:v>
      </x:c>
      <x:c r="F1504" s="129" t="n">
        <x:f>ABS(D1504-E1504)</x:f>
        <x:v>0.0016170374657287212</x:v>
      </x:c>
    </x:row>
    <x:row r="1505">
      <x:c r="A1505" s="107" t="n">
        <x:v>1504</x:v>
      </x:c>
      <x:c r="B1505" s="128" t="n">
        <x:v>1.8501635350282624</x:v>
      </x:c>
      <x:c r="C1505" s="128" t="n">
        <x:f>LN(B1505)</x:f>
        <x:v>0.6152740324959955</x:v>
      </x:c>
      <x:c r="D1505" s="128" t="n">
        <x:f>'Итоги'!$B$8*AVERAGE($C$2:C1505)</x:f>
        <x:v>1.2941774935894337</x:v>
      </x:c>
      <x:c r="E1505" s="128" t="n">
        <x:f>'Итоги'!$B$9</x:f>
        <x:v>1.2958368660043291</x:v>
      </x:c>
      <x:c r="F1505" s="129" t="n">
        <x:f>ABS(D1505-E1505)</x:f>
        <x:v>0.0016593724148954436</x:v>
      </x:c>
    </x:row>
    <x:row r="1506">
      <x:c r="A1506" s="107" t="n">
        <x:v>1505</x:v>
      </x:c>
      <x:c r="B1506" s="128" t="n">
        <x:v>2.6242459223741186</x:v>
      </x:c>
      <x:c r="C1506" s="128" t="n">
        <x:f>LN(B1506)</x:f>
        <x:v>0.9647935871073247</x:v>
      </x:c>
      <x:c r="D1506" s="128" t="n">
        <x:f>'Итоги'!$B$8*AVERAGE($C$2:C1506)</x:f>
        <x:v>1.2945996927127728</x:v>
      </x:c>
      <x:c r="E1506" s="128" t="n">
        <x:f>'Итоги'!$B$9</x:f>
        <x:v>1.2958368660043291</x:v>
      </x:c>
      <x:c r="F1506" s="129" t="n">
        <x:f>ABS(D1506-E1506)</x:f>
        <x:v>0.0012371732915563705</x:v>
      </x:c>
    </x:row>
    <x:row r="1507">
      <x:c r="A1507" s="107" t="n">
        <x:v>1506</x:v>
      </x:c>
      <x:c r="B1507" s="128" t="n">
        <x:v>2.0115246294854825</x:v>
      </x:c>
      <x:c r="C1507" s="128" t="n">
        <x:f>LN(B1507)</x:f>
        <x:v>0.6988929566705435</x:v>
      </x:c>
      <x:c r="D1507" s="128" t="n">
        <x:f>'Итоги'!$B$8*AVERAGE($C$2:C1507)</x:f>
        <x:v>1.2946682094595379</x:v>
      </x:c>
      <x:c r="E1507" s="128" t="n">
        <x:f>'Итоги'!$B$9</x:f>
        <x:v>1.2958368660043291</x:v>
      </x:c>
      <x:c r="F1507" s="129" t="n">
        <x:f>ABS(D1507-E1507)</x:f>
        <x:v>0.0011686565447912578</x:v>
      </x:c>
    </x:row>
    <x:row r="1508">
      <x:c r="A1508" s="107" t="n">
        <x:v>1507</x:v>
      </x:c>
      <x:c r="B1508" s="128" t="n">
        <x:v>2.473146186231466</x:v>
      </x:c>
      <x:c r="C1508" s="128" t="n">
        <x:f>LN(B1508)</x:f>
        <x:v>0.9054910997042163</x:v>
      </x:c>
      <x:c r="D1508" s="128" t="n">
        <x:f>'Итоги'!$B$8*AVERAGE($C$2:C1508)</x:f>
        <x:v>1.2950108199372745</x:v>
      </x:c>
      <x:c r="E1508" s="128" t="n">
        <x:f>'Итоги'!$B$9</x:f>
        <x:v>1.2958368660043291</x:v>
      </x:c>
      <x:c r="F1508" s="129" t="n">
        <x:f>ABS(D1508-E1508)</x:f>
        <x:v>0.0008260460670546088</x:v>
      </x:c>
    </x:row>
    <x:row r="1509">
      <x:c r="A1509" s="107" t="n">
        <x:v>1508</x:v>
      </x:c>
      <x:c r="B1509" s="128" t="n">
        <x:v>1.9194189289071841</x:v>
      </x:c>
      <x:c r="C1509" s="128" t="n">
        <x:f>LN(B1509)</x:f>
        <x:v>0.6520224990404271</x:v>
      </x:c>
      <x:c r="D1509" s="128" t="n">
        <x:f>'Итоги'!$B$8*AVERAGE($C$2:C1509)</x:f>
        <x:v>1.2950168107715871</x:v>
      </x:c>
      <x:c r="E1509" s="128" t="n">
        <x:f>'Итоги'!$B$9</x:f>
        <x:v>1.2958368660043291</x:v>
      </x:c>
      <x:c r="F1509" s="129" t="n">
        <x:f>ABS(D1509-E1509)</x:f>
        <x:v>0.0008200552327419786</x:v>
      </x:c>
    </x:row>
    <x:row r="1510">
      <x:c r="A1510" s="107" t="n">
        <x:v>1509</x:v>
      </x:c>
      <x:c r="B1510" s="128" t="n">
        <x:v>1.430990283625401</x:v>
      </x:c>
      <x:c r="C1510" s="128" t="n">
        <x:f>LN(B1510)</x:f>
        <x:v>0.3583667106319058</x:v>
      </x:c>
      <x:c r="D1510" s="128" t="n">
        <x:f>'Итоги'!$B$8*AVERAGE($C$2:C1510)</x:f>
        <x:v>1.2946335878494482</x:v>
      </x:c>
      <x:c r="E1510" s="128" t="n">
        <x:f>'Итоги'!$B$9</x:f>
        <x:v>1.2958368660043291</x:v>
      </x:c>
      <x:c r="F1510" s="129" t="n">
        <x:f>ABS(D1510-E1510)</x:f>
        <x:v>0.0012032781548809712</x:v>
      </x:c>
    </x:row>
    <x:row r="1511">
      <x:c r="A1511" s="107" t="n">
        <x:v>1510</x:v>
      </x:c>
      <x:c r="B1511" s="128" t="n">
        <x:v>2.4904076855620216</x:v>
      </x:c>
      <x:c r="C1511" s="128" t="n">
        <x:f>LN(B1511)</x:f>
        <x:v>0.9124464262158374</x:v>
      </x:c>
      <x:c r="D1511" s="128" t="n">
        <x:f>'Итоги'!$B$8*AVERAGE($C$2:C1511)</x:f>
        <x:v>1.2949847529253304</x:v>
      </x:c>
      <x:c r="E1511" s="128" t="n">
        <x:f>'Итоги'!$B$9</x:f>
        <x:v>1.2958368660043291</x:v>
      </x:c>
      <x:c r="F1511" s="129" t="n">
        <x:f>ABS(D1511-E1511)</x:f>
        <x:v>0.0008521130789986842</x:v>
      </x:c>
    </x:row>
    <x:row r="1512">
      <x:c r="A1512" s="107" t="n">
        <x:v>1511</x:v>
      </x:c>
      <x:c r="B1512" s="128" t="n">
        <x:v>1.2623103383694199</x:v>
      </x:c>
      <x:c r="C1512" s="128" t="n">
        <x:f>LN(B1512)</x:f>
        <x:v>0.2329436438480438</x:v>
      </x:c>
      <x:c r="D1512" s="128" t="n">
        <x:f>'Итоги'!$B$8*AVERAGE($C$2:C1512)</x:f>
        <x:v>1.2944360451389445</x:v>
      </x:c>
      <x:c r="E1512" s="128" t="n">
        <x:f>'Итоги'!$B$9</x:f>
        <x:v>1.2958368660043291</x:v>
      </x:c>
      <x:c r="F1512" s="129" t="n">
        <x:f>ABS(D1512-E1512)</x:f>
        <x:v>0.0014008208653846221</x:v>
      </x:c>
    </x:row>
    <x:row r="1513">
      <x:c r="A1513" s="107" t="n">
        <x:v>1512</x:v>
      </x:c>
      <x:c r="B1513" s="128" t="n">
        <x:v>1.3971673270626161</x:v>
      </x:c>
      <x:c r="C1513" s="128" t="n">
        <x:f>LN(B1513)</x:f>
        <x:v>0.33444684909553607</x:v>
      </x:c>
      <x:c r="D1513" s="128" t="n">
        <x:f>'Итоги'!$B$8*AVERAGE($C$2:C1513)</x:f>
        <x:v>1.2940223266555133</x:v>
      </x:c>
      <x:c r="E1513" s="128" t="n">
        <x:f>'Итоги'!$B$9</x:f>
        <x:v>1.2958368660043291</x:v>
      </x:c>
      <x:c r="F1513" s="129" t="n">
        <x:f>ABS(D1513-E1513)</x:f>
        <x:v>0.0018145393488158135</x:v>
      </x:c>
    </x:row>
    <x:row r="1514">
      <x:c r="A1514" s="107" t="n">
        <x:v>1513</x:v>
      </x:c>
      <x:c r="B1514" s="128" t="n">
        <x:v>2.2536499655684175</x:v>
      </x:c>
      <x:c r="C1514" s="128" t="n">
        <x:f>LN(B1514)</x:f>
        <x:v>0.8125511087792276</x:v>
      </x:c>
      <x:c r="D1514" s="128" t="n">
        <x:f>'Итоги'!$B$8*AVERAGE($C$2:C1514)</x:f>
        <x:v>1.2942411501128186</x:v>
      </x:c>
      <x:c r="E1514" s="128" t="n">
        <x:f>'Итоги'!$B$9</x:f>
        <x:v>1.2958368660043291</x:v>
      </x:c>
      <x:c r="F1514" s="129" t="n">
        <x:f>ABS(D1514-E1514)</x:f>
        <x:v>0.0015957158915105296</x:v>
      </x:c>
    </x:row>
    <x:row r="1515">
      <x:c r="A1515" s="107" t="n">
        <x:v>1514</x:v>
      </x:c>
      <x:c r="B1515" s="128" t="n">
        <x:v>2.4945396003841394</x:v>
      </x:c>
      <x:c r="C1515" s="128" t="n">
        <x:f>LN(B1515)</x:f>
        <x:v>0.9141041832717764</x:v>
      </x:c>
      <x:c r="D1515" s="128" t="n">
        <x:f>'Итоги'!$B$8*AVERAGE($C$2:C1515)</x:f>
        <x:v>1.2945938365173304</x:v>
      </x:c>
      <x:c r="E1515" s="128" t="n">
        <x:f>'Итоги'!$B$9</x:f>
        <x:v>1.2958368660043291</x:v>
      </x:c>
      <x:c r="F1515" s="129" t="n">
        <x:f>ABS(D1515-E1515)</x:f>
        <x:v>0.0012430294869987257</x:v>
      </x:c>
    </x:row>
    <x:row r="1516">
      <x:c r="A1516" s="107" t="n">
        <x:v>1515</x:v>
      </x:c>
      <x:c r="B1516" s="128" t="n">
        <x:v>2.78937577373563</x:v>
      </x:c>
      <x:c r="C1516" s="128" t="n">
        <x:f>LN(B1516)</x:f>
        <x:v>1.0258178337880959</x:v>
      </x:c>
      <x:c r="D1516" s="128" t="n">
        <x:f>'Итоги'!$B$8*AVERAGE($C$2:C1516)</x:f>
        <x:v>1.295093534095587</x:v>
      </x:c>
      <x:c r="E1516" s="128" t="n">
        <x:f>'Итоги'!$B$9</x:f>
        <x:v>1.2958368660043291</x:v>
      </x:c>
      <x:c r="F1516" s="129" t="n">
        <x:f>ABS(D1516-E1516)</x:f>
        <x:v>0.0007433319087422063</x:v>
      </x:c>
    </x:row>
    <x:row r="1517">
      <x:c r="A1517" s="107" t="n">
        <x:v>1516</x:v>
      </x:c>
      <x:c r="B1517" s="128" t="n">
        <x:v>1.5451729948317834</x:v>
      </x:c>
      <x:c r="C1517" s="128" t="n">
        <x:f>LN(B1517)</x:f>
        <x:v>0.4351358748463589</x:v>
      </x:c>
      <x:c r="D1517" s="128" t="n">
        <x:f>'Итоги'!$B$8*AVERAGE($C$2:C1517)</x:f>
        <x:v>1.2948133086441338</x:v>
      </x:c>
      <x:c r="E1517" s="128" t="n">
        <x:f>'Итоги'!$B$9</x:f>
        <x:v>1.2958368660043291</x:v>
      </x:c>
      <x:c r="F1517" s="129" t="n">
        <x:f>ABS(D1517-E1517)</x:f>
        <x:v>0.0010235573601953263</x:v>
      </x:c>
    </x:row>
    <x:row r="1518">
      <x:c r="A1518" s="107" t="n">
        <x:v>1517</x:v>
      </x:c>
      <x:c r="B1518" s="128" t="n">
        <x:v>1.2214485172011087</x:v>
      </x:c>
      <x:c r="C1518" s="128" t="n">
        <x:f>LN(B1518)</x:f>
        <x:v>0.20003746363227737</x:v>
      </x:c>
      <x:c r="D1518" s="128" t="n">
        <x:f>'Итоги'!$B$8*AVERAGE($C$2:C1518)</x:f>
        <x:v>1.2942235008778982</x:v>
      </x:c>
      <x:c r="E1518" s="128" t="n">
        <x:f>'Итоги'!$B$9</x:f>
        <x:v>1.2958368660043291</x:v>
      </x:c>
      <x:c r="F1518" s="129" t="n">
        <x:f>ABS(D1518-E1518)</x:f>
        <x:v>0.0016133651264309545</x:v>
      </x:c>
    </x:row>
    <x:row r="1519">
      <x:c r="A1519" s="107" t="n">
        <x:v>1518</x:v>
      </x:c>
      <x:c r="B1519" s="128" t="n">
        <x:v>2.9120933190452583</x:v>
      </x:c>
      <x:c r="C1519" s="128" t="n">
        <x:f>LN(B1519)</x:f>
        <x:v>1.0688721761963975</x:v>
      </x:c>
      <x:c r="D1519" s="128" t="n">
        <x:f>'Итоги'!$B$8*AVERAGE($C$2:C1519)</x:f>
        <x:v>1.2947791799632176</x:v>
      </x:c>
      <x:c r="E1519" s="128" t="n">
        <x:f>'Итоги'!$B$9</x:f>
        <x:v>1.2958368660043291</x:v>
      </x:c>
      <x:c r="F1519" s="129" t="n">
        <x:f>ABS(D1519-E1519)</x:f>
        <x:v>0.0010576860411115607</x:v>
      </x:c>
    </x:row>
    <x:row r="1520">
      <x:c r="A1520" s="107" t="n">
        <x:v>1519</x:v>
      </x:c>
      <x:c r="B1520" s="128" t="n">
        <x:v>1.3088461760442849</x:v>
      </x:c>
      <x:c r="C1520" s="128" t="n">
        <x:f>LN(B1520)</x:f>
        <x:v>0.2691459674514088</x:v>
      </x:c>
      <x:c r="D1520" s="128" t="n">
        <x:f>'Итоги'!$B$8*AVERAGE($C$2:C1520)</x:f>
        <x:v>1.2942811633436913</x:v>
      </x:c>
      <x:c r="E1520" s="128" t="n">
        <x:f>'Итоги'!$B$9</x:f>
        <x:v>1.2958368660043291</x:v>
      </x:c>
      <x:c r="F1520" s="129" t="n">
        <x:f>ABS(D1520-E1520)</x:f>
        <x:v>0.0015557026606378699</x:v>
      </x:c>
    </x:row>
    <x:row r="1521">
      <x:c r="A1521" s="107" t="n">
        <x:v>1520</x:v>
      </x:c>
      <x:c r="B1521" s="128" t="n">
        <x:v>1.395333964509279</x:v>
      </x:c>
      <x:c r="C1521" s="128" t="n">
        <x:f>LN(B1521)</x:f>
        <x:v>0.33313378770338314</x:v>
      </x:c>
      <x:c r="D1521" s="128" t="n">
        <x:f>'Итоги'!$B$8*AVERAGE($C$2:C1521)</x:f>
        <x:v>1.2938679965095221</x:v>
      </x:c>
      <x:c r="E1521" s="128" t="n">
        <x:f>'Итоги'!$B$9</x:f>
        <x:v>1.2958368660043291</x:v>
      </x:c>
      <x:c r="F1521" s="129" t="n">
        <x:f>ABS(D1521-E1521)</x:f>
        <x:v>0.001968869494807013</x:v>
      </x:c>
    </x:row>
    <x:row r="1522">
      <x:c r="A1522" s="107" t="n">
        <x:v>1521</x:v>
      </x:c>
      <x:c r="B1522" s="128" t="n">
        <x:v>1.5826589071169315</x:v>
      </x:c>
      <x:c r="C1522" s="128" t="n">
        <x:f>LN(B1522)</x:f>
        <x:v>0.4591062852346886</x:v>
      </x:c>
      <x:c r="D1522" s="128" t="n">
        <x:f>'Итоги'!$B$8*AVERAGE($C$2:C1522)</x:f>
        <x:v>1.2936210172682072</x:v>
      </x:c>
      <x:c r="E1522" s="128" t="n">
        <x:f>'Итоги'!$B$9</x:f>
        <x:v>1.2958368660043291</x:v>
      </x:c>
      <x:c r="F1522" s="129" t="n">
        <x:f>ABS(D1522-E1522)</x:f>
        <x:v>0.002215848736121906</x:v>
      </x:c>
    </x:row>
    <x:row r="1523">
      <x:c r="A1523" s="107" t="n">
        <x:v>1522</x:v>
      </x:c>
      <x:c r="B1523" s="128" t="n">
        <x:v>2.0587827080525747</x:v>
      </x:c>
      <x:c r="C1523" s="128" t="n">
        <x:f>LN(B1523)</x:f>
        <x:v>0.7221148897193089</x:v>
      </x:c>
      <x:c r="D1523" s="128" t="n">
        <x:f>'Итоги'!$B$8*AVERAGE($C$2:C1523)</x:f>
        <x:v>1.2937199717768606</x:v>
      </x:c>
      <x:c r="E1523" s="128" t="n">
        <x:f>'Итоги'!$B$9</x:f>
        <x:v>1.2958368660043291</x:v>
      </x:c>
      <x:c r="F1523" s="129" t="n">
        <x:f>ABS(D1523-E1523)</x:f>
        <x:v>0.0021168942274685243</x:v>
      </x:c>
    </x:row>
    <x:row r="1524">
      <x:c r="A1524" s="107" t="n">
        <x:v>1523</x:v>
      </x:c>
      <x:c r="B1524" s="128" t="n">
        <x:v>2.765651132068156</x:v>
      </x:c>
      <x:c r="C1524" s="128" t="n">
        <x:f>LN(B1524)</x:f>
        <x:v>1.0172760980529179</x:v>
      </x:c>
      <x:c r="D1524" s="128" t="n">
        <x:f>'Итоги'!$B$8*AVERAGE($C$2:C1524)</x:f>
        <x:v>1.2942064013397818</x:v>
      </x:c>
      <x:c r="E1524" s="128" t="n">
        <x:f>'Итоги'!$B$9</x:f>
        <x:v>1.2958368660043291</x:v>
      </x:c>
      <x:c r="F1524" s="129" t="n">
        <x:f>ABS(D1524-E1524)</x:f>
        <x:v>0.0016304646645473042</x:v>
      </x:c>
    </x:row>
    <x:row r="1525">
      <x:c r="A1525" s="107" t="n">
        <x:v>1524</x:v>
      </x:c>
      <x:c r="B1525" s="128" t="n">
        <x:v>2.521092045459734</x:v>
      </x:c>
      <x:c r="C1525" s="128" t="n">
        <x:f>LN(B1525)</x:f>
        <x:v>0.9246921590266541</x:v>
      </x:c>
      <x:c r="D1525" s="128" t="n">
        <x:f>'Итоги'!$B$8*AVERAGE($C$2:C1525)</x:f>
        <x:v>1.2945706913113786</x:v>
      </x:c>
      <x:c r="E1525" s="128" t="n">
        <x:f>'Итоги'!$B$9</x:f>
        <x:v>1.2958368660043291</x:v>
      </x:c>
      <x:c r="F1525" s="129" t="n">
        <x:f>ABS(D1525-E1525)</x:f>
        <x:v>0.001266174692950539</x:v>
      </x:c>
    </x:row>
    <x:row r="1526">
      <x:c r="A1526" s="107" t="n">
        <x:v>1525</x:v>
      </x:c>
      <x:c r="B1526" s="128" t="n">
        <x:v>2.4163151076852705</x:v>
      </x:c>
      <x:c r="C1526" s="128" t="n">
        <x:f>LN(B1526)</x:f>
        <x:v>0.8822436969343398</x:v>
      </x:c>
      <x:c r="D1526" s="128" t="n">
        <x:f>'Итоги'!$B$8*AVERAGE($C$2:C1526)</x:f>
        <x:v>1.294878833411416</x:v>
      </x:c>
      <x:c r="E1526" s="128" t="n">
        <x:f>'Итоги'!$B$9</x:f>
        <x:v>1.2958368660043291</x:v>
      </x:c>
      <x:c r="F1526" s="129" t="n">
        <x:f>ABS(D1526-E1526)</x:f>
        <x:v>0.0009580325929130495</x:v>
      </x:c>
    </x:row>
    <x:row r="1527">
      <x:c r="A1527" s="107" t="n">
        <x:v>1526</x:v>
      </x:c>
      <x:c r="B1527" s="128" t="n">
        <x:v>1.3503611357120073</x:v>
      </x:c>
      <x:c r="C1527" s="128" t="n">
        <x:f>LN(B1527)</x:f>
        <x:v>0.30037206461129046</x:v>
      </x:c>
      <x:c r="D1527" s="128" t="n">
        <x:f>'Итоги'!$B$8*AVERAGE($C$2:C1527)</x:f>
        <x:v>1.2944239613903226</x:v>
      </x:c>
      <x:c r="E1527" s="128" t="n">
        <x:f>'Итоги'!$B$9</x:f>
        <x:v>1.2958368660043291</x:v>
      </x:c>
      <x:c r="F1527" s="129" t="n">
        <x:f>ABS(D1527-E1527)</x:f>
        <x:v>0.0014129046140065604</x:v>
      </x:c>
    </x:row>
    <x:row r="1528">
      <x:c r="A1528" s="107" t="n">
        <x:v>1527</x:v>
      </x:c>
      <x:c r="B1528" s="128" t="n">
        <x:v>1.7153652630519485</x:v>
      </x:c>
      <x:c r="C1528" s="128" t="n">
        <x:f>LN(B1528)</x:f>
        <x:v>0.5396260393119893</x:v>
      </x:c>
      <x:c r="D1528" s="128" t="n">
        <x:f>'Итоги'!$B$8*AVERAGE($C$2:C1528)</x:f>
        <x:v>1.294283049875741</x:v>
      </x:c>
      <x:c r="E1528" s="128" t="n">
        <x:f>'Итоги'!$B$9</x:f>
        <x:v>1.2958368660043291</x:v>
      </x:c>
      <x:c r="F1528" s="129" t="n">
        <x:f>ABS(D1528-E1528)</x:f>
        <x:v>0.0015538161285881813</x:v>
      </x:c>
    </x:row>
    <x:row r="1529">
      <x:c r="A1529" s="107" t="n">
        <x:v>1528</x:v>
      </x:c>
      <x:c r="B1529" s="128" t="n">
        <x:v>1.956809852173356</x:v>
      </x:c>
      <x:c r="C1529" s="128" t="n">
        <x:f>LN(B1529)</x:f>
        <x:v>0.6713155207773008</x:v>
      </x:c>
      <x:c r="D1529" s="128" t="n">
        <x:f>'Итоги'!$B$8*AVERAGE($C$2:C1529)</x:f>
        <x:v>1.2943146912315515</x:v>
      </x:c>
      <x:c r="E1529" s="128" t="n">
        <x:f>'Итоги'!$B$9</x:f>
        <x:v>1.2958368660043291</x:v>
      </x:c>
      <x:c r="F1529" s="129" t="n">
        <x:f>ABS(D1529-E1529)</x:f>
        <x:v>0.001522174772777607</x:v>
      </x:c>
    </x:row>
    <x:row r="1530">
      <x:c r="A1530" s="107" t="n">
        <x:v>1529</x:v>
      </x:c>
      <x:c r="B1530" s="128" t="n">
        <x:v>1.2948519069711717</x:v>
      </x:c>
      <x:c r="C1530" s="128" t="n">
        <x:f>LN(B1530)</x:f>
        <x:v>0.258396331060959</x:v>
      </x:c>
      <x:c r="D1530" s="128" t="n">
        <x:f>'Итоги'!$B$8*AVERAGE($C$2:C1530)</x:f>
        <x:v>1.293806174534946</x:v>
      </x:c>
      <x:c r="E1530" s="128" t="n">
        <x:f>'Итоги'!$B$9</x:f>
        <x:v>1.2958368660043291</x:v>
      </x:c>
      <x:c r="F1530" s="129" t="n">
        <x:f>ABS(D1530-E1530)</x:f>
        <x:v>0.0020306914693830613</x:v>
      </x:c>
    </x:row>
    <x:row r="1531">
      <x:c r="A1531" s="107" t="n">
        <x:v>1530</x:v>
      </x:c>
      <x:c r="B1531" s="128" t="n">
        <x:v>1.546859404253345</x:v>
      </x:c>
      <x:c r="C1531" s="128" t="n">
        <x:f>LN(B1531)</x:f>
        <x:v>0.4362266846252457</x:v>
      </x:c>
      <x:c r="D1531" s="128" t="n">
        <x:f>'Итоги'!$B$8*AVERAGE($C$2:C1531)</x:f>
        <x:v>1.2935307805445642</x:v>
      </x:c>
      <x:c r="E1531" s="128" t="n">
        <x:f>'Итоги'!$B$9</x:f>
        <x:v>1.2958368660043291</x:v>
      </x:c>
      <x:c r="F1531" s="129" t="n">
        <x:f>ABS(D1531-E1531)</x:f>
        <x:v>0.0023060854597649616</x:v>
      </x:c>
    </x:row>
    <x:row r="1532">
      <x:c r="A1532" s="107" t="n">
        <x:v>1531</x:v>
      </x:c>
      <x:c r="B1532" s="128" t="n">
        <x:v>1.6166664079056885</x:v>
      </x:c>
      <x:c r="C1532" s="128" t="n">
        <x:f>LN(B1532)</x:f>
        <x:v>0.48036625622293233</x:v>
      </x:c>
      <x:c r="D1532" s="128" t="n">
        <x:f>'Итоги'!$B$8*AVERAGE($C$2:C1532)</x:f>
        <x:v>1.2933134074106003</x:v>
      </x:c>
      <x:c r="E1532" s="128" t="n">
        <x:f>'Итоги'!$B$9</x:f>
        <x:v>1.2958368660043291</x:v>
      </x:c>
      <x:c r="F1532" s="129" t="n">
        <x:f>ABS(D1532-E1532)</x:f>
        <x:v>0.0025234585937288223</x:v>
      </x:c>
    </x:row>
    <x:row r="1533">
      <x:c r="A1533" s="107" t="n">
        <x:v>1532</x:v>
      </x:c>
      <x:c r="B1533" s="128" t="n">
        <x:v>1.2545523966580785</x:v>
      </x:c>
      <x:c r="C1533" s="128" t="n">
        <x:f>LN(B1533)</x:f>
        <x:v>0.2267788529175119</x:v>
      </x:c>
      <x:c r="D1533" s="128" t="n">
        <x:f>'Итоги'!$B$8*AVERAGE($C$2:C1533)</x:f>
        <x:v>1.292765264002261</x:v>
      </x:c>
      <x:c r="E1533" s="128" t="n">
        <x:f>'Итоги'!$B$9</x:f>
        <x:v>1.2958368660043291</x:v>
      </x:c>
      <x:c r="F1533" s="129" t="n">
        <x:f>ABS(D1533-E1533)</x:f>
        <x:v>0.003071602002068019</x:v>
      </x:c>
    </x:row>
    <x:row r="1534">
      <x:c r="A1534" s="107" t="n">
        <x:v>1533</x:v>
      </x:c>
      <x:c r="B1534" s="128" t="n">
        <x:v>2.1004793838165154</x:v>
      </x:c>
      <x:c r="C1534" s="128" t="n">
        <x:f>LN(B1534)</x:f>
        <x:v>0.742165596685782</x:v>
      </x:c>
      <x:c r="D1534" s="128" t="n">
        <x:f>'Итоги'!$B$8*AVERAGE($C$2:C1534)</x:f>
        <x:v>1.2928902254695602</x:v>
      </x:c>
      <x:c r="E1534" s="128" t="n">
        <x:f>'Итоги'!$B$9</x:f>
        <x:v>1.2958368660043291</x:v>
      </x:c>
      <x:c r="F1534" s="129" t="n">
        <x:f>ABS(D1534-E1534)</x:f>
        <x:v>0.002946640534768896</x:v>
      </x:c>
    </x:row>
    <x:row r="1535">
      <x:c r="A1535" s="107" t="n">
        <x:v>1534</x:v>
      </x:c>
      <x:c r="B1535" s="128" t="n">
        <x:v>2.410056393048386</x:v>
      </x:c>
      <x:c r="C1535" s="128" t="n">
        <x:f>LN(B1535)</x:f>
        <x:v>0.8796501468339365</x:v>
      </x:c>
      <x:c r="D1535" s="128" t="n">
        <x:f>'Итоги'!$B$8*AVERAGE($C$2:C1535)</x:f>
        <x:v>1.2931942737539137</x:v>
      </x:c>
      <x:c r="E1535" s="128" t="n">
        <x:f>'Итоги'!$B$9</x:f>
        <x:v>1.2958368660043291</x:v>
      </x:c>
      <x:c r="F1535" s="129" t="n">
        <x:f>ABS(D1535-E1535)</x:f>
        <x:v>0.00264259225041541</x:v>
      </x:c>
    </x:row>
    <x:row r="1536">
      <x:c r="A1536" s="107" t="n">
        <x:v>1535</x:v>
      </x:c>
      <x:c r="B1536" s="128" t="n">
        <x:v>1.1398632629537224</x:v>
      </x:c>
      <x:c r="C1536" s="128" t="n">
        <x:f>LN(B1536)</x:f>
        <x:v>0.13090831043501755</x:v>
      </x:c>
      <x:c r="D1536" s="128" t="n">
        <x:f>'Итоги'!$B$8*AVERAGE($C$2:C1536)</x:f>
        <x:v>1.2925223664881913</x:v>
      </x:c>
      <x:c r="E1536" s="128" t="n">
        <x:f>'Итоги'!$B$9</x:f>
        <x:v>1.2958368660043291</x:v>
      </x:c>
      <x:c r="F1536" s="129" t="n">
        <x:f>ABS(D1536-E1536)</x:f>
        <x:v>0.0033144995161378255</x:v>
      </x:c>
    </x:row>
    <x:row r="1537">
      <x:c r="A1537" s="107" t="n">
        <x:v>1536</x:v>
      </x:c>
      <x:c r="B1537" s="128" t="n">
        <x:v>1.9622462035262995</x:v>
      </x:c>
      <x:c r="C1537" s="128" t="n">
        <x:f>LN(B1537)</x:f>
        <x:v>0.6740898392675567</x:v>
      </x:c>
      <x:c r="D1537" s="128" t="n">
        <x:f>'Итоги'!$B$8*AVERAGE($C$2:C1537)</x:f>
        <x:v>1.2925586017173885</x:v>
      </x:c>
      <x:c r="E1537" s="128" t="n">
        <x:f>'Итоги'!$B$9</x:f>
        <x:v>1.2958368660043291</x:v>
      </x:c>
      <x:c r="F1537" s="129" t="n">
        <x:f>ABS(D1537-E1537)</x:f>
        <x:v>0.0032782642869406686</x:v>
      </x:c>
    </x:row>
    <x:row r="1538">
      <x:c r="A1538" s="107" t="n">
        <x:v>1537</x:v>
      </x:c>
      <x:c r="B1538" s="128" t="n">
        <x:v>2.56442239053559</x:v>
      </x:c>
      <x:c r="C1538" s="128" t="n">
        <x:f>LN(B1538)</x:f>
        <x:v>0.9417332643888975</x:v>
      </x:c>
      <x:c r="D1538" s="128" t="n">
        <x:f>'Итоги'!$B$8*AVERAGE($C$2:C1538)</x:f>
        <x:v>1.2929430571025937</x:v>
      </x:c>
      <x:c r="E1538" s="128" t="n">
        <x:f>'Итоги'!$B$9</x:f>
        <x:v>1.2958368660043291</x:v>
      </x:c>
      <x:c r="F1538" s="129" t="n">
        <x:f>ABS(D1538-E1538)</x:f>
        <x:v>0.0028938089017354063</x:v>
      </x:c>
    </x:row>
    <x:row r="1539">
      <x:c r="A1539" s="107" t="n">
        <x:v>1538</x:v>
      </x:c>
      <x:c r="B1539" s="128" t="n">
        <x:v>2.4959802579048938</x:v>
      </x:c>
      <x:c r="C1539" s="128" t="n">
        <x:f>LN(B1539)</x:f>
        <x:v>0.9146815409826694</x:v>
      </x:c>
      <x:c r="D1539" s="128" t="n">
        <x:f>'Итоги'!$B$8*AVERAGE($C$2:C1539)</x:f>
        <x:v>1.2932918347520492</x:v>
      </x:c>
      <x:c r="E1539" s="128" t="n">
        <x:f>'Итоги'!$B$9</x:f>
        <x:v>1.2958368660043291</x:v>
      </x:c>
      <x:c r="F1539" s="129" t="n">
        <x:f>ABS(D1539-E1539)</x:f>
        <x:v>0.0025450312522798946</x:v>
      </x:c>
    </x:row>
    <x:row r="1540">
      <x:c r="A1540" s="107" t="n">
        <x:v>1539</x:v>
      </x:c>
      <x:c r="B1540" s="128" t="n">
        <x:v>2.6301461924375085</x:v>
      </x:c>
      <x:c r="C1540" s="128" t="n">
        <x:f>LN(B1540)</x:f>
        <x:v>0.9670394311229422</x:v>
      </x:c>
      <x:c r="D1540" s="128" t="n">
        <x:f>'Итоги'!$B$8*AVERAGE($C$2:C1540)</x:f>
        <x:v>1.2937082005918763</x:v>
      </x:c>
      <x:c r="E1540" s="128" t="n">
        <x:f>'Итоги'!$B$9</x:f>
        <x:v>1.2958368660043291</x:v>
      </x:c>
      <x:c r="F1540" s="129" t="n">
        <x:f>ABS(D1540-E1540)</x:f>
        <x:v>0.0021286654124528237</x:v>
      </x:c>
    </x:row>
    <x:row r="1541">
      <x:c r="A1541" s="107" t="n">
        <x:v>1540</x:v>
      </x:c>
      <x:c r="B1541" s="128" t="n">
        <x:v>1.896481266341214</x:v>
      </x:c>
      <x:c r="C1541" s="128" t="n">
        <x:f>LN(B1541)</x:f>
        <x:v>0.6400002040812683</x:v>
      </x:c>
      <x:c r="D1541" s="128" t="n">
        <x:f>'Итоги'!$B$8*AVERAGE($C$2:C1541)</x:f>
        <x:v>1.2936992994279612</x:v>
      </x:c>
      <x:c r="E1541" s="128" t="n">
        <x:f>'Итоги'!$B$9</x:f>
        <x:v>1.2958368660043291</x:v>
      </x:c>
      <x:c r="F1541" s="129" t="n">
        <x:f>ABS(D1541-E1541)</x:f>
        <x:v>0.0021375665763678775</x:v>
      </x:c>
    </x:row>
    <x:row r="1542">
      <x:c r="A1542" s="107" t="n">
        <x:v>1541</x:v>
      </x:c>
      <x:c r="B1542" s="128" t="n">
        <x:v>2.6411141652797214</x:v>
      </x:c>
      <x:c r="C1542" s="128" t="n">
        <x:f>LN(B1542)</x:f>
        <x:v>0.9712008604305655</x:v>
      </x:c>
      <x:c r="D1542" s="128" t="n">
        <x:f>'Итоги'!$B$8*AVERAGE($C$2:C1542)</x:f>
        <x:v>1.2941202614146148</x:v>
      </x:c>
      <x:c r="E1542" s="128" t="n">
        <x:f>'Итоги'!$B$9</x:f>
        <x:v>1.2958368660043291</x:v>
      </x:c>
      <x:c r="F1542" s="129" t="n">
        <x:f>ABS(D1542-E1542)</x:f>
        <x:v>0.0017166045897143434</x:v>
      </x:c>
    </x:row>
    <x:row r="1543">
      <x:c r="A1543" s="107" t="n">
        <x:v>1542</x:v>
      </x:c>
      <x:c r="B1543" s="128" t="n">
        <x:v>1.481506142428539</x:v>
      </x:c>
      <x:c r="C1543" s="128" t="n">
        <x:f>LN(B1543)</x:f>
        <x:v>0.39305923411032556</x:v>
      </x:c>
      <x:c r="D1543" s="128" t="n">
        <x:f>'Итоги'!$B$8*AVERAGE($C$2:C1543)</x:f>
        <x:v>1.2937908179689637</x:v>
      </x:c>
      <x:c r="E1543" s="128" t="n">
        <x:f>'Итоги'!$B$9</x:f>
        <x:v>1.2958368660043291</x:v>
      </x:c>
      <x:c r="F1543" s="129" t="n">
        <x:f>ABS(D1543-E1543)</x:f>
        <x:v>0.0020460480353654553</x:v>
      </x:c>
    </x:row>
    <x:row r="1544">
      <x:c r="A1544" s="107" t="n">
        <x:v>1543</x:v>
      </x:c>
      <x:c r="B1544" s="128" t="n">
        <x:v>1.7216211228350307</x:v>
      </x:c>
      <x:c r="C1544" s="128" t="n">
        <x:f>LN(B1544)</x:f>
        <x:v>0.5432663602147952</x:v>
      </x:c>
      <x:c r="D1544" s="128" t="n">
        <x:f>'Итоги'!$B$8*AVERAGE($C$2:C1544)</x:f>
        <x:v>1.2936564964540322</x:v>
      </x:c>
      <x:c r="E1544" s="128" t="n">
        <x:f>'Итоги'!$B$9</x:f>
        <x:v>1.2958368660043291</x:v>
      </x:c>
      <x:c r="F1544" s="129" t="n">
        <x:f>ABS(D1544-E1544)</x:f>
        <x:v>0.002180369550296879</x:v>
      </x:c>
    </x:row>
    <x:row r="1545">
      <x:c r="A1545" s="107" t="n">
        <x:v>1544</x:v>
      </x:c>
      <x:c r="B1545" s="128" t="n">
        <x:v>1.3527111528356026</x:v>
      </x:c>
      <x:c r="C1545" s="128" t="n">
        <x:f>LN(B1545)</x:f>
        <x:v>0.3021108399489881</x:v>
      </x:c>
      <x:c r="D1545" s="128" t="n">
        <x:f>'Итоги'!$B$8*AVERAGE($C$2:C1545)</x:f>
        <x:v>1.2932099713137757</x:v>
      </x:c>
      <x:c r="E1545" s="128" t="n">
        <x:f>'Итоги'!$B$9</x:f>
        <x:v>1.2958368660043291</x:v>
      </x:c>
      <x:c r="F1545" s="129" t="n">
        <x:f>ABS(D1545-E1545)</x:f>
        <x:v>0.0026268946905534385</x:v>
      </x:c>
    </x:row>
    <x:row r="1546">
      <x:c r="A1546" s="107" t="n">
        <x:v>1545</x:v>
      </x:c>
      <x:c r="B1546" s="128" t="n">
        <x:v>1.9349690788571436</x:v>
      </x:c>
      <x:c r="C1546" s="128" t="n">
        <x:f>LN(B1546)</x:f>
        <x:v>0.660091346435276</x:v>
      </x:c>
      <x:c r="D1546" s="128" t="n">
        <x:f>'Итоги'!$B$8*AVERAGE($C$2:C1546)</x:f>
        <x:v>1.2932274293859807</x:v>
      </x:c>
      <x:c r="E1546" s="128" t="n">
        <x:f>'Итоги'!$B$9</x:f>
        <x:v>1.2958368660043291</x:v>
      </x:c>
      <x:c r="F1546" s="129" t="n">
        <x:f>ABS(D1546-E1546)</x:f>
        <x:v>0.0026094366183484485</x:v>
      </x:c>
    </x:row>
    <x:row r="1547">
      <x:c r="A1547" s="107" t="n">
        <x:v>1546</x:v>
      </x:c>
      <x:c r="B1547" s="128" t="n">
        <x:v>1.7841200448308865</x:v>
      </x:c>
      <x:c r="C1547" s="128" t="n">
        <x:f>LN(B1547)</x:f>
        <x:v>0.5789253215973788</x:v>
      </x:c>
      <x:c r="D1547" s="128" t="n">
        <x:f>'Итоги'!$B$8*AVERAGE($C$2:C1547)</x:f>
        <x:v>1.2931398635475646</x:v>
      </x:c>
      <x:c r="E1547" s="128" t="n">
        <x:f>'Итоги'!$B$9</x:f>
        <x:v>1.2958368660043291</x:v>
      </x:c>
      <x:c r="F1547" s="129" t="n">
        <x:f>ABS(D1547-E1547)</x:f>
        <x:v>0.002697002456764519</x:v>
      </x:c>
    </x:row>
    <x:row r="1548">
      <x:c r="A1548" s="107" t="n">
        <x:v>1547</x:v>
      </x:c>
      <x:c r="B1548" s="128" t="n">
        <x:v>1.4818542328286244</x:v>
      </x:c>
      <x:c r="C1548" s="128" t="n">
        <x:f>LN(B1548)</x:f>
        <x:v>0.3932941636211558</x:v>
      </x:c>
      <x:c r="D1548" s="128" t="n">
        <x:f>'Итоги'!$B$8*AVERAGE($C$2:C1548)</x:f>
        <x:v>1.2928124223476258</x:v>
      </x:c>
      <x:c r="E1548" s="128" t="n">
        <x:f>'Итоги'!$B$9</x:f>
        <x:v>1.2958368660043291</x:v>
      </x:c>
      <x:c r="F1548" s="129" t="n">
        <x:f>ABS(D1548-E1548)</x:f>
        <x:v>0.0030244436567032906</x:v>
      </x:c>
    </x:row>
    <x:row r="1549">
      <x:c r="A1549" s="107" t="n">
        <x:v>1548</x:v>
      </x:c>
      <x:c r="B1549" s="128" t="n">
        <x:v>2.503561418461563</x:v>
      </x:c>
      <x:c r="C1549" s="128" t="n">
        <x:f>LN(B1549)</x:f>
        <x:v>0.9177142855253039</x:v>
      </x:c>
      <x:c r="D1549" s="128" t="n">
        <x:f>'Итоги'!$B$8*AVERAGE($C$2:C1549)</x:f>
        <x:v>1.2931629495754702</x:v>
      </x:c>
      <x:c r="E1549" s="128" t="n">
        <x:f>'Итоги'!$B$9</x:f>
        <x:v>1.2958368660043291</x:v>
      </x:c>
      <x:c r="F1549" s="129" t="n">
        <x:f>ABS(D1549-E1549)</x:f>
        <x:v>0.0026739164288589468</x:v>
      </x:c>
    </x:row>
    <x:row r="1550">
      <x:c r="A1550" s="107" t="n">
        <x:v>1549</x:v>
      </x:c>
      <x:c r="B1550" s="128" t="n">
        <x:v>1.6276935442232932</x:v>
      </x:c>
      <x:c r="C1550" s="128" t="n">
        <x:f>LN(B1550)</x:f>
        <x:v>0.487164009211771</x:v>
      </x:c>
      <x:c r="D1550" s="128" t="n">
        <x:f>'Итоги'!$B$8*AVERAGE($C$2:C1550)</x:f>
        <x:v>1.2929571168245653</x:v>
      </x:c>
      <x:c r="E1550" s="128" t="n">
        <x:f>'Итоги'!$B$9</x:f>
        <x:v>1.2958368660043291</x:v>
      </x:c>
      <x:c r="F1550" s="129" t="n">
        <x:f>ABS(D1550-E1550)</x:f>
        <x:v>0.0028797491797638575</x:v>
      </x:c>
    </x:row>
    <x:row r="1551">
      <x:c r="A1551" s="107" t="n">
        <x:v>1550</x:v>
      </x:c>
      <x:c r="B1551" s="128" t="n">
        <x:v>1.5456086602916714</x:v>
      </x:c>
      <x:c r="C1551" s="128" t="n">
        <x:f>LN(B1551)</x:f>
        <x:v>0.4354177876511999</x:v>
      </x:c>
      <x:c r="D1551" s="128" t="n">
        <x:f>'Итоги'!$B$8*AVERAGE($C$2:C1551)</x:f>
        <x:v>1.2926847803461639</x:v>
      </x:c>
      <x:c r="E1551" s="128" t="n">
        <x:f>'Итоги'!$B$9</x:f>
        <x:v>1.2958368660043291</x:v>
      </x:c>
      <x:c r="F1551" s="129" t="n">
        <x:f>ABS(D1551-E1551)</x:f>
        <x:v>0.003152085658165271</x:v>
      </x:c>
    </x:row>
    <x:row r="1552">
      <x:c r="A1552" s="107" t="n">
        <x:v>1551</x:v>
      </x:c>
      <x:c r="B1552" s="128" t="n">
        <x:v>1.2617806617009901</x:v>
      </x:c>
      <x:c r="C1552" s="128" t="n">
        <x:f>LN(B1552)</x:f>
        <x:v>0.23252394687500286</x:v>
      </x:c>
      <x:c r="D1552" s="128" t="n">
        <x:f>'Итоги'!$B$8*AVERAGE($C$2:C1552)</x:f>
        <x:v>1.2921511653322397</x:v>
      </x:c>
      <x:c r="E1552" s="128" t="n">
        <x:f>'Итоги'!$B$9</x:f>
        <x:v>1.2958368660043291</x:v>
      </x:c>
      <x:c r="F1552" s="129" t="n">
        <x:f>ABS(D1552-E1552)</x:f>
        <x:v>0.003685700672089398</x:v>
      </x:c>
    </x:row>
    <x:row r="1553">
      <x:c r="A1553" s="107" t="n">
        <x:v>1552</x:v>
      </x:c>
      <x:c r="B1553" s="128" t="n">
        <x:v>1.8776434036038974</x:v>
      </x:c>
      <x:c r="C1553" s="128" t="n">
        <x:f>LN(B1553)</x:f>
        <x:v>0.6300174818213121</x:v>
      </x:c>
      <x:c r="D1553" s="128" t="n">
        <x:f>'Итоги'!$B$8*AVERAGE($C$2:C1553)</x:f>
        <x:v>1.292130471903316</x:v>
      </x:c>
      <x:c r="E1553" s="128" t="n">
        <x:f>'Итоги'!$B$9</x:f>
        <x:v>1.2958368660043291</x:v>
      </x:c>
      <x:c r="F1553" s="129" t="n">
        <x:f>ABS(D1553-E1553)</x:f>
        <x:v>0.003706394101013144</x:v>
      </x:c>
    </x:row>
    <x:row r="1554">
      <x:c r="A1554" s="107" t="n">
        <x:v>1553</x:v>
      </x:c>
      <x:c r="B1554" s="128" t="n">
        <x:v>1.605929257674604</x:v>
      </x:c>
      <x:c r="C1554" s="128" t="n">
        <x:f>LN(B1554)</x:f>
        <x:v>0.4737025657839112</x:v>
      </x:c>
      <x:c r="D1554" s="128" t="n">
        <x:f>'Итоги'!$B$8*AVERAGE($C$2:C1554)</x:f>
        <x:v>1.291908498084684</x:v>
      </x:c>
      <x:c r="E1554" s="128" t="n">
        <x:f>'Итоги'!$B$9</x:f>
        <x:v>1.2958368660043291</x:v>
      </x:c>
      <x:c r="F1554" s="129" t="n">
        <x:f>ABS(D1554-E1554)</x:f>
        <x:v>0.003928367919645126</x:v>
      </x:c>
    </x:row>
    <x:row r="1555">
      <x:c r="A1555" s="107" t="n">
        <x:v>1554</x:v>
      </x:c>
      <x:c r="B1555" s="128" t="n">
        <x:v>1.7385456826819372</x:v>
      </x:c>
      <x:c r="C1555" s="128" t="n">
        <x:f>LN(B1555)</x:f>
        <x:v>0.5530489491880938</x:v>
      </x:c>
      <x:c r="D1555" s="128" t="n">
        <x:f>'Итоги'!$B$8*AVERAGE($C$2:C1555)</x:f>
        <x:v>1.2917889288442024</x:v>
      </x:c>
      <x:c r="E1555" s="128" t="n">
        <x:f>'Итоги'!$B$9</x:f>
        <x:v>1.2958368660043291</x:v>
      </x:c>
      <x:c r="F1555" s="129" t="n">
        <x:f>ABS(D1555-E1555)</x:f>
        <x:v>0.004047937160126747</x:v>
      </x:c>
    </x:row>
    <x:row r="1556">
      <x:c r="A1556" s="107" t="n">
        <x:v>1555</x:v>
      </x:c>
      <x:c r="B1556" s="128" t="n">
        <x:v>1.4719945252411053</x:v>
      </x:c>
      <x:c r="C1556" s="128" t="n">
        <x:f>LN(B1556)</x:f>
        <x:v>0.3866183010342146</x:v>
      </x:c>
      <x:c r="D1556" s="128" t="n">
        <x:f>'Итоги'!$B$8*AVERAGE($C$2:C1556)</x:f>
        <x:v>1.2914554546790733</x:v>
      </x:c>
      <x:c r="E1556" s="128" t="n">
        <x:f>'Итоги'!$B$9</x:f>
        <x:v>1.2958368660043291</x:v>
      </x:c>
      <x:c r="F1556" s="129" t="n">
        <x:f>ABS(D1556-E1556)</x:f>
        <x:v>0.004381411325255824</x:v>
      </x:c>
    </x:row>
    <x:row r="1557">
      <x:c r="A1557" s="107" t="n">
        <x:v>1556</x:v>
      </x:c>
      <x:c r="B1557" s="128" t="n">
        <x:v>2.526310979639801</x:v>
      </x:c>
      <x:c r="C1557" s="128" t="n">
        <x:f>LN(B1557)</x:f>
        <x:v>0.9267601278470593</x:v>
      </x:c>
      <x:c r="D1557" s="128" t="n">
        <x:f>'Итоги'!$B$8*AVERAGE($C$2:C1557)</x:f>
        <x:v>1.29181667884425</x:v>
      </x:c>
      <x:c r="E1557" s="128" t="n">
        <x:f>'Итоги'!$B$9</x:f>
        <x:v>1.2958368660043291</x:v>
      </x:c>
      <x:c r="F1557" s="129" t="n">
        <x:f>ABS(D1557-E1557)</x:f>
        <x:v>0.004020187160079125</x:v>
      </x:c>
    </x:row>
    <x:row r="1558">
      <x:c r="A1558" s="107" t="n">
        <x:v>1557</x:v>
      </x:c>
      <x:c r="B1558" s="128" t="n">
        <x:v>2.8600066947094347</x:v>
      </x:c>
      <x:c r="C1558" s="128" t="n">
        <x:f>LN(B1558)</x:f>
        <x:v>1.0508239656365161</x:v>
      </x:c>
      <x:c r="D1558" s="128" t="n">
        <x:f>'Итоги'!$B$8*AVERAGE($C$2:C1558)</x:f>
        <x:v>1.2923368016781798</x:v>
      </x:c>
      <x:c r="E1558" s="128" t="n">
        <x:f>'Итоги'!$B$9</x:f>
        <x:v>1.2958368660043291</x:v>
      </x:c>
      <x:c r="F1558" s="129" t="n">
        <x:f>ABS(D1558-E1558)</x:f>
        <x:v>0.0035000643261493547</x:v>
      </x:c>
    </x:row>
    <x:row r="1559">
      <x:c r="A1559" s="107" t="n">
        <x:v>1558</x:v>
      </x:c>
      <x:c r="B1559" s="128" t="n">
        <x:v>1.9958637055777753</x:v>
      </x:c>
      <x:c r="C1559" s="128" t="n">
        <x:f>LN(B1559)</x:f>
        <x:v>0.6910768917791592</x:v>
      </x:c>
      <x:c r="D1559" s="128" t="n">
        <x:f>'Итоги'!$B$8*AVERAGE($C$2:C1559)</x:f>
        <x:v>1.292394450575407</x:v>
      </x:c>
      <x:c r="E1559" s="128" t="n">
        <x:f>'Итоги'!$B$9</x:f>
        <x:v>1.2958368660043291</x:v>
      </x:c>
      <x:c r="F1559" s="129" t="n">
        <x:f>ABS(D1559-E1559)</x:f>
        <x:v>0.0034424154289220965</x:v>
      </x:c>
    </x:row>
    <x:row r="1560">
      <x:c r="A1560" s="107" t="n">
        <x:v>1559</x:v>
      </x:c>
      <x:c r="B1560" s="128" t="n">
        <x:v>2.285996846681665</x:v>
      </x:c>
      <x:c r="C1560" s="128" t="n">
        <x:f>LN(B1560)</x:f>
        <x:v>0.8268021859673216</x:v>
      </x:c>
      <x:c r="D1560" s="128" t="n">
        <x:f>'Итоги'!$B$8*AVERAGE($C$2:C1560)</x:f>
        <x:v>1.2926261439181648</x:v>
      </x:c>
      <x:c r="E1560" s="128" t="n">
        <x:f>'Итоги'!$B$9</x:f>
        <x:v>1.2958368660043291</x:v>
      </x:c>
      <x:c r="F1560" s="129" t="n">
        <x:f>ABS(D1560-E1560)</x:f>
        <x:v>0.0032107220861643526</x:v>
      </x:c>
    </x:row>
    <x:row r="1561">
      <x:c r="A1561" s="107" t="n">
        <x:v>1560</x:v>
      </x:c>
      <x:c r="B1561" s="128" t="n">
        <x:v>2.734344553213412</x:v>
      </x:c>
      <x:c r="C1561" s="128" t="n">
        <x:f>LN(B1561)</x:f>
        <x:v>1.0058917556770404</x:v>
      </x:c>
      <x:c r="D1561" s="128" t="n">
        <x:f>'Итоги'!$B$8*AVERAGE($C$2:C1561)</x:f>
        <x:v>1.2930871422306236</x:v>
      </x:c>
      <x:c r="E1561" s="128" t="n">
        <x:f>'Итоги'!$B$9</x:f>
        <x:v>1.2958368660043291</x:v>
      </x:c>
      <x:c r="F1561" s="129" t="n">
        <x:f>ABS(D1561-E1561)</x:f>
        <x:v>0.002749723773705526</x:v>
      </x:c>
    </x:row>
    <x:row r="1562">
      <x:c r="A1562" s="107" t="n">
        <x:v>1561</x:v>
      </x:c>
      <x:c r="B1562" s="128" t="n">
        <x:v>2.997659274667317</x:v>
      </x:c>
      <x:c r="C1562" s="128" t="n">
        <x:f>LN(B1562)</x:f>
        <x:v>1.097831742343509</x:v>
      </x:c>
      <x:c r="D1562" s="128" t="n">
        <x:f>'Итоги'!$B$8*AVERAGE($C$2:C1562)</x:f>
        <x:v>1.2936653461655732</x:v>
      </x:c>
      <x:c r="E1562" s="128" t="n">
        <x:f>'Итоги'!$B$9</x:f>
        <x:v>1.2958368660043291</x:v>
      </x:c>
      <x:c r="F1562" s="129" t="n">
        <x:f>ABS(D1562-E1562)</x:f>
        <x:v>0.002171519838755964</x:v>
      </x:c>
    </x:row>
    <x:row r="1563">
      <x:c r="A1563" s="107" t="n">
        <x:v>1562</x:v>
      </x:c>
      <x:c r="B1563" s="128" t="n">
        <x:v>2.227032969459664</x:v>
      </x:c>
      <x:c r="C1563" s="128" t="n">
        <x:f>LN(B1563)</x:f>
        <x:v>0.8006701925929761</x:v>
      </x:c>
      <x:c r="D1563" s="128" t="n">
        <x:f>'Итоги'!$B$8*AVERAGE($C$2:C1563)</x:f>
        <x:v>1.2938623212225644</x:v>
      </x:c>
      <x:c r="E1563" s="128" t="n">
        <x:f>'Итоги'!$B$9</x:f>
        <x:v>1.2958368660043291</x:v>
      </x:c>
      <x:c r="F1563" s="129" t="n">
        <x:f>ABS(D1563-E1563)</x:f>
        <x:v>0.001974544781764731</x:v>
      </x:c>
    </x:row>
    <x:row r="1564">
      <x:c r="A1564" s="107" t="n">
        <x:v>1563</x:v>
      </x:c>
      <x:c r="B1564" s="128" t="n">
        <x:v>2.7795589330797377</x:v>
      </x:c>
      <x:c r="C1564" s="128" t="n">
        <x:f>LN(B1564)</x:f>
        <x:v>1.0222922579496043</x:v>
      </x:c>
      <x:c r="D1564" s="128" t="n">
        <x:f>'Итоги'!$B$8*AVERAGE($C$2:C1564)</x:f>
        <x:v>1.2943426297284357</x:v>
      </x:c>
      <x:c r="E1564" s="128" t="n">
        <x:f>'Итоги'!$B$9</x:f>
        <x:v>1.2958368660043291</x:v>
      </x:c>
      <x:c r="F1564" s="129" t="n">
        <x:f>ABS(D1564-E1564)</x:f>
        <x:v>0.0014942362758934014</x:v>
      </x:c>
    </x:row>
    <x:row r="1565">
      <x:c r="A1565" s="107" t="n">
        <x:v>1564</x:v>
      </x:c>
      <x:c r="B1565" s="128" t="n">
        <x:v>2.817216493111284</x:v>
      </x:c>
      <x:c r="C1565" s="128" t="n">
        <x:f>LN(B1565)</x:f>
        <x:v>1.0357493383059169</x:v>
      </x:c>
      <x:c r="D1565" s="128" t="n">
        <x:f>'Итоги'!$B$8*AVERAGE($C$2:C1565)</x:f>
        <x:v>1.2948395325717115</x:v>
      </x:c>
      <x:c r="E1565" s="128" t="n">
        <x:f>'Итоги'!$B$9</x:f>
        <x:v>1.2958368660043291</x:v>
      </x:c>
      <x:c r="F1565" s="129" t="n">
        <x:f>ABS(D1565-E1565)</x:f>
        <x:v>0.000997333432617653</x:v>
      </x:c>
    </x:row>
    <x:row r="1566">
      <x:c r="A1566" s="107" t="n">
        <x:v>1565</x:v>
      </x:c>
      <x:c r="B1566" s="128" t="n">
        <x:v>2.5829029756152444</x:v>
      </x:c>
      <x:c r="C1566" s="128" t="n">
        <x:f>LN(B1566)</x:f>
        <x:v>0.948913950735055</x:v>
      </x:c>
      <x:c r="D1566" s="128" t="n">
        <x:f>'Итоги'!$B$8*AVERAGE($C$2:C1566)</x:f>
        <x:v>1.2952248286540746</x:v>
      </x:c>
      <x:c r="E1566" s="128" t="n">
        <x:f>'Итоги'!$B$9</x:f>
        <x:v>1.2958368660043291</x:v>
      </x:c>
      <x:c r="F1566" s="129" t="n">
        <x:f>ABS(D1566-E1566)</x:f>
        <x:v>0.0006120373502545018</x:v>
      </x:c>
    </x:row>
    <x:row r="1567">
      <x:c r="A1567" s="107" t="n">
        <x:v>1566</x:v>
      </x:c>
      <x:c r="B1567" s="128" t="n">
        <x:v>1.9218627821462204</x:v>
      </x:c>
      <x:c r="C1567" s="128" t="n">
        <x:f>LN(B1567)</x:f>
        <x:v>0.653294914735287</x:v>
      </x:c>
      <x:c r="D1567" s="128" t="n">
        <x:f>'Итоги'!$B$8*AVERAGE($C$2:C1567)</x:f>
        <x:v>1.2952320859981465</x:v>
      </x:c>
      <x:c r="E1567" s="128" t="n">
        <x:f>'Итоги'!$B$9</x:f>
        <x:v>1.2958368660043291</x:v>
      </x:c>
      <x:c r="F1567" s="129" t="n">
        <x:f>ABS(D1567-E1567)</x:f>
        <x:v>0.0006047800061825814</x:v>
      </x:c>
    </x:row>
    <x:row r="1568">
      <x:c r="A1568" s="107" t="n">
        <x:v>1567</x:v>
      </x:c>
      <x:c r="B1568" s="128" t="n">
        <x:v>1.1623080008477986</x:v>
      </x:c>
      <x:c r="C1568" s="128" t="n">
        <x:f>LN(B1568)</x:f>
        <x:v>0.1504076842778335</x:v>
      </x:c>
      <x:c r="D1568" s="128" t="n">
        <x:f>'Итоги'!$B$8*AVERAGE($C$2:C1568)</x:f>
        <x:v>1.2945974869442585</x:v>
      </x:c>
      <x:c r="E1568" s="128" t="n">
        <x:f>'Итоги'!$B$9</x:f>
        <x:v>1.2958368660043291</x:v>
      </x:c>
      <x:c r="F1568" s="129" t="n">
        <x:f>ABS(D1568-E1568)</x:f>
        <x:v>0.0012393790600706556</x:v>
      </x:c>
    </x:row>
    <x:row r="1569">
      <x:c r="A1569" s="107" t="n">
        <x:v>1568</x:v>
      </x:c>
      <x:c r="B1569" s="128" t="n">
        <x:v>1.0316111108802677</x:v>
      </x:c>
      <x:c r="C1569" s="128" t="n">
        <x:f>LN(B1569)</x:f>
        <x:v>0.03112176549852404</x:v>
      </x:c>
      <x:c r="D1569" s="128" t="n">
        <x:f>'Итоги'!$B$8*AVERAGE($C$2:C1569)</x:f>
        <x:v>1.293811546921333</x:v>
      </x:c>
      <x:c r="E1569" s="128" t="n">
        <x:f>'Итоги'!$B$9</x:f>
        <x:v>1.2958368660043291</x:v>
      </x:c>
      <x:c r="F1569" s="129" t="n">
        <x:f>ABS(D1569-E1569)</x:f>
        <x:v>0.002025319082996191</x:v>
      </x:c>
    </x:row>
    <x:row r="1570">
      <x:c r="A1570" s="107" t="n">
        <x:v>1569</x:v>
      </x:c>
      <x:c r="B1570" s="128" t="n">
        <x:v>1.9544012665658492</x:v>
      </x:c>
      <x:c r="C1570" s="128" t="n">
        <x:f>LN(B1570)</x:f>
        <x:v>0.6700838890198458</x:v>
      </x:c>
      <x:c r="D1570" s="128" t="n">
        <x:f>'Итоги'!$B$8*AVERAGE($C$2:C1570)</x:f>
        <x:v>1.2938410920017143</x:v>
      </x:c>
      <x:c r="E1570" s="128" t="n">
        <x:f>'Итоги'!$B$9</x:f>
        <x:v>1.2958368660043291</x:v>
      </x:c>
      <x:c r="F1570" s="129" t="n">
        <x:f>ABS(D1570-E1570)</x:f>
        <x:v>0.0019957740026148585</x:v>
      </x:c>
    </x:row>
    <x:row r="1571">
      <x:c r="A1571" s="107" t="n">
        <x:v>1570</x:v>
      </x:c>
      <x:c r="B1571" s="128" t="n">
        <x:v>1.9886290670692355</x:v>
      </x:c>
      <x:c r="C1571" s="128" t="n">
        <x:f>LN(B1571)</x:f>
        <x:v>0.6874454903076775</x:v>
      </x:c>
      <x:c r="D1571" s="128" t="n">
        <x:f>'Итоги'!$B$8*AVERAGE($C$2:C1571)</x:f>
        <x:v>1.2938927161345892</x:v>
      </x:c>
      <x:c r="E1571" s="128" t="n">
        <x:f>'Итоги'!$B$9</x:f>
        <x:v>1.2958368660043291</x:v>
      </x:c>
      <x:c r="F1571" s="129" t="n">
        <x:f>ABS(D1571-E1571)</x:f>
        <x:v>0.0019441498697398973</x:v>
      </x:c>
    </x:row>
    <x:row r="1572">
      <x:c r="A1572" s="107" t="n">
        <x:v>1571</x:v>
      </x:c>
      <x:c r="B1572" s="128" t="n">
        <x:v>1.8147247757259446</x:v>
      </x:c>
      <x:c r="C1572" s="128" t="n">
        <x:f>LN(B1572)</x:f>
        <x:v>0.5959338175000134</x:v>
      </x:c>
      <x:c r="D1572" s="128" t="n">
        <x:f>'Итоги'!$B$8*AVERAGE($C$2:C1572)</x:f>
        <x:v>1.2938277733712955</x:v>
      </x:c>
      <x:c r="E1572" s="128" t="n">
        <x:f>'Итоги'!$B$9</x:f>
        <x:v>1.2958368660043291</x:v>
      </x:c>
      <x:c r="F1572" s="129" t="n">
        <x:f>ABS(D1572-E1572)</x:f>
        <x:v>0.0020090926330336156</x:v>
      </x:c>
    </x:row>
    <x:row r="1573">
      <x:c r="A1573" s="107" t="n">
        <x:v>1572</x:v>
      </x:c>
      <x:c r="B1573" s="128" t="n">
        <x:v>2.136334702582729</x:v>
      </x:c>
      <x:c r="C1573" s="128" t="n">
        <x:f>LN(B1573)</x:f>
        <x:v>0.759091604788115</x:v>
      </x:c>
      <x:c r="D1573" s="128" t="n">
        <x:f>'Итоги'!$B$8*AVERAGE($C$2:C1573)</x:f>
        <x:v>1.2939704931144282</x:v>
      </x:c>
      <x:c r="E1573" s="128" t="n">
        <x:f>'Итоги'!$B$9</x:f>
        <x:v>1.2958368660043291</x:v>
      </x:c>
      <x:c r="F1573" s="129" t="n">
        <x:f>ABS(D1573-E1573)</x:f>
        <x:v>0.0018663728899008802</x:v>
      </x:c>
    </x:row>
    <x:row r="1574">
      <x:c r="A1574" s="107" t="n">
        <x:v>1573</x:v>
      </x:c>
      <x:c r="B1574" s="128" t="n">
        <x:v>2.1043254066088544</x:v>
      </x:c>
      <x:c r="C1574" s="128" t="n">
        <x:f>LN(B1574)</x:f>
        <x:v>0.7439949438524612</x:v>
      </x:c>
      <x:c r="D1574" s="128" t="n">
        <x:f>'Итоги'!$B$8*AVERAGE($C$2:C1574)</x:f>
        <x:v>1.2940938366583512</x:v>
      </x:c>
      <x:c r="E1574" s="128" t="n">
        <x:f>'Итоги'!$B$9</x:f>
        <x:v>1.2958368660043291</x:v>
      </x:c>
      <x:c r="F1574" s="129" t="n">
        <x:f>ABS(D1574-E1574)</x:f>
        <x:v>0.00174302934597792</x:v>
      </x:c>
    </x:row>
    <x:row r="1575">
      <x:c r="A1575" s="107" t="n">
        <x:v>1574</x:v>
      </x:c>
      <x:c r="B1575" s="128" t="n">
        <x:v>2.673226082065386</x:v>
      </x:c>
      <x:c r="C1575" s="128" t="n">
        <x:f>LN(B1575)</x:f>
        <x:v>0.9832860134773679</x:v>
      </x:c>
      <x:c r="D1575" s="128" t="n">
        <x:f>'Итоги'!$B$8*AVERAGE($C$2:C1575)</x:f>
        <x:v>1.2945210782023768</x:v>
      </x:c>
      <x:c r="E1575" s="128" t="n">
        <x:f>'Итоги'!$B$9</x:f>
        <x:v>1.2958368660043291</x:v>
      </x:c>
      <x:c r="F1575" s="129" t="n">
        <x:f>ABS(D1575-E1575)</x:f>
        <x:v>0.001315787801952295</x:v>
      </x:c>
    </x:row>
    <x:row r="1576">
      <x:c r="A1576" s="107" t="n">
        <x:v>1575</x:v>
      </x:c>
      <x:c r="B1576" s="128" t="n">
        <x:v>1.2173142065245248</x:v>
      </x:c>
      <x:c r="C1576" s="128" t="n">
        <x:f>LN(B1576)</x:f>
        <x:v>0.19664696188574804</x:v>
      </x:c>
      <x:c r="D1576" s="128" t="n">
        <x:f>'Итоги'!$B$8*AVERAGE($C$2:C1576)</x:f>
        <x:v>1.2939488704852777</x:v>
      </x:c>
      <x:c r="E1576" s="128" t="n">
        <x:f>'Итоги'!$B$9</x:f>
        <x:v>1.2958368660043291</x:v>
      </x:c>
      <x:c r="F1576" s="129" t="n">
        <x:f>ABS(D1576-E1576)</x:f>
        <x:v>0.0018879955190513886</x:v>
      </x:c>
    </x:row>
    <x:row r="1577">
      <x:c r="A1577" s="107" t="n">
        <x:v>1576</x:v>
      </x:c>
      <x:c r="B1577" s="128" t="n">
        <x:v>1.450355332211091</x:v>
      </x:c>
      <x:c r="C1577" s="128" t="n">
        <x:f>LN(B1577)</x:f>
        <x:v>0.37180858310829923</x:v>
      </x:c>
      <x:c r="D1577" s="128" t="n">
        <x:f>'Итоги'!$B$8*AVERAGE($C$2:C1577)</x:f>
        <x:v>1.2935996752414525</x:v>
      </x:c>
      <x:c r="E1577" s="128" t="n">
        <x:f>'Итоги'!$B$9</x:f>
        <x:v>1.2958368660043291</x:v>
      </x:c>
      <x:c r="F1577" s="129" t="n">
        <x:f>ABS(D1577-E1577)</x:f>
        <x:v>0.0022371907628766508</x:v>
      </x:c>
    </x:row>
    <x:row r="1578">
      <x:c r="A1578" s="107" t="n">
        <x:v>1577</x:v>
      </x:c>
      <x:c r="B1578" s="128" t="n">
        <x:v>2.586009957919261</x:v>
      </x:c>
      <x:c r="C1578" s="128" t="n">
        <x:f>LN(B1578)</x:f>
        <x:v>0.9501161310457557</x:v>
      </x:c>
      <x:c r="D1578" s="128" t="n">
        <x:f>'Итоги'!$B$8*AVERAGE($C$2:C1578)</x:f>
        <x:v>1.2939843503123785</x:v>
      </x:c>
      <x:c r="E1578" s="128" t="n">
        <x:f>'Итоги'!$B$9</x:f>
        <x:v>1.2958368660043291</x:v>
      </x:c>
      <x:c r="F1578" s="129" t="n">
        <x:f>ABS(D1578-E1578)</x:f>
        <x:v>0.0018525156919506625</x:v>
      </x:c>
    </x:row>
    <x:row r="1579">
      <x:c r="A1579" s="107" t="n">
        <x:v>1578</x:v>
      </x:c>
      <x:c r="B1579" s="128" t="n">
        <x:v>2.6956737344473094</x:v>
      </x:c>
      <x:c r="C1579" s="128" t="n">
        <x:f>LN(B1579)</x:f>
        <x:v>0.9916481673466675</x:v>
      </x:c>
      <x:c r="D1579" s="128" t="n">
        <x:f>'Итоги'!$B$8*AVERAGE($C$2:C1579)</x:f>
        <x:v>1.2944211766649645</x:v>
      </x:c>
      <x:c r="E1579" s="128" t="n">
        <x:f>'Итоги'!$B$9</x:f>
        <x:v>1.2958368660043291</x:v>
      </x:c>
      <x:c r="F1579" s="129" t="n">
        <x:f>ABS(D1579-E1579)</x:f>
        <x:v>0.0014156893393646452</x:v>
      </x:c>
    </x:row>
    <x:row r="1580">
      <x:c r="A1580" s="107" t="n">
        <x:v>1579</x:v>
      </x:c>
      <x:c r="B1580" s="128" t="n">
        <x:v>2.9896484272417356</x:v>
      </x:c>
      <x:c r="C1580" s="128" t="n">
        <x:f>LN(B1580)</x:f>
        <x:v>1.0951557976268926</x:v>
      </x:c>
      <x:c r="D1580" s="128" t="n">
        <x:f>'Итоги'!$B$8*AVERAGE($C$2:C1580)</x:f>
        <x:v>1.2949885550174591</x:v>
      </x:c>
      <x:c r="E1580" s="128" t="n">
        <x:f>'Итоги'!$B$9</x:f>
        <x:v>1.2958368660043291</x:v>
      </x:c>
      <x:c r="F1580" s="129" t="n">
        <x:f>ABS(D1580-E1580)</x:f>
        <x:v>0.0008483109868699934</x:v>
      </x:c>
    </x:row>
    <x:row r="1581">
      <x:c r="A1581" s="107" t="n">
        <x:v>1580</x:v>
      </x:c>
      <x:c r="B1581" s="128" t="n">
        <x:v>2.745824032774168</x:v>
      </x:c>
      <x:c r="C1581" s="128" t="n">
        <x:f>LN(B1581)</x:f>
        <x:v>1.010081224001214</x:v>
      </x:c>
      <x:c r="D1581" s="128" t="n">
        <x:f>'Итоги'!$B$8*AVERAGE($C$2:C1581)</x:f>
        <x:v>1.295447525835804</x:v>
      </x:c>
      <x:c r="E1581" s="128" t="n">
        <x:f>'Итоги'!$B$9</x:f>
        <x:v>1.2958368660043291</x:v>
      </x:c>
      <x:c r="F1581" s="129" t="n">
        <x:f>ABS(D1581-E1581)</x:f>
        <x:v>0.00038934016852509856</x:v>
      </x:c>
    </x:row>
    <x:row r="1582">
      <x:c r="A1582" s="107" t="n">
        <x:v>1581</x:v>
      </x:c>
      <x:c r="B1582" s="128" t="n">
        <x:v>2.779798014144662</x:v>
      </x:c>
      <x:c r="C1582" s="128" t="n">
        <x:f>LN(B1582)</x:f>
        <x:v>1.0223782682804181</x:v>
      </x:c>
      <x:c r="D1582" s="128" t="n">
        <x:f>'Итоги'!$B$8*AVERAGE($C$2:C1582)</x:f>
        <x:v>1.2959214720791468</x:v>
      </x:c>
      <x:c r="E1582" s="128" t="n">
        <x:f>'Итоги'!$B$9</x:f>
        <x:v>1.2958368660043291</x:v>
      </x:c>
      <x:c r="F1582" s="129" t="n">
        <x:f>ABS(D1582-E1582)</x:f>
        <x:v>0.00008460607481763915</x:v>
      </x:c>
    </x:row>
    <x:row r="1583">
      <x:c r="A1583" s="107" t="n">
        <x:v>1582</x:v>
      </x:c>
      <x:c r="B1583" s="128" t="n">
        <x:v>1.6286958852598097</x:v>
      </x:c>
      <x:c r="C1583" s="128" t="n">
        <x:f>LN(B1583)</x:f>
        <x:v>0.4877796241987853</x:v>
      </x:c>
      <x:c r="D1583" s="128" t="n">
        <x:f>'Итоги'!$B$8*AVERAGE($C$2:C1583)</x:f>
        <x:v>1.2957189675129763</x:v>
      </x:c>
      <x:c r="E1583" s="128" t="n">
        <x:f>'Итоги'!$B$9</x:f>
        <x:v>1.2958368660043291</x:v>
      </x:c>
      <x:c r="F1583" s="129" t="n">
        <x:f>ABS(D1583-E1583)</x:f>
        <x:v>0.00011789849135279695</x:v>
      </x:c>
    </x:row>
    <x:row r="1584">
      <x:c r="A1584" s="107" t="n">
        <x:v>1583</x:v>
      </x:c>
      <x:c r="B1584" s="128" t="n">
        <x:v>1.8033232680187528</x:v>
      </x:c>
      <x:c r="C1584" s="128" t="n">
        <x:f>LN(B1584)</x:f>
        <x:v>0.589631222669391</x:v>
      </x:c>
      <x:c r="D1584" s="128" t="n">
        <x:f>'Итоги'!$B$8*AVERAGE($C$2:C1584)</x:f>
        <x:v>1.295645400537503</x:v>
      </x:c>
      <x:c r="E1584" s="128" t="n">
        <x:f>'Итоги'!$B$9</x:f>
        <x:v>1.2958368660043291</x:v>
      </x:c>
      <x:c r="F1584" s="129" t="n">
        <x:f>ABS(D1584-E1584)</x:f>
        <x:v>0.00019146546682602406</x:v>
      </x:c>
    </x:row>
    <x:row r="1585">
      <x:c r="A1585" s="107" t="n">
        <x:v>1584</x:v>
      </x:c>
      <x:c r="B1585" s="128" t="n">
        <x:v>1.536170209641102</x:v>
      </x:c>
      <x:c r="C1585" s="128" t="n">
        <x:f>LN(B1585)</x:f>
        <x:v>0.4292924421545363</x:v>
      </x:c>
      <x:c r="D1585" s="128" t="n">
        <x:f>'Итоги'!$B$8*AVERAGE($C$2:C1585)</x:f>
        <x:v>1.2953694784944296</x:v>
      </x:c>
      <x:c r="E1585" s="128" t="n">
        <x:f>'Итоги'!$B$9</x:f>
        <x:v>1.2958368660043291</x:v>
      </x:c>
      <x:c r="F1585" s="129" t="n">
        <x:f>ABS(D1585-E1585)</x:f>
        <x:v>0.0004673875098994973</x:v>
      </x:c>
    </x:row>
    <x:row r="1586">
      <x:c r="A1586" s="107" t="n">
        <x:v>1585</x:v>
      </x:c>
      <x:c r="B1586" s="128" t="n">
        <x:v>2.212598796385431</x:v>
      </x:c>
      <x:c r="C1586" s="128" t="n">
        <x:f>LN(B1586)</x:f>
        <x:v>0.7941677506365274</x:v>
      </x:c>
      <x:c r="D1586" s="128" t="n">
        <x:f>'Итоги'!$B$8*AVERAGE($C$2:C1586)</x:f>
        <x:v>1.295554315101861</x:v>
      </x:c>
      <x:c r="E1586" s="128" t="n">
        <x:f>'Итоги'!$B$9</x:f>
        <x:v>1.2958368660043291</x:v>
      </x:c>
      <x:c r="F1586" s="129" t="n">
        <x:f>ABS(D1586-E1586)</x:f>
        <x:v>0.0002825509024682038</x:v>
      </x:c>
    </x:row>
    <x:row r="1587">
      <x:c r="A1587" s="107" t="n">
        <x:v>1586</x:v>
      </x:c>
      <x:c r="B1587" s="128" t="n">
        <x:v>2.8776107084140765</x:v>
      </x:c>
      <x:c r="C1587" s="128" t="n">
        <x:f>LN(B1587)</x:f>
        <x:v>1.056960334692769</x:v>
      </x:c>
      <x:c r="D1587" s="128" t="n">
        <x:f>'Итоги'!$B$8*AVERAGE($C$2:C1587)</x:f>
        <x:v>1.2960703090200725</x:v>
      </x:c>
      <x:c r="E1587" s="128" t="n">
        <x:f>'Итоги'!$B$9</x:f>
        <x:v>1.2958368660043291</x:v>
      </x:c>
      <x:c r="F1587" s="129" t="n">
        <x:f>ABS(D1587-E1587)</x:f>
        <x:v>0.0002334430157433509</x:v>
      </x:c>
    </x:row>
    <x:row r="1588">
      <x:c r="A1588" s="107" t="n">
        <x:v>1587</x:v>
      </x:c>
      <x:c r="B1588" s="128" t="n">
        <x:v>1.6892817730232355</x:v>
      </x:c>
      <x:c r="C1588" s="128" t="n">
        <x:f>LN(B1588)</x:f>
        <x:v>0.5243034522258939</x:v>
      </x:c>
      <x:c r="D1588" s="128" t="n">
        <x:f>'Итоги'!$B$8*AVERAGE($C$2:C1588)</x:f>
        <x:v>1.2959143774481958</x:v>
      </x:c>
      <x:c r="E1588" s="128" t="n">
        <x:f>'Итоги'!$B$9</x:f>
        <x:v>1.2958368660043291</x:v>
      </x:c>
      <x:c r="F1588" s="129" t="n">
        <x:f>ABS(D1588-E1588)</x:f>
        <x:v>0.00007751144386669573</x:v>
      </x:c>
    </x:row>
    <x:row r="1589">
      <x:c r="A1589" s="107" t="n">
        <x:v>1588</x:v>
      </x:c>
      <x:c r="B1589" s="128" t="n">
        <x:v>2.1140035637629007</x:v>
      </x:c>
      <x:c r="C1589" s="128" t="n">
        <x:f>LN(B1589)</x:f>
        <x:v>0.7485835732379686</x:v>
      </x:c>
      <x:c r="D1589" s="128" t="n">
        <x:f>'Итоги'!$B$8*AVERAGE($C$2:C1589)</x:f>
        <x:v>1.2960411109299514</x:v>
      </x:c>
      <x:c r="E1589" s="128" t="n">
        <x:f>'Итоги'!$B$9</x:f>
        <x:v>1.2958368660043291</x:v>
      </x:c>
      <x:c r="F1589" s="129" t="n">
        <x:f>ABS(D1589-E1589)</x:f>
        <x:v>0.0002042449256223211</x:v>
      </x:c>
    </x:row>
    <x:row r="1590">
      <x:c r="A1590" s="107" t="n">
        <x:v>1589</x:v>
      </x:c>
      <x:c r="B1590" s="128" t="n">
        <x:v>1.5925992609069701</x:v>
      </x:c>
      <x:c r="C1590" s="128" t="n">
        <x:f>LN(B1590)</x:f>
        <x:v>0.4653674367615883</x:v>
      </x:c>
      <x:c r="D1590" s="128" t="n">
        <x:f>'Итоги'!$B$8*AVERAGE($C$2:C1590)</x:f>
        <x:v>1.2958112139901108</x:v>
      </x:c>
      <x:c r="E1590" s="128" t="n">
        <x:f>'Итоги'!$B$9</x:f>
        <x:v>1.2958368660043291</x:v>
      </x:c>
      <x:c r="F1590" s="129" t="n">
        <x:f>ABS(D1590-E1590)</x:f>
        <x:v>0.00002565201421833585</x:v>
      </x:c>
    </x:row>
    <x:row r="1591">
      <x:c r="A1591" s="107" t="n">
        <x:v>1590</x:v>
      </x:c>
      <x:c r="B1591" s="128" t="n">
        <x:v>1.339599947545415</x:v>
      </x:c>
      <x:c r="C1591" s="128" t="n">
        <x:f>LN(B1591)</x:f>
        <x:v>0.2923710227810104</x:v>
      </x:c>
      <x:c r="D1591" s="128" t="n">
        <x:f>'Итоги'!$B$8*AVERAGE($C$2:C1591)</x:f>
        <x:v>1.295364000676634</x:v>
      </x:c>
      <x:c r="E1591" s="128" t="n">
        <x:f>'Итоги'!$B$9</x:f>
        <x:v>1.2958368660043291</x:v>
      </x:c>
      <x:c r="F1591" s="129" t="n">
        <x:f>ABS(D1591-E1591)</x:f>
        <x:v>0.00047286532769508227</x:v>
      </x:c>
    </x:row>
    <x:row r="1592">
      <x:c r="A1592" s="107" t="n">
        <x:v>1591</x:v>
      </x:c>
      <x:c r="B1592" s="128" t="n">
        <x:v>1.3903710596373113</x:v>
      </x:c>
      <x:c r="C1592" s="128" t="n">
        <x:f>LN(B1592)</x:f>
        <x:v>0.32957066089731535</x:v>
      </x:c>
      <x:c r="D1592" s="128" t="n">
        <x:f>'Итоги'!$B$8*AVERAGE($C$2:C1592)</x:f>
        <x:v>1.2949641121292539</x:v>
      </x:c>
      <x:c r="E1592" s="128" t="n">
        <x:f>'Итоги'!$B$9</x:f>
        <x:v>1.2958368660043291</x:v>
      </x:c>
      <x:c r="F1592" s="129" t="n">
        <x:f>ABS(D1592-E1592)</x:f>
        <x:v>0.0008727538750752384</x:v>
      </x:c>
    </x:row>
    <x:row r="1593">
      <x:c r="A1593" s="107" t="n">
        <x:v>1592</x:v>
      </x:c>
      <x:c r="B1593" s="128" t="n">
        <x:v>1.1158906890762599</x:v>
      </x:c>
      <x:c r="C1593" s="128" t="n">
        <x:f>LN(B1593)</x:f>
        <x:v>0.10965291030541874</x:v>
      </x:c>
      <x:c r="D1593" s="128" t="n">
        <x:f>'Итоги'!$B$8*AVERAGE($C$2:C1593)</x:f>
        <x:v>1.294288447373275</x:v>
      </x:c>
      <x:c r="E1593" s="128" t="n">
        <x:f>'Итоги'!$B$9</x:f>
        <x:v>1.2958368660043291</x:v>
      </x:c>
      <x:c r="F1593" s="129" t="n">
        <x:f>ABS(D1593-E1593)</x:f>
        <x:v>0.0015484186310541492</x:v>
      </x:c>
    </x:row>
    <x:row r="1594">
      <x:c r="A1594" s="107" t="n">
        <x:v>1593</x:v>
      </x:c>
      <x:c r="B1594" s="128" t="n">
        <x:v>2.898587046018515</x:v>
      </x:c>
      <x:c r="C1594" s="128" t="n">
        <x:f>LN(B1594)</x:f>
        <x:v>1.0642233927486542</x:v>
      </x:c>
      <x:c r="D1594" s="128" t="n">
        <x:f>'Итоги'!$B$8*AVERAGE($C$2:C1594)</x:f>
        <x:v>1.294812087259103</x:v>
      </x:c>
      <x:c r="E1594" s="128" t="n">
        <x:f>'Итоги'!$B$9</x:f>
        <x:v>1.2958368660043291</x:v>
      </x:c>
      <x:c r="F1594" s="129" t="n">
        <x:f>ABS(D1594-E1594)</x:f>
        <x:v>0.001024778745226218</x:v>
      </x:c>
    </x:row>
    <x:row r="1595">
      <x:c r="A1595" s="107" t="n">
        <x:v>1594</x:v>
      </x:c>
      <x:c r="B1595" s="128" t="n">
        <x:v>1.8057592170152592</x:v>
      </x:c>
      <x:c r="C1595" s="128" t="n">
        <x:f>LN(B1595)</x:f>
        <x:v>0.5909811221945543</x:v>
      </x:c>
      <x:c r="D1595" s="128" t="n">
        <x:f>'Итоги'!$B$8*AVERAGE($C$2:C1595)</x:f>
        <x:v>1.294741290619912</x:v>
      </x:c>
      <x:c r="E1595" s="128" t="n">
        <x:f>'Итоги'!$B$9</x:f>
        <x:v>1.2958368660043291</x:v>
      </x:c>
      <x:c r="F1595" s="129" t="n">
        <x:f>ABS(D1595-E1595)</x:f>
        <x:v>0.001095575384417069</x:v>
      </x:c>
    </x:row>
    <x:row r="1596">
      <x:c r="A1596" s="107" t="n">
        <x:v>1595</x:v>
      </x:c>
      <x:c r="B1596" s="128" t="n">
        <x:v>2.6682417840042163</x:v>
      </x:c>
      <x:c r="C1596" s="128" t="n">
        <x:f>LN(B1596)</x:f>
        <x:v>0.981419747637035</x:v>
      </x:c>
      <x:c r="D1596" s="128" t="n">
        <x:f>'Итоги'!$B$8*AVERAGE($C$2:C1596)</x:f>
        <x:v>1.2951601609676577</x:v>
      </x:c>
      <x:c r="E1596" s="128" t="n">
        <x:f>'Итоги'!$B$9</x:f>
        <x:v>1.2958368660043291</x:v>
      </x:c>
      <x:c r="F1596" s="129" t="n">
        <x:f>ABS(D1596-E1596)</x:f>
        <x:v>0.0006767050366713878</x:v>
      </x:c>
    </x:row>
    <x:row r="1597">
      <x:c r="A1597" s="107" t="n">
        <x:v>1596</x:v>
      </x:c>
      <x:c r="B1597" s="128" t="n">
        <x:v>2.3626589453793825</x:v>
      </x:c>
      <x:c r="C1597" s="128" t="n">
        <x:f>LN(B1597)</x:f>
        <x:v>0.8597876565901297</x:v>
      </x:c>
      <x:c r="D1597" s="128" t="n">
        <x:f>'Итоги'!$B$8*AVERAGE($C$2:C1597)</x:f>
        <x:v>1.295426085248493</x:v>
      </x:c>
      <x:c r="E1597" s="128" t="n">
        <x:f>'Итоги'!$B$9</x:f>
        <x:v>1.2958368660043291</x:v>
      </x:c>
      <x:c r="F1597" s="129" t="n">
        <x:f>ABS(D1597-E1597)</x:f>
        <x:v>0.0004107807558362264</x:v>
      </x:c>
    </x:row>
    <x:row r="1598">
      <x:c r="A1598" s="107" t="n">
        <x:v>1597</x:v>
      </x:c>
      <x:c r="B1598" s="128" t="n">
        <x:v>1.3838423228221708</x:v>
      </x:c>
      <x:c r="C1598" s="128" t="n">
        <x:f>LN(B1598)</x:f>
        <x:v>0.3248639221084249</x:v>
      </x:c>
      <x:c r="D1598" s="128" t="n">
        <x:f>'Итоги'!$B$8*AVERAGE($C$2:C1598)</x:f>
        <x:v>1.2950217657487864</x:v>
      </x:c>
      <x:c r="E1598" s="128" t="n">
        <x:f>'Итоги'!$B$9</x:f>
        <x:v>1.2958368660043291</x:v>
      </x:c>
      <x:c r="F1598" s="129" t="n">
        <x:f>ABS(D1598-E1598)</x:f>
        <x:v>0.0008151002555427667</x:v>
      </x:c>
    </x:row>
    <x:row r="1599">
      <x:c r="A1599" s="107" t="n">
        <x:v>1598</x:v>
      </x:c>
      <x:c r="B1599" s="128" t="n">
        <x:v>1.3509244931581756</x:v>
      </x:c>
      <x:c r="C1599" s="128" t="n">
        <x:f>LN(B1599)</x:f>
        <x:v>0.3007891678219357</x:v>
      </x:c>
      <x:c r="D1599" s="128" t="n">
        <x:f>'Итоги'!$B$8*AVERAGE($C$2:C1599)</x:f>
        <x:v>1.2945878211742525</x:v>
      </x:c>
      <x:c r="E1599" s="128" t="n">
        <x:f>'Итоги'!$B$9</x:f>
        <x:v>1.2958368660043291</x:v>
      </x:c>
      <x:c r="F1599" s="129" t="n">
        <x:f>ABS(D1599-E1599)</x:f>
        <x:v>0.0012490448300765955</x:v>
      </x:c>
    </x:row>
    <x:row r="1600">
      <x:c r="A1600" s="107" t="n">
        <x:v>1599</x:v>
      </x:c>
      <x:c r="B1600" s="128" t="n">
        <x:v>2.6239764030210897</x:v>
      </x:c>
      <x:c r="C1600" s="128" t="n">
        <x:f>LN(B1600)</x:f>
        <x:v>0.9646908782902984</x:v>
      </x:c>
      <x:c r="D1600" s="128" t="n">
        <x:f>'Итоги'!$B$8*AVERAGE($C$2:C1600)</x:f>
        <x:v>1.2949848155053385</x:v>
      </x:c>
      <x:c r="E1600" s="128" t="n">
        <x:f>'Итоги'!$B$9</x:f>
        <x:v>1.2958368660043291</x:v>
      </x:c>
      <x:c r="F1600" s="129" t="n">
        <x:f>ABS(D1600-E1600)</x:f>
        <x:v>0.0008520504989906197</x:v>
      </x:c>
    </x:row>
    <x:row r="1601">
      <x:c r="A1601" s="107" t="n">
        <x:v>1600</x:v>
      </x:c>
      <x:c r="B1601" s="128" t="n">
        <x:v>1.5294234212390747</x:v>
      </x:c>
      <x:c r="C1601" s="128" t="n">
        <x:f>LN(B1601)</x:f>
        <x:v>0.42489081551561686</x:v>
      </x:c>
      <x:c r="D1601" s="128" t="n">
        <x:f>'Итоги'!$B$8*AVERAGE($C$2:C1601)</x:f>
        <x:v>1.2947065635150423</x:v>
      </x:c>
      <x:c r="E1601" s="128" t="n">
        <x:f>'Итоги'!$B$9</x:f>
        <x:v>1.2958368660043291</x:v>
      </x:c>
      <x:c r="F1601" s="129" t="n">
        <x:f>ABS(D1601-E1601)</x:f>
        <x:v>0.0011303024892868052</x:v>
      </x:c>
    </x:row>
    <x:row r="1602">
      <x:c r="A1602" s="107" t="n">
        <x:v>1601</x:v>
      </x:c>
      <x:c r="B1602" s="128" t="n">
        <x:v>2.8265703674039515</x:v>
      </x:c>
      <x:c r="C1602" s="128" t="n">
        <x:f>LN(B1602)</x:f>
        <x:v>1.0390640924199754</x:v>
      </x:c>
      <x:c r="D1602" s="128" t="n">
        <x:f>'Итоги'!$B$8*AVERAGE($C$2:C1602)</x:f>
        <x:v>1.295195896195445</x:v>
      </x:c>
      <x:c r="E1602" s="128" t="n">
        <x:f>'Итоги'!$B$9</x:f>
        <x:v>1.2958368660043291</x:v>
      </x:c>
      <x:c r="F1602" s="129" t="n">
        <x:f>ABS(D1602-E1602)</x:f>
        <x:v>0.0006409698088840621</x:v>
      </x:c>
    </x:row>
    <x:row r="1603">
      <x:c r="A1603" s="107" t="n">
        <x:v>1602</x:v>
      </x:c>
      <x:c r="B1603" s="128" t="n">
        <x:v>1.2801108093789813</x:v>
      </x:c>
      <x:c r="C1603" s="128" t="n">
        <x:f>LN(B1603)</x:f>
        <x:v>0.24694664401190364</x:v>
      </x:c>
      <x:c r="D1603" s="128" t="n">
        <x:f>'Итоги'!$B$8*AVERAGE($C$2:C1603)</x:f>
        <x:v>1.2946957073014551</x:v>
      </x:c>
      <x:c r="E1603" s="128" t="n">
        <x:f>'Итоги'!$B$9</x:f>
        <x:v>1.2958368660043291</x:v>
      </x:c>
      <x:c r="F1603" s="129" t="n">
        <x:f>ABS(D1603-E1603)</x:f>
        <x:v>0.0011411587028740122</x:v>
      </x:c>
    </x:row>
    <x:row r="1604">
      <x:c r="A1604" s="107" t="n">
        <x:v>1603</x:v>
      </x:c>
      <x:c r="B1604" s="128" t="n">
        <x:v>2.355417228908939</x:v>
      </x:c>
      <x:c r="C1604" s="128" t="n">
        <x:f>LN(B1604)</x:f>
        <x:v>0.8567178790410569</x:v>
      </x:c>
      <x:c r="D1604" s="128" t="n">
        <x:f>'Итоги'!$B$8*AVERAGE($C$2:C1604)</x:f>
        <x:v>1.2949569300405572</x:v>
      </x:c>
      <x:c r="E1604" s="128" t="n">
        <x:f>'Итоги'!$B$9</x:f>
        <x:v>1.2958368660043291</x:v>
      </x:c>
      <x:c r="F1604" s="129" t="n">
        <x:f>ABS(D1604-E1604)</x:f>
        <x:v>0.000879935963771894</x:v>
      </x:c>
    </x:row>
    <x:row r="1605">
      <x:c r="A1605" s="107" t="n">
        <x:v>1604</x:v>
      </x:c>
      <x:c r="B1605" s="128" t="n">
        <x:v>2.628947752061868</x:v>
      </x:c>
      <x:c r="C1605" s="128" t="n">
        <x:f>LN(B1605)</x:f>
        <x:v>0.9665836718575507</x:v>
      </x:c>
      <x:c r="D1605" s="128" t="n">
        <x:f>'Итоги'!$B$8*AVERAGE($C$2:C1605)</x:f>
        <x:v>1.295354816832125</x:v>
      </x:c>
      <x:c r="E1605" s="128" t="n">
        <x:f>'Итоги'!$B$9</x:f>
        <x:v>1.2958368660043291</x:v>
      </x:c>
      <x:c r="F1605" s="129" t="n">
        <x:f>ABS(D1605-E1605)</x:f>
        <x:v>0.00048204917220417975</x:v>
      </x:c>
    </x:row>
    <x:row r="1606">
      <x:c r="A1606" s="107" t="n">
        <x:v>1605</x:v>
      </x:c>
      <x:c r="B1606" s="128" t="n">
        <x:v>1.47051277683129</x:v>
      </x:c>
      <x:c r="C1606" s="128" t="n">
        <x:f>LN(B1606)</x:f>
        <x:v>0.38561116774076876</x:v>
      </x:c>
      <x:c r="D1606" s="128" t="n">
        <x:f>'Итоги'!$B$8*AVERAGE($C$2:C1606)</x:f>
        <x:v>1.2950282545384486</x:v>
      </x:c>
      <x:c r="E1606" s="128" t="n">
        <x:f>'Итоги'!$B$9</x:f>
        <x:v>1.2958368660043291</x:v>
      </x:c>
      <x:c r="F1606" s="129" t="n">
        <x:f>ABS(D1606-E1606)</x:f>
        <x:v>0.0008086114658805155</x:v>
      </x:c>
    </x:row>
    <x:row r="1607">
      <x:c r="A1607" s="107" t="n">
        <x:v>1606</x:v>
      </x:c>
      <x:c r="B1607" s="128" t="n">
        <x:v>1.552414726913132</x:v>
      </x:c>
      <x:c r="C1607" s="128" t="n">
        <x:f>LN(B1607)</x:f>
        <x:v>0.43981160701305144</x:v>
      </x:c>
      <x:c r="D1607" s="128" t="n">
        <x:f>'Итоги'!$B$8*AVERAGE($C$2:C1607)</x:f>
        <x:v>1.2947695963563115</x:v>
      </x:c>
      <x:c r="E1607" s="128" t="n">
        <x:f>'Итоги'!$B$9</x:f>
        <x:v>1.2958368660043291</x:v>
      </x:c>
      <x:c r="F1607" s="129" t="n">
        <x:f>ABS(D1607-E1607)</x:f>
        <x:v>0.0010672696480176214</x:v>
      </x:c>
    </x:row>
    <x:row r="1608">
      <x:c r="A1608" s="107" t="n">
        <x:v>1607</x:v>
      </x:c>
      <x:c r="B1608" s="128" t="n">
        <x:v>2.929037772278403</x:v>
      </x:c>
      <x:c r="C1608" s="128" t="n">
        <x:f>LN(B1608)</x:f>
        <x:v>1.074673963726392</x:v>
      </x:c>
      <x:c r="D1608" s="128" t="n">
        <x:f>'Итоги'!$B$8*AVERAGE($C$2:C1608)</x:f>
        <x:v>1.295301381254318</x:v>
      </x:c>
      <x:c r="E1608" s="128" t="n">
        <x:f>'Итоги'!$B$9</x:f>
        <x:v>1.2958368660043291</x:v>
      </x:c>
      <x:c r="F1608" s="129" t="n">
        <x:f>ABS(D1608-E1608)</x:f>
        <x:v>0.0005354847500111948</x:v>
      </x:c>
    </x:row>
    <x:row r="1609">
      <x:c r="A1609" s="107" t="n">
        <x:v>1608</x:v>
      </x:c>
      <x:c r="B1609" s="128" t="n">
        <x:v>1.5291952106923166</x:v>
      </x:c>
      <x:c r="C1609" s="128" t="n">
        <x:f>LN(B1609)</x:f>
        <x:v>0.4247415909311596</x:v>
      </x:c>
      <x:c r="D1609" s="128" t="n">
        <x:f>'Итоги'!$B$8*AVERAGE($C$2:C1609)</x:f>
        <x:v>1.295024131130318</x:v>
      </x:c>
      <x:c r="E1609" s="128" t="n">
        <x:f>'Итоги'!$B$9</x:f>
        <x:v>1.2958368660043291</x:v>
      </x:c>
      <x:c r="F1609" s="129" t="n">
        <x:f>ABS(D1609-E1609)</x:f>
        <x:v>0.0008127348740112339</x:v>
      </x:c>
    </x:row>
    <x:row r="1610">
      <x:c r="A1610" s="107" t="n">
        <x:v>1609</x:v>
      </x:c>
      <x:c r="B1610" s="128" t="n">
        <x:v>1.8599140998000956</x:v>
      </x:c>
      <x:c r="C1610" s="128" t="n">
        <x:f>LN(B1610)</x:f>
        <x:v>0.6205303037554724</x:v>
      </x:c>
      <x:c r="D1610" s="128" t="n">
        <x:f>'Итоги'!$B$8*AVERAGE($C$2:C1610)</x:f>
        <x:v>1.294990592582388</x:v>
      </x:c>
      <x:c r="E1610" s="128" t="n">
        <x:f>'Итоги'!$B$9</x:f>
        <x:v>1.2958368660043291</x:v>
      </x:c>
      <x:c r="F1610" s="129" t="n">
        <x:f>ABS(D1610-E1610)</x:f>
        <x:v>0.0008462734219412127</x:v>
      </x:c>
    </x:row>
    <x:row r="1611">
      <x:c r="A1611" s="107" t="n">
        <x:v>1610</x:v>
      </x:c>
      <x:c r="B1611" s="128" t="n">
        <x:v>1.8650311864847322</x:v>
      </x:c>
      <x:c r="C1611" s="128" t="n">
        <x:f>LN(B1611)</x:f>
        <x:v>0.6232777749316959</x:v>
      </x:c>
      <x:c r="D1611" s="128" t="n">
        <x:f>'Итоги'!$B$8*AVERAGE($C$2:C1611)</x:f>
        <x:v>1.2949605087049227</x:v>
      </x:c>
      <x:c r="E1611" s="128" t="n">
        <x:f>'Итоги'!$B$9</x:f>
        <x:v>1.2958368660043291</x:v>
      </x:c>
      <x:c r="F1611" s="129" t="n">
        <x:f>ABS(D1611-E1611)</x:f>
        <x:v>0.0008763572994063829</x:v>
      </x:c>
    </x:row>
    <x:row r="1612">
      <x:c r="A1612" s="107" t="n">
        <x:v>1611</x:v>
      </x:c>
      <x:c r="B1612" s="128" t="n">
        <x:v>1.5060694998593671</x:v>
      </x:c>
      <x:c r="C1612" s="128" t="n">
        <x:f>LN(B1612)</x:f>
        <x:v>0.40950327695788397</x:v>
      </x:c>
      <x:c r="D1612" s="128" t="n">
        <x:f>'Итоги'!$B$8*AVERAGE($C$2:C1612)</x:f>
        <x:v>1.2946650686336694</x:v>
      </x:c>
      <x:c r="E1612" s="128" t="n">
        <x:f>'Итоги'!$B$9</x:f>
        <x:v>1.2958368660043291</x:v>
      </x:c>
      <x:c r="F1612" s="129" t="n">
        <x:f>ABS(D1612-E1612)</x:f>
        <x:v>0.001171797370659755</x:v>
      </x:c>
    </x:row>
    <x:row r="1613">
      <x:c r="A1613" s="107" t="n">
        <x:v>1612</x:v>
      </x:c>
      <x:c r="B1613" s="128" t="n">
        <x:v>2.551582172874181</x:v>
      </x:c>
      <x:c r="C1613" s="128" t="n">
        <x:f>LN(B1613)</x:f>
        <x:v>0.9367136267153013</x:v>
      </x:c>
      <x:c r="D1613" s="128" t="n">
        <x:f>'Итоги'!$B$8*AVERAGE($C$2:C1613)</x:f>
        <x:v>1.295024102247067</x:v>
      </x:c>
      <x:c r="E1613" s="128" t="n">
        <x:f>'Итоги'!$B$9</x:f>
        <x:v>1.2958368660043291</x:v>
      </x:c>
      <x:c r="F1613" s="129" t="n">
        <x:f>ABS(D1613-E1613)</x:f>
        <x:v>0.000812763757262136</x:v>
      </x:c>
    </x:row>
    <x:row r="1614">
      <x:c r="A1614" s="107" t="n">
        <x:v>1613</x:v>
      </x:c>
      <x:c r="B1614" s="128" t="n">
        <x:v>2.5436986864583107</x:v>
      </x:c>
      <x:c r="C1614" s="128" t="n">
        <x:f>LN(B1614)</x:f>
        <x:v>0.9336191976056212</x:v>
      </x:c>
      <x:c r="D1614" s="128" t="n">
        <x:f>'Итоги'!$B$8*AVERAGE($C$2:C1614)</x:f>
        <x:v>1.2953788538236102</x:v>
      </x:c>
      <x:c r="E1614" s="128" t="n">
        <x:f>'Итоги'!$B$9</x:f>
        <x:v>1.2958368660043291</x:v>
      </x:c>
      <x:c r="F1614" s="129" t="n">
        <x:f>ABS(D1614-E1614)</x:f>
        <x:v>0.00045801218071894745</x:v>
      </x:c>
    </x:row>
    <x:row r="1615">
      <x:c r="A1615" s="107" t="n">
        <x:v>1614</x:v>
      </x:c>
      <x:c r="B1615" s="128" t="n">
        <x:v>1.7566360284475713</x:v>
      </x:c>
      <x:c r="C1615" s="128" t="n">
        <x:f>LN(B1615)</x:f>
        <x:v>0.5634006326216238</x:v>
      </x:c>
      <x:c r="D1615" s="128" t="n">
        <x:f>'Итоги'!$B$8*AVERAGE($C$2:C1615)</x:f>
        <x:v>1.2952744067427053</x:v>
      </x:c>
      <x:c r="E1615" s="128" t="n">
        <x:f>'Итоги'!$B$9</x:f>
        <x:v>1.2958368660043291</x:v>
      </x:c>
      <x:c r="F1615" s="129" t="n">
        <x:f>ABS(D1615-E1615)</x:f>
        <x:v>0.0005624592616237933</x:v>
      </x:c>
    </x:row>
    <x:row r="1616">
      <x:c r="A1616" s="107" t="n">
        <x:v>1615</x:v>
      </x:c>
      <x:c r="B1616" s="128" t="n">
        <x:v>2.6702515821614674</x:v>
      </x:c>
      <x:c r="C1616" s="128" t="n">
        <x:f>LN(B1616)</x:f>
        <x:v>0.9821726935018513</x:v>
      </x:c>
      <x:c r="D1616" s="128" t="n">
        <x:f>'Итоги'!$B$8*AVERAGE($C$2:C1616)</x:f>
        <x:v>1.2956886921793993</x:v>
      </x:c>
      <x:c r="E1616" s="128" t="n">
        <x:f>'Итоги'!$B$9</x:f>
        <x:v>1.2958368660043291</x:v>
      </x:c>
      <x:c r="F1616" s="129" t="n">
        <x:f>ABS(D1616-E1616)</x:f>
        <x:v>0.00014817382492982034</x:v>
      </x:c>
    </x:row>
    <x:row r="1617">
      <x:c r="A1617" s="107" t="n">
        <x:v>1616</x:v>
      </x:c>
      <x:c r="B1617" s="128" t="n">
        <x:v>1.4261498687980048</x:v>
      </x:c>
      <x:c r="C1617" s="128" t="n">
        <x:f>LN(B1617)</x:f>
        <x:v>0.3549784138035705</x:v>
      </x:c>
      <x:c r="D1617" s="128" t="n">
        <x:f>'Итоги'!$B$8*AVERAGE($C$2:C1617)</x:f>
        <x:v>1.2953262343424115</x:v>
      </x:c>
      <x:c r="E1617" s="128" t="n">
        <x:f>'Итоги'!$B$9</x:f>
        <x:v>1.2958368660043291</x:v>
      </x:c>
      <x:c r="F1617" s="129" t="n">
        <x:f>ABS(D1617-E1617)</x:f>
        <x:v>0.000510631661917671</x:v>
      </x:c>
    </x:row>
    <x:row r="1618">
      <x:c r="A1618" s="107" t="n">
        <x:v>1617</x:v>
      </x:c>
      <x:c r="B1618" s="128" t="n">
        <x:v>1.0086115513353573</x:v>
      </x:c>
      <x:c r="C1618" s="128" t="n">
        <x:f>LN(B1618)</x:f>
        <x:v>0.008574683435829926</x:v>
      </x:c>
      <x:c r="D1618" s="128" t="n">
        <x:f>'Итоги'!$B$8*AVERAGE($C$2:C1618)</x:f>
        <x:v>1.2945357724577666</x:v>
      </x:c>
      <x:c r="E1618" s="128" t="n">
        <x:f>'Итоги'!$B$9</x:f>
        <x:v>1.2958368660043291</x:v>
      </x:c>
      <x:c r="F1618" s="129" t="n">
        <x:f>ABS(D1618-E1618)</x:f>
        <x:v>0.0013010935465624929</x:v>
      </x:c>
    </x:row>
    <x:row r="1619">
      <x:c r="A1619" s="107" t="n">
        <x:v>1618</x:v>
      </x:c>
      <x:c r="B1619" s="128" t="n">
        <x:v>2.142334724111482</x:v>
      </x:c>
      <x:c r="C1619" s="128" t="n">
        <x:f>LN(B1619)</x:f>
        <x:v>0.7618962269093219</x:v>
      </x:c>
      <x:c r="D1619" s="128" t="n">
        <x:f>'Итоги'!$B$8*AVERAGE($C$2:C1619)</x:f>
        <x:v>1.294677463855394</x:v>
      </x:c>
      <x:c r="E1619" s="128" t="n">
        <x:f>'Итоги'!$B$9</x:f>
        <x:v>1.2958368660043291</x:v>
      </x:c>
      <x:c r="F1619" s="129" t="n">
        <x:f>ABS(D1619-E1619)</x:f>
        <x:v>0.0011594021489351736</x:v>
      </x:c>
    </x:row>
    <x:row r="1620">
      <x:c r="A1620" s="107" t="n">
        <x:v>1619</x:v>
      </x:c>
      <x:c r="B1620" s="128" t="n">
        <x:v>2.9881555449047568</x:v>
      </x:c>
      <x:c r="C1620" s="128" t="n">
        <x:f>LN(B1620)</x:f>
        <x:v>1.0946563224433732</x:v>
      </x:c>
      <x:c r="D1620" s="128" t="n">
        <x:f>'Итоги'!$B$8*AVERAGE($C$2:C1620)</x:f>
        <x:v>1.2952300488961792</x:v>
      </x:c>
      <x:c r="E1620" s="128" t="n">
        <x:f>'Итоги'!$B$9</x:f>
        <x:v>1.2958368660043291</x:v>
      </x:c>
      <x:c r="F1620" s="129" t="n">
        <x:f>ABS(D1620-E1620)</x:f>
        <x:v>0.0006068171081499152</x:v>
      </x:c>
    </x:row>
    <x:row r="1621">
      <x:c r="A1621" s="107" t="n">
        <x:v>1620</x:v>
      </x:c>
      <x:c r="B1621" s="128" t="n">
        <x:v>1.0772886196537692</x:v>
      </x:c>
      <x:c r="C1621" s="128" t="n">
        <x:f>LN(B1621)</x:f>
        <x:v>0.07444734709517412</x:v>
      </x:c>
      <x:c r="D1621" s="128" t="n">
        <x:f>'Итоги'!$B$8*AVERAGE($C$2:C1621)</x:f>
        <x:v>1.2945224344796942</x:v>
      </x:c>
      <x:c r="E1621" s="128" t="n">
        <x:f>'Итоги'!$B$9</x:f>
        <x:v>1.2958368660043291</x:v>
      </x:c>
      <x:c r="F1621" s="129" t="n">
        <x:f>ABS(D1621-E1621)</x:f>
        <x:v>0.0013144315246349514</x:v>
      </x:c>
    </x:row>
    <x:row r="1622">
      <x:c r="A1622" s="107" t="n">
        <x:v>1621</x:v>
      </x:c>
      <x:c r="B1622" s="128" t="n">
        <x:v>1.4159961474169211</x:v>
      </x:c>
      <x:c r="C1622" s="128" t="n">
        <x:f>LN(B1622)</x:f>
        <x:v>0.34783327451706486</x:v>
      </x:c>
      <x:c r="D1622" s="128" t="n">
        <x:f>'Итоги'!$B$8*AVERAGE($C$2:C1622)</x:f>
        <x:v>1.2941529983998388</x:v>
      </x:c>
      <x:c r="E1622" s="128" t="n">
        <x:f>'Итоги'!$B$9</x:f>
        <x:v>1.2958368660043291</x:v>
      </x:c>
      <x:c r="F1622" s="129" t="n">
        <x:f>ABS(D1622-E1622)</x:f>
        <x:v>0.0016838676044903522</x:v>
      </x:c>
    </x:row>
    <x:row r="1623">
      <x:c r="A1623" s="107" t="n">
        <x:v>1622</x:v>
      </x:c>
      <x:c r="B1623" s="128" t="n">
        <x:v>2.037829284974168</x:v>
      </x:c>
      <x:c r="C1623" s="128" t="n">
        <x:f>LN(B1623)</x:f>
        <x:v>0.7118851653322872</x:v>
      </x:c>
      <x:c r="D1623" s="128" t="n">
        <x:f>'Итоги'!$B$8*AVERAGE($C$2:C1623)</x:f>
        <x:v>1.2942329104419255</x:v>
      </x:c>
      <x:c r="E1623" s="128" t="n">
        <x:f>'Итоги'!$B$9</x:f>
        <x:v>1.2958368660043291</x:v>
      </x:c>
      <x:c r="F1623" s="129" t="n">
        <x:f>ABS(D1623-E1623)</x:f>
        <x:v>0.0016039555624036694</x:v>
      </x:c>
    </x:row>
    <x:row r="1624">
      <x:c r="A1624" s="107" t="n">
        <x:v>1623</x:v>
      </x:c>
      <x:c r="B1624" s="128" t="n">
        <x:v>2.619881472889741</x:v>
      </x:c>
      <x:c r="C1624" s="128" t="n">
        <x:f>LN(B1624)</x:f>
        <x:v>0.9631290773946143</x:v>
      </x:c>
      <x:c r="D1624" s="128" t="n">
        <x:f>'Итоги'!$B$8*AVERAGE($C$2:C1624)</x:f>
        <x:v>1.2946223283373952</x:v>
      </x:c>
      <x:c r="E1624" s="128" t="n">
        <x:f>'Итоги'!$B$9</x:f>
        <x:v>1.2958368660043291</x:v>
      </x:c>
      <x:c r="F1624" s="129" t="n">
        <x:f>ABS(D1624-E1624)</x:f>
        <x:v>0.0012145376669339125</x:v>
      </x:c>
    </x:row>
    <x:row r="1625">
      <x:c r="A1625" s="107" t="n">
        <x:v>1624</x:v>
      </x:c>
      <x:c r="B1625" s="128" t="n">
        <x:v>1.1780840101501064</x:v>
      </x:c>
      <x:c r="C1625" s="128" t="n">
        <x:f>LN(B1625)</x:f>
        <x:v>0.16388939860343438</x:v>
      </x:c>
      <x:c r="D1625" s="128" t="n">
        <x:f>'Итоги'!$B$8*AVERAGE($C$2:C1625)</x:f>
        <x:v>1.2940269813354677</x:v>
      </x:c>
      <x:c r="E1625" s="128" t="n">
        <x:f>'Итоги'!$B$9</x:f>
        <x:v>1.2958368660043291</x:v>
      </x:c>
      <x:c r="F1625" s="129" t="n">
        <x:f>ABS(D1625-E1625)</x:f>
        <x:v>0.00180988466886145</x:v>
      </x:c>
    </x:row>
    <x:row r="1626">
      <x:c r="A1626" s="107" t="n">
        <x:v>1625</x:v>
      </x:c>
      <x:c r="B1626" s="128" t="n">
        <x:v>1.7904693075177887</x:v>
      </x:c>
      <x:c r="C1626" s="128" t="n">
        <x:f>LN(B1626)</x:f>
        <x:v>0.5824777684595465</x:v>
      </x:c>
      <x:c r="D1626" s="128" t="n">
        <x:f>'Итоги'!$B$8*AVERAGE($C$2:C1626)</x:f>
        <x:v>1.2939475527542883</x:v>
      </x:c>
      <x:c r="E1626" s="128" t="n">
        <x:f>'Итоги'!$B$9</x:f>
        <x:v>1.2958368660043291</x:v>
      </x:c>
      <x:c r="F1626" s="129" t="n">
        <x:f>ABS(D1626-E1626)</x:f>
        <x:v>0.001889313250040825</x:v>
      </x:c>
    </x:row>
    <x:row r="1627">
      <x:c r="A1627" s="107" t="n">
        <x:v>1626</x:v>
      </x:c>
      <x:c r="B1627" s="128" t="n">
        <x:v>2.4941516012597726</x:v>
      </x:c>
      <x:c r="C1627" s="128" t="n">
        <x:f>LN(B1627)</x:f>
        <x:v>0.913948631801675</x:v>
      </x:c>
      <x:c r="D1627" s="128" t="n">
        <x:f>'Итоги'!$B$8*AVERAGE($C$2:C1627)</x:f>
        <x:v>1.2942759351102842</x:v>
      </x:c>
      <x:c r="E1627" s="128" t="n">
        <x:f>'Итоги'!$B$9</x:f>
        <x:v>1.2958368660043291</x:v>
      </x:c>
      <x:c r="F1627" s="129" t="n">
        <x:f>ABS(D1627-E1627)</x:f>
        <x:v>0.001560930894044965</x:v>
      </x:c>
    </x:row>
    <x:row r="1628">
      <x:c r="A1628" s="107" t="n">
        <x:v>1627</x:v>
      </x:c>
      <x:c r="B1628" s="128" t="n">
        <x:v>1.7430864168127231</x:v>
      </x:c>
      <x:c r="C1628" s="128" t="n">
        <x:f>LN(B1628)</x:f>
        <x:v>0.5556573446621231</x:v>
      </x:c>
      <x:c r="D1628" s="128" t="n">
        <x:f>'Итоги'!$B$8*AVERAGE($C$2:C1628)</x:f>
        <x:v>1.2941634819782706</x:v>
      </x:c>
      <x:c r="E1628" s="128" t="n">
        <x:f>'Итоги'!$B$9</x:f>
        <x:v>1.2958368660043291</x:v>
      </x:c>
      <x:c r="F1628" s="129" t="n">
        <x:f>ABS(D1628-E1628)</x:f>
        <x:v>0.0016733840260585442</x:v>
      </x:c>
    </x:row>
    <x:row r="1629">
      <x:c r="A1629" s="107" t="n">
        <x:v>1628</x:v>
      </x:c>
      <x:c r="B1629" s="128" t="n">
        <x:v>1.377672840951278</x:v>
      </x:c>
      <x:c r="C1629" s="128" t="n">
        <x:f>LN(B1629)</x:f>
        <x:v>0.320395728548475</x:v>
      </x:c>
      <x:c r="D1629" s="128" t="n">
        <x:f>'Итоги'!$B$8*AVERAGE($C$2:C1629)</x:f>
        <x:v>1.2937621478106531</x:v>
      </x:c>
      <x:c r="E1629" s="128" t="n">
        <x:f>'Итоги'!$B$9</x:f>
        <x:v>1.2958368660043291</x:v>
      </x:c>
      <x:c r="F1629" s="129" t="n">
        <x:f>ABS(D1629-E1629)</x:f>
        <x:v>0.002074718193675995</x:v>
      </x:c>
    </x:row>
    <x:row r="1630">
      <x:c r="A1630" s="107" t="n">
        <x:v>1629</x:v>
      </x:c>
      <x:c r="B1630" s="128" t="n">
        <x:v>1.3909916547931747</x:v>
      </x:c>
      <x:c r="C1630" s="128" t="n">
        <x:f>LN(B1630)</x:f>
        <x:v>0.33001691349352824</x:v>
      </x:c>
      <x:c r="D1630" s="128" t="n">
        <x:f>'Итоги'!$B$8*AVERAGE($C$2:C1630)</x:f>
        <x:v>1.2933731187616515</x:v>
      </x:c>
      <x:c r="E1630" s="128" t="n">
        <x:f>'Итоги'!$B$9</x:f>
        <x:v>1.2958368660043291</x:v>
      </x:c>
      <x:c r="F1630" s="129" t="n">
        <x:f>ABS(D1630-E1630)</x:f>
        <x:v>0.0024637472426776164</x:v>
      </x:c>
    </x:row>
    <x:row r="1631">
      <x:c r="A1631" s="107" t="n">
        <x:v>1630</x:v>
      </x:c>
      <x:c r="B1631" s="128" t="n">
        <x:v>1.8200975738299885</x:v>
      </x:c>
      <x:c r="C1631" s="128" t="n">
        <x:f>LN(B1631)</x:f>
        <x:v>0.5988901116461315</x:v>
      </x:c>
      <x:c r="D1631" s="128" t="n">
        <x:f>'Итоги'!$B$8*AVERAGE($C$2:C1631)</x:f>
        <x:v>1.2933144728135109</x:v>
      </x:c>
      <x:c r="E1631" s="128" t="n">
        <x:f>'Итоги'!$B$9</x:f>
        <x:v>1.2958368660043291</x:v>
      </x:c>
      <x:c r="F1631" s="129" t="n">
        <x:f>ABS(D1631-E1631)</x:f>
        <x:v>0.0025223931908182617</x:v>
      </x:c>
    </x:row>
    <x:row r="1632">
      <x:c r="A1632" s="107" t="n">
        <x:v>1631</x:v>
      </x:c>
      <x:c r="B1632" s="128" t="n">
        <x:v>1.9588341496117823</x:v>
      </x:c>
      <x:c r="C1632" s="128" t="n">
        <x:f>LN(B1632)</x:f>
        <x:v>0.6723494746392172</x:v>
      </x:c>
      <x:c r="D1632" s="128" t="n">
        <x:f>'Итоги'!$B$8*AVERAGE($C$2:C1632)</x:f>
        <x:v>1.2933459777040475</x:v>
      </x:c>
      <x:c r="E1632" s="128" t="n">
        <x:f>'Итоги'!$B$9</x:f>
        <x:v>1.2958368660043291</x:v>
      </x:c>
      <x:c r="F1632" s="129" t="n">
        <x:f>ABS(D1632-E1632)</x:f>
        <x:v>0.0024908883002816573</x:v>
      </x:c>
    </x:row>
    <x:row r="1633">
      <x:c r="A1633" s="107" t="n">
        <x:v>1632</x:v>
      </x:c>
      <x:c r="B1633" s="128" t="n">
        <x:v>2.723628835632028</x:v>
      </x:c>
      <x:c r="C1633" s="128" t="n">
        <x:f>LN(B1633)</x:f>
        <x:v>1.0019651218933008</x:v>
      </x:c>
      <x:c r="D1633" s="128" t="n">
        <x:f>'Итоги'!$B$8*AVERAGE($C$2:C1633)</x:f>
        <x:v>1.2937813847298334</x:v>
      </x:c>
      <x:c r="E1633" s="128" t="n">
        <x:f>'Итоги'!$B$9</x:f>
        <x:v>1.2958368660043291</x:v>
      </x:c>
      <x:c r="F1633" s="129" t="n">
        <x:f>ABS(D1633-E1633)</x:f>
        <x:v>0.0020554812744957296</x:v>
      </x:c>
    </x:row>
    <x:row r="1634">
      <x:c r="A1634" s="107" t="n">
        <x:v>1633</x:v>
      </x:c>
      <x:c r="B1634" s="128" t="n">
        <x:v>2.2845048371359873</x:v>
      </x:c>
      <x:c r="C1634" s="128" t="n">
        <x:f>LN(B1634)</x:f>
        <x:v>0.8261492993907957</x:v>
      </x:c>
      <x:c r="D1634" s="128" t="n">
        <x:f>'Итоги'!$B$8*AVERAGE($C$2:C1634)</x:f>
        <x:v>1.2940009298700978</x:v>
      </x:c>
      <x:c r="E1634" s="128" t="n">
        <x:f>'Итоги'!$B$9</x:f>
        <x:v>1.2958368660043291</x:v>
      </x:c>
      <x:c r="F1634" s="129" t="n">
        <x:f>ABS(D1634-E1634)</x:f>
        <x:v>0.0018359361342312752</x:v>
      </x:c>
    </x:row>
    <x:row r="1635">
      <x:c r="A1635" s="107" t="n">
        <x:v>1634</x:v>
      </x:c>
      <x:c r="B1635" s="128" t="n">
        <x:v>2.3808039090310027</x:v>
      </x:c>
      <x:c r="C1635" s="128" t="n">
        <x:f>LN(B1635)</x:f>
        <x:v>0.8674382075533904</x:v>
      </x:c>
      <x:c r="D1635" s="128" t="n">
        <x:f>'Итоги'!$B$8*AVERAGE($C$2:C1635)</x:f>
        <x:v>1.2942707435085534</x:v>
      </x:c>
      <x:c r="E1635" s="128" t="n">
        <x:f>'Итоги'!$B$9</x:f>
        <x:v>1.2958368660043291</x:v>
      </x:c>
      <x:c r="F1635" s="129" t="n">
        <x:f>ABS(D1635-E1635)</x:f>
        <x:v>0.0015661224957757014</x:v>
      </x:c>
    </x:row>
    <x:row r="1636">
      <x:c r="A1636" s="107" t="n">
        <x:v>1635</x:v>
      </x:c>
      <x:c r="B1636" s="128" t="n">
        <x:v>2.9659743430718137</x:v>
      </x:c>
      <x:c r="C1636" s="128" t="n">
        <x:f>LN(B1636)</x:f>
        <x:v>1.0872055933316684</x:v>
      </x:c>
      <x:c r="D1636" s="128" t="n">
        <x:f>'Итоги'!$B$8*AVERAGE($C$2:C1636)</x:f>
        <x:v>1.2948090557062015</x:v>
      </x:c>
      <x:c r="E1636" s="128" t="n">
        <x:f>'Итоги'!$B$9</x:f>
        <x:v>1.2958368660043291</x:v>
      </x:c>
      <x:c r="F1636" s="129" t="n">
        <x:f>ABS(D1636-E1636)</x:f>
        <x:v>0.001027810298127596</x:v>
      </x:c>
    </x:row>
    <x:row r="1637">
      <x:c r="A1637" s="107" t="n">
        <x:v>1636</x:v>
      </x:c>
      <x:c r="B1637" s="128" t="n">
        <x:v>1.8236868806019475</x:v>
      </x:c>
      <x:c r="C1637" s="128" t="n">
        <x:f>LN(B1637)</x:f>
        <x:v>0.600860210579136</x:v>
      </x:c>
      <x:c r="D1637" s="128" t="n">
        <x:f>'Итоги'!$B$8*AVERAGE($C$2:C1637)</x:f>
        <x:v>1.294752155562835</x:v>
      </x:c>
      <x:c r="E1637" s="128" t="n">
        <x:f>'Итоги'!$B$9</x:f>
        <x:v>1.2958368660043291</x:v>
      </x:c>
      <x:c r="F1637" s="129" t="n">
        <x:f>ABS(D1637-E1637)</x:f>
        <x:v>0.0010847104414941633</x:v>
      </x:c>
    </x:row>
    <x:row r="1638">
      <x:c r="A1638" s="107" t="n">
        <x:v>1637</x:v>
      </x:c>
      <x:c r="B1638" s="128" t="n">
        <x:v>1.8067088064982566</x:v>
      </x:c>
      <x:c r="C1638" s="128" t="n">
        <x:f>LN(B1638)</x:f>
        <x:v>0.5915068511414615</x:v>
      </x:c>
      <x:c r="D1638" s="128" t="n">
        <x:f>'Итоги'!$B$8*AVERAGE($C$2:C1638)</x:f>
        <x:v>1.2946838974973005</x:v>
      </x:c>
      <x:c r="E1638" s="128" t="n">
        <x:f>'Итоги'!$B$9</x:f>
        <x:v>1.2958368660043291</x:v>
      </x:c>
      <x:c r="F1638" s="129" t="n">
        <x:f>ABS(D1638-E1638)</x:f>
        <x:v>0.0011529685070286178</x:v>
      </x:c>
    </x:row>
    <x:row r="1639">
      <x:c r="A1639" s="107" t="n">
        <x:v>1638</x:v>
      </x:c>
      <x:c r="B1639" s="128" t="n">
        <x:v>2.8466939354516247</x:v>
      </x:c>
      <x:c r="C1639" s="128" t="n">
        <x:f>LN(B1639)</x:f>
        <x:v>1.0461582982849515</x:v>
      </x:c>
      <x:c r="D1639" s="128" t="n">
        <x:f>'Итоги'!$B$8*AVERAGE($C$2:C1639)</x:f>
        <x:v>1.2951708527470398</x:v>
      </x:c>
      <x:c r="E1639" s="128" t="n">
        <x:f>'Итоги'!$B$9</x:f>
        <x:v>1.2958368660043291</x:v>
      </x:c>
      <x:c r="F1639" s="129" t="n">
        <x:f>ABS(D1639-E1639)</x:f>
        <x:v>0.0006660132572893218</x:v>
      </x:c>
    </x:row>
    <x:row r="1640">
      <x:c r="A1640" s="107" t="n">
        <x:v>1639</x:v>
      </x:c>
      <x:c r="B1640" s="128" t="n">
        <x:v>1.4917511740101173</x:v>
      </x:c>
      <x:c r="C1640" s="128" t="n">
        <x:f>LN(B1640)</x:f>
        <x:v>0.39995071442166663</x:v>
      </x:c>
      <x:c r="D1640" s="128" t="n">
        <x:f>'Итоги'!$B$8*AVERAGE($C$2:C1640)</x:f>
        <x:v>1.2948686749411193</x:v>
      </x:c>
      <x:c r="E1640" s="128" t="n">
        <x:f>'Итоги'!$B$9</x:f>
        <x:v>1.2958368660043291</x:v>
      </x:c>
      <x:c r="F1640" s="129" t="n">
        <x:f>ABS(D1640-E1640)</x:f>
        <x:v>0.0009681910632097779</x:v>
      </x:c>
    </x:row>
    <x:row r="1641">
      <x:c r="A1641" s="107" t="n">
        <x:v>1640</x:v>
      </x:c>
      <x:c r="B1641" s="128" t="n">
        <x:v>2.4596304926057333</x:v>
      </x:c>
      <x:c r="C1641" s="128" t="n">
        <x:f>LN(B1641)</x:f>
        <x:v>0.9000111324043497</x:v>
      </x:c>
      <x:c r="D1641" s="128" t="n">
        <x:f>'Итоги'!$B$8*AVERAGE($C$2:C1641)</x:f>
        <x:v>1.295176695422746</x:v>
      </x:c>
      <x:c r="E1641" s="128" t="n">
        <x:f>'Итоги'!$B$9</x:f>
        <x:v>1.2958368660043291</x:v>
      </x:c>
      <x:c r="F1641" s="129" t="n">
        <x:f>ABS(D1641-E1641)</x:f>
        <x:v>0.000660170581583186</x:v>
      </x:c>
    </x:row>
    <x:row r="1642">
      <x:c r="A1642" s="107" t="n">
        <x:v>1641</x:v>
      </x:c>
      <x:c r="B1642" s="128" t="n">
        <x:v>2.5091462764362693</x:v>
      </x:c>
      <x:c r="C1642" s="128" t="n">
        <x:f>LN(B1642)</x:f>
        <x:v>0.9199425663768824</x:v>
      </x:c>
      <x:c r="D1642" s="128" t="n">
        <x:f>'Итоги'!$B$8*AVERAGE($C$2:C1642)</x:f>
        <x:v>1.2955086323132585</x:v>
      </x:c>
      <x:c r="E1642" s="128" t="n">
        <x:f>'Итоги'!$B$9</x:f>
        <x:v>1.2958368660043291</x:v>
      </x:c>
      <x:c r="F1642" s="129" t="n">
        <x:f>ABS(D1642-E1642)</x:f>
        <x:v>0.00032823369107060074</x:v>
      </x:c>
    </x:row>
    <x:row r="1643">
      <x:c r="A1643" s="107" t="n">
        <x:v>1642</x:v>
      </x:c>
      <x:c r="B1643" s="128" t="n">
        <x:v>1.1955759948908862</x:v>
      </x:c>
      <x:c r="C1643" s="128" t="n">
        <x:f>LN(B1643)</x:f>
        <x:v>0.17862807334960723</x:v>
      </x:c>
      <x:c r="D1643" s="128" t="n">
        <x:f>'Итоги'!$B$8*AVERAGE($C$2:C1643)</x:f>
        <x:v>1.294937223978536</x:v>
      </x:c>
      <x:c r="E1643" s="128" t="n">
        <x:f>'Итоги'!$B$9</x:f>
        <x:v>1.2958368660043291</x:v>
      </x:c>
      <x:c r="F1643" s="129" t="n">
        <x:f>ABS(D1643-E1643)</x:f>
        <x:v>0.0008996420257931792</x:v>
      </x:c>
    </x:row>
    <x:row r="1644">
      <x:c r="A1644" s="107" t="n">
        <x:v>1643</x:v>
      </x:c>
      <x:c r="B1644" s="128" t="n">
        <x:v>1.936462811387168</x:v>
      </x:c>
      <x:c r="C1644" s="128" t="n">
        <x:f>LN(B1644)</x:f>
        <x:v>0.6608630157537583</x:v>
      </x:c>
      <x:c r="D1644" s="128" t="n">
        <x:f>'Итоги'!$B$8*AVERAGE($C$2:C1644)</x:f>
        <x:v>1.2949535287913958</x:v>
      </x:c>
      <x:c r="E1644" s="128" t="n">
        <x:f>'Итоги'!$B$9</x:f>
        <x:v>1.2958368660043291</x:v>
      </x:c>
      <x:c r="F1644" s="129" t="n">
        <x:f>ABS(D1644-E1644)</x:f>
        <x:v>0.0008833372129333217</x:v>
      </x:c>
    </x:row>
    <x:row r="1645">
      <x:c r="A1645" s="107" t="n">
        <x:v>1644</x:v>
      </x:c>
      <x:c r="B1645" s="128" t="n">
        <x:v>1.401124942643108</x:v>
      </x:c>
      <x:c r="C1645" s="128" t="n">
        <x:f>LN(B1645)</x:f>
        <x:v>0.33727544442280827</x:v>
      </x:c>
      <x:c r="D1645" s="128" t="n">
        <x:f>'Итоги'!$B$8*AVERAGE($C$2:C1645)</x:f>
        <x:v>1.2945761549228159</x:v>
      </x:c>
      <x:c r="E1645" s="128" t="n">
        <x:f>'Итоги'!$B$9</x:f>
        <x:v>1.2958368660043291</x:v>
      </x:c>
      <x:c r="F1645" s="129" t="n">
        <x:f>ABS(D1645-E1645)</x:f>
        <x:v>0.001260711081513266</x:v>
      </x:c>
    </x:row>
    <x:row r="1646">
      <x:c r="A1646" s="107" t="n">
        <x:v>1645</x:v>
      </x:c>
      <x:c r="B1646" s="128" t="n">
        <x:v>1.3707505456049713</x:v>
      </x:c>
      <x:c r="C1646" s="128" t="n">
        <x:f>LN(B1646)</x:f>
        <x:v>0.3153584333358437</x:v>
      </x:c>
      <x:c r="D1646" s="128" t="n">
        <x:f>'Итоги'!$B$8*AVERAGE($C$2:C1646)</x:f>
        <x:v>1.2941725930454595</x:v>
      </x:c>
      <x:c r="E1646" s="128" t="n">
        <x:f>'Итоги'!$B$9</x:f>
        <x:v>1.2958368660043291</x:v>
      </x:c>
      <x:c r="F1646" s="129" t="n">
        <x:f>ABS(D1646-E1646)</x:f>
        <x:v>0.001664272958869617</x:v>
      </x:c>
    </x:row>
    <x:row r="1647">
      <x:c r="A1647" s="107" t="n">
        <x:v>1646</x:v>
      </x:c>
      <x:c r="B1647" s="128" t="n">
        <x:v>1.9276562209257524</x:v>
      </x:c>
      <x:c r="C1647" s="128" t="n">
        <x:f>LN(B1647)</x:f>
        <x:v>0.6563048716410081</x:v>
      </x:c>
      <x:c r="D1647" s="128" t="n">
        <x:f>'Итоги'!$B$8*AVERAGE($C$2:C1647)</x:f>
        <x:v>1.2941837942302934</x:v>
      </x:c>
      <x:c r="E1647" s="128" t="n">
        <x:f>'Итоги'!$B$9</x:f>
        <x:v>1.2958368660043291</x:v>
      </x:c>
      <x:c r="F1647" s="129" t="n">
        <x:f>ABS(D1647-E1647)</x:f>
        <x:v>0.0016530717740357304</x:v>
      </x:c>
    </x:row>
    <x:row r="1648">
      <x:c r="A1648" s="107" t="n">
        <x:v>1647</x:v>
      </x:c>
      <x:c r="B1648" s="128" t="n">
        <x:v>1.57885941501613</x:v>
      </x:c>
      <x:c r="C1648" s="128" t="n">
        <x:f>LN(B1648)</x:f>
        <x:v>0.45670269712108164</x:v>
      </x:c>
      <x:c r="D1648" s="128" t="n">
        <x:f>'Итоги'!$B$8*AVERAGE($C$2:C1648)</x:f>
        <x:v>1.2939525990876168</x:v>
      </x:c>
      <x:c r="E1648" s="128" t="n">
        <x:f>'Итоги'!$B$9</x:f>
        <x:v>1.2958368660043291</x:v>
      </x:c>
      <x:c r="F1648" s="129" t="n">
        <x:f>ABS(D1648-E1648)</x:f>
        <x:v>0.001884266916712285</x:v>
      </x:c>
    </x:row>
    <x:row r="1649">
      <x:c r="A1649" s="107" t="n">
        <x:v>1648</x:v>
      </x:c>
      <x:c r="B1649" s="128" t="n">
        <x:v>2.5921208952517416</x:v>
      </x:c>
      <x:c r="C1649" s="128" t="n">
        <x:f>LN(B1649)</x:f>
        <x:v>0.9524764190889673</x:v>
      </x:c>
      <x:c r="D1649" s="128" t="n">
        <x:f>'Итоги'!$B$8*AVERAGE($C$2:C1649)</x:f>
        <x:v>1.2943233516598802</x:v>
      </x:c>
      <x:c r="E1649" s="128" t="n">
        <x:f>'Итоги'!$B$9</x:f>
        <x:v>1.2958368660043291</x:v>
      </x:c>
      <x:c r="F1649" s="129" t="n">
        <x:f>ABS(D1649-E1649)</x:f>
        <x:v>0.0015135143444489074</x:v>
      </x:c>
    </x:row>
    <x:row r="1650">
      <x:c r="A1650" s="107" t="n">
        <x:v>1649</x:v>
      </x:c>
      <x:c r="B1650" s="128" t="n">
        <x:v>2.815209782780965</x:v>
      </x:c>
      <x:c r="C1650" s="128" t="n">
        <x:f>LN(B1650)</x:f>
        <x:v>1.0350367820053348</x:v>
      </x:c>
      <x:c r="D1650" s="128" t="n">
        <x:f>'Итоги'!$B$8*AVERAGE($C$2:C1650)</x:f>
        <x:v>1.2947937884169154</x:v>
      </x:c>
      <x:c r="E1650" s="128" t="n">
        <x:f>'Итоги'!$B$9</x:f>
        <x:v>1.2958368660043291</x:v>
      </x:c>
      <x:c r="F1650" s="129" t="n">
        <x:f>ABS(D1650-E1650)</x:f>
        <x:v>0.0010430775874137321</x:v>
      </x:c>
    </x:row>
    <x:row r="1651">
      <x:c r="A1651" s="107" t="n">
        <x:v>1650</x:v>
      </x:c>
      <x:c r="B1651" s="128" t="n">
        <x:v>2.605441210576731</x:v>
      </x:c>
      <x:c r="C1651" s="128" t="n">
        <x:f>LN(B1651)</x:f>
        <x:v>0.9576020315265915</x:v>
      </x:c>
      <x:c r="D1651" s="128" t="n">
        <x:f>'Итоги'!$B$8*AVERAGE($C$2:C1651)</x:f>
        <x:v>1.2951697946439678</x:v>
      </x:c>
      <x:c r="E1651" s="128" t="n">
        <x:f>'Итоги'!$B$9</x:f>
        <x:v>1.2958368660043291</x:v>
      </x:c>
      <x:c r="F1651" s="129" t="n">
        <x:f>ABS(D1651-E1651)</x:f>
        <x:v>0.0006670713603613709</x:v>
      </x:c>
    </x:row>
    <x:row r="1652">
      <x:c r="A1652" s="107" t="n">
        <x:v>1651</x:v>
      </x:c>
      <x:c r="B1652" s="128" t="n">
        <x:v>1.5320617452433305</x:v>
      </x:c>
      <x:c r="C1652" s="128" t="n">
        <x:f>LN(B1652)</x:f>
        <x:v>0.42661437418986403</x:v>
      </x:c>
      <x:c r="D1652" s="128" t="n">
        <x:f>'Итоги'!$B$8*AVERAGE($C$2:C1652)</x:f>
        <x:v>1.2949021138164305</x:v>
      </x:c>
      <x:c r="E1652" s="128" t="n">
        <x:f>'Итоги'!$B$9</x:f>
        <x:v>1.2958368660043291</x:v>
      </x:c>
      <x:c r="F1652" s="129" t="n">
        <x:f>ABS(D1652-E1652)</x:f>
        <x:v>0.0009347521878986242</x:v>
      </x:c>
    </x:row>
    <x:row r="1653">
      <x:c r="A1653" s="107" t="n">
        <x:v>1652</x:v>
      </x:c>
      <x:c r="B1653" s="128" t="n">
        <x:v>1.5482687873772167</x:v>
      </x:c>
      <x:c r="C1653" s="128" t="n">
        <x:f>LN(B1653)</x:f>
        <x:v>0.43713739535127893</x:v>
      </x:c>
      <x:c r="D1653" s="128" t="n">
        <x:f>'Итоги'!$B$8*AVERAGE($C$2:C1653)</x:f>
        <x:v>1.294647496792754</x:v>
      </x:c>
      <x:c r="E1653" s="128" t="n">
        <x:f>'Итоги'!$B$9</x:f>
        <x:v>1.2958368660043291</x:v>
      </x:c>
      <x:c r="F1653" s="129" t="n">
        <x:f>ABS(D1653-E1653)</x:f>
        <x:v>0.0011893692115751975</x:v>
      </x:c>
    </x:row>
    <x:row r="1654">
      <x:c r="A1654" s="107" t="n">
        <x:v>1653</x:v>
      </x:c>
      <x:c r="B1654" s="128" t="n">
        <x:v>1.5094567002349348</x:v>
      </x:c>
      <x:c r="C1654" s="128" t="n">
        <x:f>LN(B1654)</x:f>
        <x:v>0.4117497849139446</x:v>
      </x:c>
      <x:c r="D1654" s="128" t="n">
        <x:f>'Итоги'!$B$8*AVERAGE($C$2:C1654)</x:f>
        <x:v>1.2943624708236283</x:v>
      </x:c>
      <x:c r="E1654" s="128" t="n">
        <x:f>'Итоги'!$B$9</x:f>
        <x:v>1.2958368660043291</x:v>
      </x:c>
      <x:c r="F1654" s="129" t="n">
        <x:f>ABS(D1654-E1654)</x:f>
        <x:v>0.0014743951807008049</x:v>
      </x:c>
    </x:row>
    <x:row r="1655">
      <x:c r="A1655" s="107" t="n">
        <x:v>1654</x:v>
      </x:c>
      <x:c r="B1655" s="128" t="n">
        <x:v>1.2700761921124721</x:v>
      </x:c>
      <x:c r="C1655" s="128" t="n">
        <x:f>LN(B1655)</x:f>
        <x:v>0.23907689246029265</x:v>
      </x:c>
      <x:c r="D1655" s="128" t="n">
        <x:f>'Итоги'!$B$8*AVERAGE($C$2:C1655)</x:f>
        <x:v>1.2938689951973266</x:v>
      </x:c>
      <x:c r="E1655" s="128" t="n">
        <x:f>'Итоги'!$B$9</x:f>
        <x:v>1.2958368660043291</x:v>
      </x:c>
      <x:c r="F1655" s="129" t="n">
        <x:f>ABS(D1655-E1655)</x:f>
        <x:v>0.0019678708070025586</x:v>
      </x:c>
    </x:row>
    <x:row r="1656">
      <x:c r="A1656" s="107" t="n">
        <x:v>1655</x:v>
      </x:c>
      <x:c r="B1656" s="128" t="n">
        <x:v>2.8875967362074224</x:v>
      </x:c>
      <x:c r="C1656" s="128" t="n">
        <x:f>LN(B1656)</x:f>
        <x:v>1.0604245770035983</x:v>
      </x:c>
      <x:c r="D1656" s="128" t="n">
        <x:f>'Итоги'!$B$8*AVERAGE($C$2:C1656)</x:f>
        <x:v>1.2943686810938886</x:v>
      </x:c>
      <x:c r="E1656" s="128" t="n">
        <x:f>'Итоги'!$B$9</x:f>
        <x:v>1.2958368660043291</x:v>
      </x:c>
      <x:c r="F1656" s="129" t="n">
        <x:f>ABS(D1656-E1656)</x:f>
        <x:v>0.0014681849104405398</x:v>
      </x:c>
    </x:row>
    <x:row r="1657">
      <x:c r="A1657" s="107" t="n">
        <x:v>1656</x:v>
      </x:c>
      <x:c r="B1657" s="128" t="n">
        <x:v>1.8040955963141387</x:v>
      </x:c>
      <x:c r="C1657" s="128" t="n">
        <x:f>LN(B1657)</x:f>
        <x:v>0.5900594115413973</x:v>
      </x:c>
      <x:c r="D1657" s="128" t="n">
        <x:f>'Итоги'!$B$8*AVERAGE($C$2:C1657)</x:f>
        <x:v>1.294299689633737</x:v>
      </x:c>
      <x:c r="E1657" s="128" t="n">
        <x:f>'Итоги'!$B$9</x:f>
        <x:v>1.2958368660043291</x:v>
      </x:c>
      <x:c r="F1657" s="129" t="n">
        <x:f>ABS(D1657-E1657)</x:f>
        <x:v>0.0015371763705920305</x:v>
      </x:c>
    </x:row>
    <x:row r="1658">
      <x:c r="A1658" s="107" t="n">
        <x:v>1657</x:v>
      </x:c>
      <x:c r="B1658" s="128" t="n">
        <x:v>1.4493789490917475</x:v>
      </x:c>
      <x:c r="C1658" s="128" t="n">
        <x:f>LN(B1658)</x:f>
        <x:v>0.37113515370993067</x:v>
      </x:c>
      <x:c r="D1658" s="128" t="n">
        <x:f>'Итоги'!$B$8*AVERAGE($C$2:C1658)</x:f>
        <x:v>1.293966539734996</x:v>
      </x:c>
      <x:c r="E1658" s="128" t="n">
        <x:f>'Итоги'!$B$9</x:f>
        <x:v>1.2958368660043291</x:v>
      </x:c>
      <x:c r="F1658" s="129" t="n">
        <x:f>ABS(D1658-E1658)</x:f>
        <x:v>0.0018703262693331446</x:v>
      </x:c>
    </x:row>
    <x:row r="1659">
      <x:c r="A1659" s="107" t="n">
        <x:v>1658</x:v>
      </x:c>
      <x:c r="B1659" s="128" t="n">
        <x:v>2.693342101016487</x:v>
      </x:c>
      <x:c r="C1659" s="128" t="n">
        <x:f>LN(B1659)</x:f>
        <x:v>0.9907828391874993</x:v>
      </x:c>
      <x:c r="D1659" s="128" t="n">
        <x:f>'Итоги'!$B$8*AVERAGE($C$2:C1659)</x:f>
        <x:v>1.2943812557414134</x:v>
      </x:c>
      <x:c r="E1659" s="128" t="n">
        <x:f>'Итоги'!$B$9</x:f>
        <x:v>1.2958368660043291</x:v>
      </x:c>
      <x:c r="F1659" s="129" t="n">
        <x:f>ABS(D1659-E1659)</x:f>
        <x:v>0.0014556102629157408</x:v>
      </x:c>
    </x:row>
    <x:row r="1660">
      <x:c r="A1660" s="107" t="n">
        <x:v>1659</x:v>
      </x:c>
      <x:c r="B1660" s="128" t="n">
        <x:v>1.798390605315581</x:v>
      </x:c>
      <x:c r="C1660" s="128" t="n">
        <x:f>LN(B1660)</x:f>
        <x:v>0.5868921567909906</x:v>
      </x:c>
      <x:c r="D1660" s="128" t="n">
        <x:f>'Итоги'!$B$8*AVERAGE($C$2:C1660)</x:f>
        <x:v>1.294308563190383</x:v>
      </x:c>
      <x:c r="E1660" s="128" t="n">
        <x:f>'Итоги'!$B$9</x:f>
        <x:v>1.2958368660043291</x:v>
      </x:c>
      <x:c r="F1660" s="129" t="n">
        <x:f>ABS(D1660-E1660)</x:f>
        <x:v>0.0015283028139461141</x:v>
      </x:c>
    </x:row>
    <x:row r="1661">
      <x:c r="A1661" s="107" t="n">
        <x:v>1660</x:v>
      </x:c>
      <x:c r="B1661" s="128" t="n">
        <x:v>1.0702336222193332</x:v>
      </x:c>
      <x:c r="C1661" s="128" t="n">
        <x:f>LN(B1661)</x:f>
        <x:v>0.06787696316416977</x:v>
      </x:c>
      <x:c r="D1661" s="128" t="n">
        <x:f>'Итоги'!$B$8*AVERAGE($C$2:C1661)</x:f>
        <x:v>1.2936106387103457</x:v>
      </x:c>
      <x:c r="E1661" s="128" t="n">
        <x:f>'Итоги'!$B$9</x:f>
        <x:v>1.2958368660043291</x:v>
      </x:c>
      <x:c r="F1661" s="129" t="n">
        <x:f>ABS(D1661-E1661)</x:f>
        <x:v>0.0022262272939834737</x:v>
      </x:c>
    </x:row>
    <x:row r="1662">
      <x:c r="A1662" s="107" t="n">
        <x:v>1661</x:v>
      </x:c>
      <x:c r="B1662" s="128" t="n">
        <x:v>1.3238831404992624</x:v>
      </x:c>
      <x:c r="C1662" s="128" t="n">
        <x:f>LN(B1662)</x:f>
        <x:v>0.2805691911566633</x:v>
      </x:c>
      <x:c r="D1662" s="128" t="n">
        <x:f>'Итоги'!$B$8*AVERAGE($C$2:C1662)</x:f>
        <x:v>1.2931696560153445</x:v>
      </x:c>
      <x:c r="E1662" s="128" t="n">
        <x:f>'Итоги'!$B$9</x:f>
        <x:v>1.2958368660043291</x:v>
      </x:c>
      <x:c r="F1662" s="129" t="n">
        <x:f>ABS(D1662-E1662)</x:f>
        <x:v>0.00266720998898462</x:v>
      </x:c>
    </x:row>
    <x:row r="1663">
      <x:c r="A1663" s="107" t="n">
        <x:v>1662</x:v>
      </x:c>
      <x:c r="B1663" s="128" t="n">
        <x:v>2.27850068071234</x:v>
      </x:c>
      <x:c r="C1663" s="128" t="n">
        <x:f>LN(B1663)</x:f>
        <x:v>0.8235176304763485</x:v>
      </x:c>
      <x:c r="D1663" s="128" t="n">
        <x:f>'Итоги'!$B$8*AVERAGE($C$2:C1663)</x:f>
        <x:v>1.293382571541781</x:v>
      </x:c>
      <x:c r="E1663" s="128" t="n">
        <x:f>'Итоги'!$B$9</x:f>
        <x:v>1.2958368660043291</x:v>
      </x:c>
      <x:c r="F1663" s="129" t="n">
        <x:f>ABS(D1663-E1663)</x:f>
        <x:v>0.002454294462548079</x:v>
      </x:c>
    </x:row>
    <x:row r="1664">
      <x:c r="A1664" s="107" t="n">
        <x:v>1663</x:v>
      </x:c>
      <x:c r="B1664" s="128" t="n">
        <x:v>2.565810548343448</x:v>
      </x:c>
      <x:c r="C1664" s="128" t="n">
        <x:f>LN(B1664)</x:f>
        <x:v>0.9422744319570272</x:v>
      </x:c>
      <x:c r="D1664" s="128" t="n">
        <x:f>'Итоги'!$B$8*AVERAGE($C$2:C1664)</x:f>
        <x:v>1.2937380533772422</x:v>
      </x:c>
      <x:c r="E1664" s="128" t="n">
        <x:f>'Итоги'!$B$9</x:f>
        <x:v>1.2958368660043291</x:v>
      </x:c>
      <x:c r="F1664" s="129" t="n">
        <x:f>ABS(D1664-E1664)</x:f>
        <x:v>0.002098812627086888</x:v>
      </x:c>
    </x:row>
    <x:row r="1665">
      <x:c r="A1665" s="107" t="n">
        <x:v>1664</x:v>
      </x:c>
      <x:c r="B1665" s="128" t="n">
        <x:v>1.4218687769774259</x:v>
      </x:c>
      <x:c r="C1665" s="128" t="n">
        <x:f>LN(B1665)</x:f>
        <x:v>0.3519720465163398</x:v>
      </x:c>
      <x:c r="D1665" s="128" t="n">
        <x:f>'Итоги'!$B$8*AVERAGE($C$2:C1665)</x:f>
        <x:v>1.2933836098914582</x:v>
      </x:c>
      <x:c r="E1665" s="128" t="n">
        <x:f>'Итоги'!$B$9</x:f>
        <x:v>1.2958368660043291</x:v>
      </x:c>
      <x:c r="F1665" s="129" t="n">
        <x:f>ABS(D1665-E1665)</x:f>
        <x:v>0.0024532561128709496</x:v>
      </x:c>
    </x:row>
    <x:row r="1666">
      <x:c r="A1666" s="107" t="n">
        <x:v>1665</x:v>
      </x:c>
      <x:c r="B1666" s="128" t="n">
        <x:v>2.834791178532284</x:v>
      </x:c>
      <x:c r="C1666" s="128" t="n">
        <x:f>LN(B1666)</x:f>
        <x:v>1.0419682761007674</x:v>
      </x:c>
      <x:c r="D1666" s="128" t="n">
        <x:f>'Итоги'!$B$8*AVERAGE($C$2:C1666)</x:f>
        <x:v>1.2938584164634161</x:v>
      </x:c>
      <x:c r="E1666" s="128" t="n">
        <x:f>'Итоги'!$B$9</x:f>
        <x:v>1.2958368660043291</x:v>
      </x:c>
      <x:c r="F1666" s="129" t="n">
        <x:f>ABS(D1666-E1666)</x:f>
        <x:v>0.0019784495409129743</x:v>
      </x:c>
    </x:row>
    <x:row r="1667">
      <x:c r="A1667" s="107" t="n">
        <x:v>1666</x:v>
      </x:c>
      <x:c r="B1667" s="128" t="n">
        <x:v>2.701994240104329</x:v>
      </x:c>
      <x:c r="C1667" s="128" t="n">
        <x:f>LN(B1667)</x:f>
        <x:v>0.9939901078200907</x:v>
      </x:c>
      <x:c r="D1667" s="128" t="n">
        <x:f>'Итоги'!$B$8*AVERAGE($C$2:C1667)</x:f>
        <x:v>1.2942750561988163</x:v>
      </x:c>
      <x:c r="E1667" s="128" t="n">
        <x:f>'Итоги'!$B$9</x:f>
        <x:v>1.2958368660043291</x:v>
      </x:c>
      <x:c r="F1667" s="129" t="n">
        <x:f>ABS(D1667-E1667)</x:f>
        <x:v>0.0015618098055127927</x:v>
      </x:c>
    </x:row>
    <x:row r="1668">
      <x:c r="A1668" s="107" t="n">
        <x:v>1667</x:v>
      </x:c>
      <x:c r="B1668" s="128" t="n">
        <x:v>2.6967615081221616</x:v>
      </x:c>
      <x:c r="C1668" s="128" t="n">
        <x:f>LN(B1668)</x:f>
        <x:v>0.9920516116684535</x:v>
      </x:c>
      <x:c r="D1668" s="128" t="n">
        <x:f>'Итоги'!$B$8*AVERAGE($C$2:C1668)</x:f>
        <x:v>1.294688870336272</x:v>
      </x:c>
      <x:c r="E1668" s="128" t="n">
        <x:f>'Итоги'!$B$9</x:f>
        <x:v>1.2958368660043291</x:v>
      </x:c>
      <x:c r="F1668" s="129" t="n">
        <x:f>ABS(D1668-E1668)</x:f>
        <x:v>0.0011479956680571224</x:v>
      </x:c>
    </x:row>
    <x:row r="1669">
      <x:c r="A1669" s="107" t="n">
        <x:v>1668</x:v>
      </x:c>
      <x:c r="B1669" s="128" t="n">
        <x:v>1.4553222935984282</x:v>
      </x:c>
      <x:c r="C1669" s="128" t="n">
        <x:f>LN(B1669)</x:f>
        <x:v>0.37522738372204917</x:v>
      </x:c>
      <x:c r="D1669" s="128" t="n">
        <x:f>'Итоги'!$B$8*AVERAGE($C$2:C1669)</x:f>
        <x:v>1.294362590898087</x:v>
      </x:c>
      <x:c r="E1669" s="128" t="n">
        <x:f>'Итоги'!$B$9</x:f>
        <x:v>1.2958368660043291</x:v>
      </x:c>
      <x:c r="F1669" s="129" t="n">
        <x:f>ABS(D1669-E1669)</x:f>
        <x:v>0.0014742751062422066</x:v>
      </x:c>
    </x:row>
    <x:row r="1670">
      <x:c r="A1670" s="107" t="n">
        <x:v>1669</x:v>
      </x:c>
      <x:c r="B1670" s="128" t="n">
        <x:v>1.1010719773001154</x:v>
      </x:c>
      <x:c r="C1670" s="128" t="n">
        <x:f>LN(B1670)</x:f>
        <x:v>0.09628423008157719</x:v>
      </x:c>
      <x:c r="D1670" s="128" t="n">
        <x:f>'Итоги'!$B$8*AVERAGE($C$2:C1670)</x:f>
        <x:v>1.2937024386328175</x:v>
      </x:c>
      <x:c r="E1670" s="128" t="n">
        <x:f>'Итоги'!$B$9</x:f>
        <x:v>1.2958368660043291</x:v>
      </x:c>
      <x:c r="F1670" s="129" t="n">
        <x:f>ABS(D1670-E1670)</x:f>
        <x:v>0.0021344273715115936</x:v>
      </x:c>
    </x:row>
    <x:row r="1671">
      <x:c r="A1671" s="107" t="n">
        <x:v>1670</x:v>
      </x:c>
      <x:c r="B1671" s="128" t="n">
        <x:v>2.734847078965167</x:v>
      </x:c>
      <x:c r="C1671" s="128" t="n">
        <x:f>LN(B1671)</x:f>
        <x:v>1.0060755216837798</x:v>
      </x:c>
      <x:c r="D1671" s="128" t="n">
        <x:f>'Итоги'!$B$8*AVERAGE($C$2:C1671)</x:f>
        <x:v>1.2941326473781676</x:v>
      </x:c>
      <x:c r="E1671" s="128" t="n">
        <x:f>'Итоги'!$B$9</x:f>
        <x:v>1.2958368660043291</x:v>
      </x:c>
      <x:c r="F1671" s="129" t="n">
        <x:f>ABS(D1671-E1671)</x:f>
        <x:v>0.0017042186261615466</x:v>
      </x:c>
    </x:row>
    <x:row r="1672">
      <x:c r="A1672" s="107" t="n">
        <x:v>1671</x:v>
      </x:c>
      <x:c r="B1672" s="128" t="n">
        <x:v>1.6116004574771348</x:v>
      </x:c>
      <x:c r="C1672" s="128" t="n">
        <x:f>LN(B1672)</x:f>
        <x:v>0.47722775820020147</x:v>
      </x:c>
      <x:c r="D1672" s="128" t="n">
        <x:f>'Итоги'!$B$8*AVERAGE($C$2:C1672)</x:f>
        <x:v>1.2939293696217475</x:v>
      </x:c>
      <x:c r="E1672" s="128" t="n">
        <x:f>'Итоги'!$B$9</x:f>
        <x:v>1.2958368660043291</x:v>
      </x:c>
      <x:c r="F1672" s="129" t="n">
        <x:f>ABS(D1672-E1672)</x:f>
        <x:v>0.001907496382581586</x:v>
      </x:c>
    </x:row>
    <x:row r="1673">
      <x:c r="A1673" s="107" t="n">
        <x:v>1672</x:v>
      </x:c>
      <x:c r="B1673" s="128" t="n">
        <x:v>2.2378327623470518</x:v>
      </x:c>
      <x:c r="C1673" s="128" t="n">
        <x:f>LN(B1673)</x:f>
        <x:v>0.8055078807110952</x:v>
      </x:c>
      <x:c r="D1673" s="128" t="n">
        <x:f>'Итоги'!$B$8*AVERAGE($C$2:C1673)</x:f>
        <x:v>1.29411901459292</x:v>
      </x:c>
      <x:c r="E1673" s="128" t="n">
        <x:f>'Итоги'!$B$9</x:f>
        <x:v>1.2958368660043291</x:v>
      </x:c>
      <x:c r="F1673" s="129" t="n">
        <x:f>ABS(D1673-E1673)</x:f>
        <x:v>0.0017178514114091215</x:v>
      </x:c>
    </x:row>
    <x:row r="1674">
      <x:c r="A1674" s="107" t="n">
        <x:v>1673</x:v>
      </x:c>
      <x:c r="B1674" s="128" t="n">
        <x:v>2.51993376740146</x:v>
      </x:c>
      <x:c r="C1674" s="128" t="n">
        <x:f>LN(B1674)</x:f>
        <x:v>0.9242326184007353</x:v>
      </x:c>
      <x:c r="D1674" s="128" t="n">
        <x:f>'Итоги'!$B$8*AVERAGE($C$2:C1674)</x:f>
        <x:v>1.2944503632015323</x:v>
      </x:c>
      <x:c r="E1674" s="128" t="n">
        <x:f>'Итоги'!$B$9</x:f>
        <x:v>1.2958368660043291</x:v>
      </x:c>
      <x:c r="F1674" s="129" t="n">
        <x:f>ABS(D1674-E1674)</x:f>
        <x:v>0.0013865028027968407</x:v>
      </x:c>
    </x:row>
    <x:row r="1675">
      <x:c r="A1675" s="107" t="n">
        <x:v>1674</x:v>
      </x:c>
      <x:c r="B1675" s="128" t="n">
        <x:v>1.2565865170222403</x:v>
      </x:c>
      <x:c r="C1675" s="128" t="n">
        <x:f>LN(B1675)</x:f>
        <x:v>0.22839893119990828</x:v>
      </x:c>
      <x:c r="D1675" s="128" t="n">
        <x:f>'Итоги'!$B$8*AVERAGE($C$2:C1675)</x:f>
        <x:v>1.2939499734161073</x:v>
      </x:c>
      <x:c r="E1675" s="128" t="n">
        <x:f>'Итоги'!$B$9</x:f>
        <x:v>1.2958368660043291</x:v>
      </x:c>
      <x:c r="F1675" s="129" t="n">
        <x:f>ABS(D1675-E1675)</x:f>
        <x:v>0.0018868925882218335</x:v>
      </x:c>
    </x:row>
    <x:row r="1676">
      <x:c r="A1676" s="107" t="n">
        <x:v>1675</x:v>
      </x:c>
      <x:c r="B1676" s="128" t="n">
        <x:v>2.561676709038096</x:v>
      </x:c>
      <x:c r="C1676" s="128" t="n">
        <x:f>LN(B1676)</x:f>
        <x:v>0.9406620085638594</x:v>
      </x:c>
      <x:c r="D1676" s="128" t="n">
        <x:f>'Итоги'!$B$8*AVERAGE($C$2:C1676)</x:f>
        <x:v>1.2943006444869798</x:v>
      </x:c>
      <x:c r="E1676" s="128" t="n">
        <x:f>'Итоги'!$B$9</x:f>
        <x:v>1.2958368660043291</x:v>
      </x:c>
      <x:c r="F1676" s="129" t="n">
        <x:f>ABS(D1676-E1676)</x:f>
        <x:v>0.0015362215173493343</x:v>
      </x:c>
    </x:row>
    <x:row r="1677">
      <x:c r="A1677" s="107" t="n">
        <x:v>1676</x:v>
      </x:c>
      <x:c r="B1677" s="128" t="n">
        <x:v>2.8770229179221314</x:v>
      </x:c>
      <x:c r="C1677" s="128" t="n">
        <x:f>LN(B1677)</x:f>
        <x:v>1.056756050447357</x:v>
      </x:c>
      <x:c r="D1677" s="128" t="n">
        <x:f>'Итоги'!$B$8*AVERAGE($C$2:C1677)</x:f>
        <x:v>1.2947894341387745</x:v>
      </x:c>
      <x:c r="E1677" s="128" t="n">
        <x:f>'Итоги'!$B$9</x:f>
        <x:v>1.2958368660043291</x:v>
      </x:c>
      <x:c r="F1677" s="129" t="n">
        <x:f>ABS(D1677-E1677)</x:f>
        <x:v>0.001047431865554671</x:v>
      </x:c>
    </x:row>
    <x:row r="1678">
      <x:c r="A1678" s="107" t="n">
        <x:v>1677</x:v>
      </x:c>
      <x:c r="B1678" s="128" t="n">
        <x:v>2.4567499314928183</x:v>
      </x:c>
      <x:c r="C1678" s="128" t="n">
        <x:f>LN(B1678)</x:f>
        <x:v>0.8988393103751107</x:v>
      </x:c>
      <x:c r="D1678" s="128" t="n">
        <x:f>'Итоги'!$B$8*AVERAGE($C$2:C1678)</x:f>
        <x:v>1.2950893084301347</x:v>
      </x:c>
      <x:c r="E1678" s="128" t="n">
        <x:f>'Итоги'!$B$9</x:f>
        <x:v>1.2958368660043291</x:v>
      </x:c>
      <x:c r="F1678" s="129" t="n">
        <x:f>ABS(D1678-E1678)</x:f>
        <x:v>0.000747557574194424</x:v>
      </x:c>
    </x:row>
    <x:row r="1679">
      <x:c r="A1679" s="107" t="n">
        <x:v>1678</x:v>
      </x:c>
      <x:c r="B1679" s="128" t="n">
        <x:v>1.8824454969611162</x:v>
      </x:c>
      <x:c r="C1679" s="128" t="n">
        <x:f>LN(B1679)</x:f>
        <x:v>0.6325717277952858</x:v>
      </x:c>
      <x:c r="D1679" s="128" t="n">
        <x:f>'Итоги'!$B$8*AVERAGE($C$2:C1679)</x:f>
        <x:v>1.2950714622723043</x:v>
      </x:c>
      <x:c r="E1679" s="128" t="n">
        <x:f>'Итоги'!$B$9</x:f>
        <x:v>1.2958368660043291</x:v>
      </x:c>
      <x:c r="F1679" s="129" t="n">
        <x:f>ABS(D1679-E1679)</x:f>
        <x:v>0.0007654037320248275</x:v>
      </x:c>
    </x:row>
    <x:row r="1680">
      <x:c r="A1680" s="107" t="n">
        <x:v>1679</x:v>
      </x:c>
      <x:c r="B1680" s="128" t="n">
        <x:v>2.7533562775034057</x:v>
      </x:c>
      <x:c r="C1680" s="128" t="n">
        <x:f>LN(B1680)</x:f>
        <x:v>1.0128206320637383</x:v>
      </x:c>
      <x:c r="D1680" s="128" t="n">
        <x:f>'Итоги'!$B$8*AVERAGE($C$2:C1680)</x:f>
        <x:v>1.2955065842507767</x:v>
      </x:c>
      <x:c r="E1680" s="128" t="n">
        <x:f>'Итоги'!$B$9</x:f>
        <x:v>1.2958368660043291</x:v>
      </x:c>
      <x:c r="F1680" s="129" t="n">
        <x:f>ABS(D1680-E1680)</x:f>
        <x:v>0.0003302817535524305</x:v>
      </x:c>
    </x:row>
    <x:row r="1681">
      <x:c r="A1681" s="107" t="n">
        <x:v>1680</x:v>
      </x:c>
      <x:c r="B1681" s="128" t="n">
        <x:v>2.054915260145118</x:v>
      </x:c>
      <x:c r="C1681" s="128" t="n">
        <x:f>LN(B1681)</x:f>
        <x:v>0.720234611158858</x:v>
      </x:c>
      <x:c r="D1681" s="128" t="n">
        <x:f>'Итоги'!$B$8*AVERAGE($C$2:C1681)</x:f>
        <x:v>1.2955928715353404</x:v>
      </x:c>
      <x:c r="E1681" s="128" t="n">
        <x:f>'Итоги'!$B$9</x:f>
        <x:v>1.2958368660043291</x:v>
      </x:c>
      <x:c r="F1681" s="129" t="n">
        <x:f>ABS(D1681-E1681)</x:f>
        <x:v>0.00024399446898870636</x:v>
      </x:c>
    </x:row>
    <x:row r="1682">
      <x:c r="A1682" s="107" t="n">
        <x:v>1681</x:v>
      </x:c>
      <x:c r="B1682" s="128" t="n">
        <x:v>2.489541855633508</x:v>
      </x:c>
      <x:c r="C1682" s="128" t="n">
        <x:f>LN(B1682)</x:f>
        <x:v>0.9120986998262122</x:v>
      </x:c>
      <x:c r="D1682" s="128" t="n">
        <x:f>'Итоги'!$B$8*AVERAGE($C$2:C1682)</x:f>
        <x:v>1.2959073299101869</x:v>
      </x:c>
      <x:c r="E1682" s="128" t="n">
        <x:f>'Итоги'!$B$9</x:f>
        <x:v>1.2958368660043291</x:v>
      </x:c>
      <x:c r="F1682" s="129" t="n">
        <x:f>ABS(D1682-E1682)</x:f>
        <x:v>0.00007046390585774276</x:v>
      </x:c>
    </x:row>
    <x:row r="1683">
      <x:c r="A1683" s="107" t="n">
        <x:v>1682</x:v>
      </x:c>
      <x:c r="B1683" s="128" t="n">
        <x:v>2.641011887717208</x:v>
      </x:c>
      <x:c r="C1683" s="128" t="n">
        <x:f>LN(B1683)</x:f>
        <x:v>0.9711621345230427</x:v>
      </x:c>
      <x:c r="D1683" s="128" t="n">
        <x:f>'Итоги'!$B$8*AVERAGE($C$2:C1683)</x:f>
        <x:v>1.296291644380541</x:v>
      </x:c>
      <x:c r="E1683" s="128" t="n">
        <x:f>'Итоги'!$B$9</x:f>
        <x:v>1.2958368660043291</x:v>
      </x:c>
      <x:c r="F1683" s="129" t="n">
        <x:f>ABS(D1683-E1683)</x:f>
        <x:v>0.000454778376211884</x:v>
      </x:c>
    </x:row>
    <x:row r="1684">
      <x:c r="A1684" s="107" t="n">
        <x:v>1683</x:v>
      </x:c>
      <x:c r="B1684" s="128" t="n">
        <x:v>2.498705723398012</x:v>
      </x:c>
      <x:c r="C1684" s="128" t="n">
        <x:f>LN(B1684)</x:f>
        <x:v>0.9157728871749351</x:v>
      </x:c>
      <x:c r="D1684" s="128" t="n">
        <x:f>'Итоги'!$B$8*AVERAGE($C$2:C1684)</x:f>
        <x:v>1.2966096801083897</x:v>
      </x:c>
      <x:c r="E1684" s="128" t="n">
        <x:f>'Итоги'!$B$9</x:f>
        <x:v>1.2958368660043291</x:v>
      </x:c>
      <x:c r="F1684" s="129" t="n">
        <x:f>ABS(D1684-E1684)</x:f>
        <x:v>0.000772814104060604</x:v>
      </x:c>
    </x:row>
    <x:row r="1685">
      <x:c r="A1685" s="107" t="n">
        <x:v>1684</x:v>
      </x:c>
      <x:c r="B1685" s="128" t="n">
        <x:v>1.575709752096308</x:v>
      </x:c>
      <x:c r="C1685" s="128" t="n">
        <x:f>LN(B1685)</x:f>
        <x:v>0.4547058070231985</x:v>
      </x:c>
      <x:c r="D1685" s="128" t="n">
        <x:f>'Итоги'!$B$8*AVERAGE($C$2:C1685)</x:f>
        <x:v>1.2963797525157164</x:v>
      </x:c>
      <x:c r="E1685" s="128" t="n">
        <x:f>'Итоги'!$B$9</x:f>
        <x:v>1.2958368660043291</x:v>
      </x:c>
      <x:c r="F1685" s="129" t="n">
        <x:f>ABS(D1685-E1685)</x:f>
        <x:v>0.0005428865113872305</x:v>
      </x:c>
    </x:row>
    <x:row r="1686">
      <x:c r="A1686" s="107" t="n">
        <x:v>1685</x:v>
      </x:c>
      <x:c r="B1686" s="128" t="n">
        <x:v>1.2356878018116622</x:v>
      </x:c>
      <x:c r="C1686" s="128" t="n">
        <x:f>LN(B1686)</x:f>
        <x:v>0.21162773959887818</x:v>
      </x:c>
      <x:c r="D1686" s="128" t="n">
        <x:f>'Итоги'!$B$8*AVERAGE($C$2:C1686)</x:f>
        <x:v>1.2958615778727978</x:v>
      </x:c>
      <x:c r="E1686" s="128" t="n">
        <x:f>'Итоги'!$B$9</x:f>
        <x:v>1.2958368660043291</x:v>
      </x:c>
      <x:c r="F1686" s="129" t="n">
        <x:f>ABS(D1686-E1686)</x:f>
        <x:v>0.00002471186846864093</x:v>
      </x:c>
    </x:row>
    <x:row r="1687">
      <x:c r="A1687" s="107" t="n">
        <x:v>1686</x:v>
      </x:c>
      <x:c r="B1687" s="128" t="n">
        <x:v>1.4766770587241203</x:v>
      </x:c>
      <x:c r="C1687" s="128" t="n">
        <x:f>LN(B1687)</x:f>
        <x:v>0.3897943328748623</x:v>
      </x:c>
      <x:c r="D1687" s="128" t="n">
        <x:f>'Итоги'!$B$8*AVERAGE($C$2:C1687)</x:f>
        <x:v>1.295555366181147</x:v>
      </x:c>
      <x:c r="E1687" s="128" t="n">
        <x:f>'Итоги'!$B$9</x:f>
        <x:v>1.2958368660043291</x:v>
      </x:c>
      <x:c r="F1687" s="129" t="n">
        <x:f>ABS(D1687-E1687)</x:f>
        <x:v>0.00028149982318215194</x:v>
      </x:c>
    </x:row>
    <x:row r="1688">
      <x:c r="A1688" s="107" t="n">
        <x:v>1687</x:v>
      </x:c>
      <x:c r="B1688" s="128" t="n">
        <x:v>2.0057498739607063</x:v>
      </x:c>
      <x:c r="C1688" s="128" t="n">
        <x:f>LN(B1688)</x:f>
        <x:v>0.6960179928126415</x:v>
      </x:c>
      <x:c r="D1688" s="128" t="n">
        <x:f>'Итоги'!$B$8*AVERAGE($C$2:C1688)</x:f>
        <x:v>1.2956125568269348</x:v>
      </x:c>
      <x:c r="E1688" s="128" t="n">
        <x:f>'Итоги'!$B$9</x:f>
        <x:v>1.2958368660043291</x:v>
      </x:c>
      <x:c r="F1688" s="129" t="n">
        <x:f>ABS(D1688-E1688)</x:f>
        <x:v>0.00022430917739435507</x:v>
      </x:c>
    </x:row>
    <x:row r="1689">
      <x:c r="A1689" s="107" t="n">
        <x:v>1688</x:v>
      </x:c>
      <x:c r="B1689" s="128" t="n">
        <x:v>2.010553844586192</x:v>
      </x:c>
      <x:c r="C1689" s="128" t="n">
        <x:f>LN(B1689)</x:f>
        <x:v>0.6984102286857962</x:v>
      </x:c>
      <x:c r="D1689" s="128" t="n">
        <x:f>'Итоги'!$B$8*AVERAGE($C$2:C1689)</x:f>
        <x:v>1.2956725141139873</x:v>
      </x:c>
      <x:c r="E1689" s="128" t="n">
        <x:f>'Итоги'!$B$9</x:f>
        <x:v>1.2958368660043291</x:v>
      </x:c>
      <x:c r="F1689" s="129" t="n">
        <x:f>ABS(D1689-E1689)</x:f>
        <x:v>0.0001643518903418073</x:v>
      </x:c>
    </x:row>
    <x:row r="1690">
      <x:c r="A1690" s="107" t="n">
        <x:v>1689</x:v>
      </x:c>
      <x:c r="B1690" s="128" t="n">
        <x:v>2.165288698629075</x:v>
      </x:c>
      <x:c r="C1690" s="128" t="n">
        <x:f>LN(B1690)</x:f>
        <x:v>0.7725537006609564</x:v>
      </x:c>
      <x:c r="D1690" s="128" t="n">
        <x:f>'Итоги'!$B$8*AVERAGE($C$2:C1690)</x:f>
        <x:v>1.2958201961075975</x:v>
      </x:c>
      <x:c r="E1690" s="128" t="n">
        <x:f>'Итоги'!$B$9</x:f>
        <x:v>1.2958368660043291</x:v>
      </x:c>
      <x:c r="F1690" s="129" t="n">
        <x:f>ABS(D1690-E1690)</x:f>
        <x:v>0.000016669896731658085</x:v>
      </x:c>
    </x:row>
    <x:row r="1691">
      <x:c r="A1691" s="107" t="n">
        <x:v>1690</x:v>
      </x:c>
      <x:c r="B1691" s="128" t="n">
        <x:v>1.7902036750957817</x:v>
      </x:c>
      <x:c r="C1691" s="128" t="n">
        <x:f>LN(B1691)</x:f>
        <x:v>0.5823293983493555</x:v>
      </x:c>
      <x:c r="D1691" s="128" t="n">
        <x:f>'Итоги'!$B$8*AVERAGE($C$2:C1691)</x:f>
        <x:v>1.2957425858120895</x:v>
      </x:c>
      <x:c r="E1691" s="128" t="n">
        <x:f>'Итоги'!$B$9</x:f>
        <x:v>1.2958368660043291</x:v>
      </x:c>
      <x:c r="F1691" s="129" t="n">
        <x:f>ABS(D1691-E1691)</x:f>
        <x:v>0.00009428019223967077</x:v>
      </x:c>
    </x:row>
    <x:row r="1692">
      <x:c r="A1692" s="107" t="n">
        <x:v>1691</x:v>
      </x:c>
      <x:c r="B1692" s="128" t="n">
        <x:v>2.5737827629000556</x:v>
      </x:c>
      <x:c r="C1692" s="128" t="n">
        <x:f>LN(B1692)</x:f>
        <x:v>0.9453767089146081</x:v>
      </x:c>
      <x:c r="D1692" s="128" t="n">
        <x:f>'Итоги'!$B$8*AVERAGE($C$2:C1692)</x:f>
        <x:v>1.2960944550208517</x:v>
      </x:c>
      <x:c r="E1692" s="128" t="n">
        <x:f>'Итоги'!$B$9</x:f>
        <x:v>1.2958368660043291</x:v>
      </x:c>
      <x:c r="F1692" s="129" t="n">
        <x:f>ABS(D1692-E1692)</x:f>
        <x:v>0.0002575890165226191</x:v>
      </x:c>
    </x:row>
    <x:row r="1693">
      <x:c r="A1693" s="107" t="n">
        <x:v>1692</x:v>
      </x:c>
      <x:c r="B1693" s="128" t="n">
        <x:v>2.8263075006944156</x:v>
      </x:c>
      <x:c r="C1693" s="128" t="n">
        <x:f>LN(B1693)</x:f>
        <x:v>1.0389710896288806</x:v>
      </x:c>
      <x:c r="D1693" s="128" t="n">
        <x:f>'Итоги'!$B$8*AVERAGE($C$2:C1693)</x:f>
        <x:v>1.296556539964254</x:v>
      </x:c>
      <x:c r="E1693" s="128" t="n">
        <x:f>'Итоги'!$B$9</x:f>
        <x:v>1.2958368660043291</x:v>
      </x:c>
      <x:c r="F1693" s="129" t="n">
        <x:f>ABS(D1693-E1693)</x:f>
        <x:v>0.0007196739599248936</x:v>
      </x:c>
    </x:row>
    <x:row r="1694">
      <x:c r="A1694" s="107" t="n">
        <x:v>1693</x:v>
      </x:c>
      <x:c r="B1694" s="128" t="n">
        <x:v>1.4934501069589425</x:v>
      </x:c>
      <x:c r="C1694" s="128" t="n">
        <x:f>LN(B1694)</x:f>
        <x:v>0.40108895132587935</x:v>
      </x:c>
      <x:c r="D1694" s="128" t="n">
        <x:f>'Итоги'!$B$8*AVERAGE($C$2:C1694)</x:f>
        <x:v>1.2962645265931303</x:v>
      </x:c>
      <x:c r="E1694" s="128" t="n">
        <x:f>'Итоги'!$B$9</x:f>
        <x:v>1.2958368660043291</x:v>
      </x:c>
      <x:c r="F1694" s="129" t="n">
        <x:f>ABS(D1694-E1694)</x:f>
        <x:v>0.00042766058880117086</x:v>
      </x:c>
    </x:row>
    <x:row r="1695">
      <x:c r="A1695" s="107" t="n">
        <x:v>1694</x:v>
      </x:c>
      <x:c r="B1695" s="128" t="n">
        <x:v>2.473046435403776</x:v>
      </x:c>
      <x:c r="C1695" s="128" t="n">
        <x:f>LN(B1695)</x:f>
        <x:v>0.905450765315593</x:v>
      </x:c>
      <x:c r="D1695" s="128" t="n">
        <x:f>'Итоги'!$B$8*AVERAGE($C$2:C1695)</x:f>
        <x:v>1.2965683264774504</x:v>
      </x:c>
      <x:c r="E1695" s="128" t="n">
        <x:f>'Итоги'!$B$9</x:f>
        <x:v>1.2958368660043291</x:v>
      </x:c>
      <x:c r="F1695" s="129" t="n">
        <x:f>ABS(D1695-E1695)</x:f>
        <x:v>0.000731460473121226</x:v>
      </x:c>
    </x:row>
    <x:row r="1696">
      <x:c r="A1696" s="107" t="n">
        <x:v>1695</x:v>
      </x:c>
      <x:c r="B1696" s="128" t="n">
        <x:v>2.3559437050900893</x:v>
      </x:c>
      <x:c r="C1696" s="128" t="n">
        <x:f>LN(B1696)</x:f>
        <x:v>0.8569413712297119</x:v>
      </x:c>
      <x:c r="D1696" s="128" t="n">
        <x:f>'Итоги'!$B$8*AVERAGE($C$2:C1696)</x:f>
        <x:v>1.29681452967272</x:v>
      </x:c>
      <x:c r="E1696" s="128" t="n">
        <x:f>'Итоги'!$B$9</x:f>
        <x:v>1.2958368660043291</x:v>
      </x:c>
      <x:c r="F1696" s="129" t="n">
        <x:f>ABS(D1696-E1696)</x:f>
        <x:v>0.0009776636683909157</x:v>
      </x:c>
    </x:row>
    <x:row r="1697">
      <x:c r="A1697" s="107" t="n">
        <x:v>1696</x:v>
      </x:c>
      <x:c r="B1697" s="128" t="n">
        <x:v>2.04618099855863</x:v>
      </x:c>
      <x:c r="C1697" s="128" t="n">
        <x:f>LN(B1697)</x:f>
        <x:v>0.7159751282103342</x:v>
      </x:c>
      <x:c r="D1697" s="128" t="n">
        <x:f>'Итоги'!$B$8*AVERAGE($C$2:C1697)</x:f>
        <x:v>1.2968942087568875</x:v>
      </x:c>
      <x:c r="E1697" s="128" t="n">
        <x:f>'Итоги'!$B$9</x:f>
        <x:v>1.2958368660043291</x:v>
      </x:c>
      <x:c r="F1697" s="129" t="n">
        <x:f>ABS(D1697-E1697)</x:f>
        <x:v>0.0010573427525584211</x:v>
      </x:c>
    </x:row>
    <x:row r="1698">
      <x:c r="A1698" s="107" t="n">
        <x:v>1697</x:v>
      </x:c>
      <x:c r="B1698" s="128" t="n">
        <x:v>1.3770604677483205</x:v>
      </x:c>
      <x:c r="C1698" s="128" t="n">
        <x:f>LN(B1698)</x:f>
        <x:v>0.31995113145364135</x:v>
      </x:c>
      <x:c r="D1698" s="128" t="n">
        <x:f>'Итоги'!$B$8*AVERAGE($C$2:C1698)</x:f>
        <x:v>1.2965070597021735</x:v>
      </x:c>
      <x:c r="E1698" s="128" t="n">
        <x:f>'Итоги'!$B$9</x:f>
        <x:v>1.2958368660043291</x:v>
      </x:c>
      <x:c r="F1698" s="129" t="n">
        <x:f>ABS(D1698-E1698)</x:f>
        <x:v>0.000670193697844379</x:v>
      </x:c>
    </x:row>
    <x:row r="1699">
      <x:c r="A1699" s="107" t="n">
        <x:v>1698</x:v>
      </x:c>
      <x:c r="B1699" s="128" t="n">
        <x:v>2.590464517165419</x:v>
      </x:c>
      <x:c r="C1699" s="128" t="n">
        <x:f>LN(B1699)</x:f>
        <x:v>0.9518372098870302</x:v>
      </x:c>
      <x:c r="D1699" s="128" t="n">
        <x:f>'Итоги'!$B$8*AVERAGE($C$2:C1699)</x:f>
        <x:v>1.296864637652746</x:v>
      </x:c>
      <x:c r="E1699" s="128" t="n">
        <x:f>'Итоги'!$B$9</x:f>
        <x:v>1.2958368660043291</x:v>
      </x:c>
      <x:c r="F1699" s="129" t="n">
        <x:f>ABS(D1699-E1699)</x:f>
        <x:v>0.0010277716484168309</x:v>
      </x:c>
    </x:row>
    <x:row r="1700">
      <x:c r="A1700" s="107" t="n">
        <x:v>1699</x:v>
      </x:c>
      <x:c r="B1700" s="128" t="n">
        <x:v>2.921252571257665</x:v>
      </x:c>
      <x:c r="C1700" s="128" t="n">
        <x:f>LN(B1700)</x:f>
        <x:v>1.0720124870614427</x:v>
      </x:c>
      <x:c r="D1700" s="128" t="n">
        <x:f>'Итоги'!$B$8*AVERAGE($C$2:C1700)</x:f>
        <x:v>1.2973632605700325</x:v>
      </x:c>
      <x:c r="E1700" s="128" t="n">
        <x:f>'Итоги'!$B$9</x:f>
        <x:v>1.2958368660043291</x:v>
      </x:c>
      <x:c r="F1700" s="129" t="n">
        <x:f>ABS(D1700-E1700)</x:f>
        <x:v>0.0015263945657033595</x:v>
      </x:c>
    </x:row>
    <x:row r="1701">
      <x:c r="A1701" s="107" t="n">
        <x:v>1700</x:v>
      </x:c>
      <x:c r="B1701" s="128" t="n">
        <x:v>2.443672664467227</x:v>
      </x:c>
      <x:c r="C1701" s="128" t="n">
        <x:f>LN(B1701)</x:f>
        <x:v>0.8935020979969653</x:v>
      </x:c>
      <x:c r="D1701" s="128" t="n">
        <x:f>'Итоги'!$B$8*AVERAGE($C$2:C1701)</x:f>
        <x:v>1.2976512846496937</x:v>
      </x:c>
      <x:c r="E1701" s="128" t="n">
        <x:f>'Итоги'!$B$9</x:f>
        <x:v>1.2958368660043291</x:v>
      </x:c>
      <x:c r="F1701" s="129" t="n">
        <x:f>ABS(D1701-E1701)</x:f>
        <x:v>0.0018144186453645794</x:v>
      </x:c>
    </x:row>
    <x:row r="1702">
      <x:c r="A1702" s="107" t="n">
        <x:v>1701</x:v>
      </x:c>
      <x:c r="B1702" s="128" t="n">
        <x:v>2.835719993251468</x:v>
      </x:c>
      <x:c r="C1702" s="128" t="n">
        <x:f>LN(B1702)</x:f>
        <x:v>1.0422958708093757</x:v>
      </x:c>
      <x:c r="D1702" s="128" t="n">
        <x:f>'Итоги'!$B$8*AVERAGE($C$2:C1702)</x:f>
        <x:v>1.298113918663197</x:v>
      </x:c>
      <x:c r="E1702" s="128" t="n">
        <x:f>'Итоги'!$B$9</x:f>
        <x:v>1.2958368660043291</x:v>
      </x:c>
      <x:c r="F1702" s="129" t="n">
        <x:f>ABS(D1702-E1702)</x:f>
        <x:v>0.0022770526588677953</x:v>
      </x:c>
    </x:row>
    <x:row r="1703">
      <x:c r="A1703" s="107" t="n">
        <x:v>1702</x:v>
      </x:c>
      <x:c r="B1703" s="128" t="n">
        <x:v>2.9683705298959993</x:v>
      </x:c>
      <x:c r="C1703" s="128" t="n">
        <x:f>LN(B1703)</x:f>
        <x:v>1.088013159122233</x:v>
      </x:c>
      <x:c r="D1703" s="128" t="n">
        <x:f>'Итоги'!$B$8*AVERAGE($C$2:C1703)</x:f>
        <x:v>1.2986297308838677</x:v>
      </x:c>
      <x:c r="E1703" s="128" t="n">
        <x:f>'Итоги'!$B$9</x:f>
        <x:v>1.2958368660043291</x:v>
      </x:c>
      <x:c r="F1703" s="129" t="n">
        <x:f>ABS(D1703-E1703)</x:f>
        <x:v>0.002792864879538559</x:v>
      </x:c>
    </x:row>
    <x:row r="1704">
      <x:c r="A1704" s="107" t="n">
        <x:v>1703</x:v>
      </x:c>
      <x:c r="B1704" s="128" t="n">
        <x:v>1.7041013484784764</x:v>
      </x:c>
      <x:c r="C1704" s="128" t="n">
        <x:f>LN(B1704)</x:f>
        <x:v>0.5330379034450664</x:v>
      </x:c>
      <x:c r="D1704" s="128" t="n">
        <x:f>'Итоги'!$B$8*AVERAGE($C$2:C1704)</x:f>
        <x:v>1.2984931754381872</x:v>
      </x:c>
      <x:c r="E1704" s="128" t="n">
        <x:f>'Итоги'!$B$9</x:f>
        <x:v>1.2958368660043291</x:v>
      </x:c>
      <x:c r="F1704" s="129" t="n">
        <x:f>ABS(D1704-E1704)</x:f>
        <x:v>0.002656309433858084</x:v>
      </x:c>
    </x:row>
    <x:row r="1705">
      <x:c r="A1705" s="107" t="n">
        <x:v>1704</x:v>
      </x:c>
      <x:c r="B1705" s="128" t="n">
        <x:v>2.276447105852674</x:v>
      </x:c>
      <x:c r="C1705" s="128" t="n">
        <x:f>LN(B1705)</x:f>
        <x:v>0.8226159406678021</x:v>
      </x:c>
      <x:c r="D1705" s="128" t="n">
        <x:f>'Итоги'!$B$8*AVERAGE($C$2:C1705)</x:f>
        <x:v>1.2986966605942305</x:v>
      </x:c>
      <x:c r="E1705" s="128" t="n">
        <x:f>'Итоги'!$B$9</x:f>
        <x:v>1.2958368660043291</x:v>
      </x:c>
      <x:c r="F1705" s="129" t="n">
        <x:f>ABS(D1705-E1705)</x:f>
        <x:v>0.0028597945899013766</x:v>
      </x:c>
    </x:row>
    <x:row r="1706">
      <x:c r="A1706" s="107" t="n">
        <x:v>1705</x:v>
      </x:c>
      <x:c r="B1706" s="128" t="n">
        <x:v>1.947865475276156</x:v>
      </x:c>
      <x:c r="C1706" s="128" t="n">
        <x:f>LN(B1706)</x:f>
        <x:v>0.6667341449692894</x:v>
      </x:c>
      <x:c r="D1706" s="128" t="n">
        <x:f>'Итоги'!$B$8*AVERAGE($C$2:C1706)</x:f>
        <x:v>1.2987170545117344</x:v>
      </x:c>
      <x:c r="E1706" s="128" t="n">
        <x:f>'Итоги'!$B$9</x:f>
        <x:v>1.2958368660043291</x:v>
      </x:c>
      <x:c r="F1706" s="129" t="n">
        <x:f>ABS(D1706-E1706)</x:f>
        <x:v>0.0028801885074052347</x:v>
      </x:c>
    </x:row>
    <x:row r="1707">
      <x:c r="A1707" s="107" t="n">
        <x:v>1706</x:v>
      </x:c>
      <x:c r="B1707" s="128" t="n">
        <x:v>2.97325749372646</x:v>
      </x:c>
      <x:c r="C1707" s="128" t="n">
        <x:f>LN(B1707)</x:f>
        <x:v>1.0896581510042698</x:v>
      </x:c>
      <x:c r="D1707" s="128" t="n">
        <x:f>'Итоги'!$B$8*AVERAGE($C$2:C1707)</x:f>
        <x:v>1.2992332322652496</x:v>
      </x:c>
      <x:c r="E1707" s="128" t="n">
        <x:f>'Итоги'!$B$9</x:f>
        <x:v>1.2958368660043291</x:v>
      </x:c>
      <x:c r="F1707" s="129" t="n">
        <x:f>ABS(D1707-E1707)</x:f>
        <x:v>0.003396366260920436</x:v>
      </x:c>
    </x:row>
    <x:row r="1708">
      <x:c r="A1708" s="107" t="n">
        <x:v>1707</x:v>
      </x:c>
      <x:c r="B1708" s="128" t="n">
        <x:v>1.1876156480154498</x:v>
      </x:c>
      <x:c r="C1708" s="128" t="n">
        <x:f>LN(B1708)</x:f>
        <x:v>0.17194763998725912</x:v>
      </x:c>
      <x:c r="D1708" s="128" t="n">
        <x:f>'Итоги'!$B$8*AVERAGE($C$2:C1708)</x:f>
        <x:v>1.298673573242232</x:v>
      </x:c>
      <x:c r="E1708" s="128" t="n">
        <x:f>'Итоги'!$B$9</x:f>
        <x:v>1.2958368660043291</x:v>
      </x:c>
      <x:c r="F1708" s="129" t="n">
        <x:f>ABS(D1708-E1708)</x:f>
        <x:v>0.002836707237902969</x:v>
      </x:c>
    </x:row>
    <x:row r="1709">
      <x:c r="A1709" s="107" t="n">
        <x:v>1708</x:v>
      </x:c>
      <x:c r="B1709" s="128" t="n">
        <x:v>1.8247498285944492</x:v>
      </x:c>
      <x:c r="C1709" s="128" t="n">
        <x:f>LN(B1709)</x:f>
        <x:v>0.6014428974158829</x:v>
      </x:c>
      <x:c r="D1709" s="128" t="n">
        <x:f>'Итоги'!$B$8*AVERAGE($C$2:C1709)</x:f>
        <x:v>1.2986174914047552</x:v>
      </x:c>
      <x:c r="E1709" s="128" t="n">
        <x:f>'Итоги'!$B$9</x:f>
        <x:v>1.2958368660043291</x:v>
      </x:c>
      <x:c r="F1709" s="129" t="n">
        <x:f>ABS(D1709-E1709)</x:f>
        <x:v>0.0027806254004261177</x:v>
      </x:c>
    </x:row>
    <x:row r="1710">
      <x:c r="A1710" s="107" t="n">
        <x:v>1709</x:v>
      </x:c>
      <x:c r="B1710" s="128" t="n">
        <x:v>2.7510780890544724</x:v>
      </x:c>
      <x:c r="C1710" s="128" t="n">
        <x:f>LN(B1710)</x:f>
        <x:v>1.0119928672373075</x:v>
      </x:c>
      <x:c r="D1710" s="128" t="n">
        <x:f>'Итоги'!$B$8*AVERAGE($C$2:C1710)</x:f>
        <x:v>1.29904193157039</x:v>
      </x:c>
      <x:c r="E1710" s="128" t="n">
        <x:f>'Итоги'!$B$9</x:f>
        <x:v>1.2958368660043291</x:v>
      </x:c>
      <x:c r="F1710" s="129" t="n">
        <x:f>ABS(D1710-E1710)</x:f>
        <x:v>0.0032050655660609273</x:v>
      </x:c>
    </x:row>
    <x:row r="1711">
      <x:c r="A1711" s="107" t="n">
        <x:v>1710</x:v>
      </x:c>
      <x:c r="B1711" s="128" t="n">
        <x:v>1.5681026210530309</x:v>
      </x:c>
      <x:c r="C1711" s="128" t="n">
        <x:f>LN(B1711)</x:f>
        <x:v>0.4498663668867953</x:v>
      </x:c>
      <x:c r="D1711" s="128" t="n">
        <x:f>'Итоги'!$B$8*AVERAGE($C$2:C1711)</x:f>
        <x:v>1.2988084174196317</x:v>
      </x:c>
      <x:c r="E1711" s="128" t="n">
        <x:f>'Итоги'!$B$9</x:f>
        <x:v>1.2958368660043291</x:v>
      </x:c>
      <x:c r="F1711" s="129" t="n">
        <x:f>ABS(D1711-E1711)</x:f>
        <x:v>0.002971551415302587</x:v>
      </x:c>
    </x:row>
    <x:row r="1712">
      <x:c r="A1712" s="107" t="n">
        <x:v>1711</x:v>
      </x:c>
      <x:c r="B1712" s="128" t="n">
        <x:v>2.5755857012777454</x:v>
      </x:c>
      <x:c r="C1712" s="128" t="n">
        <x:f>LN(B1712)</x:f>
        <x:v>0.9460769650582134</x:v>
      </x:c>
      <x:c r="D1712" s="128" t="n">
        <x:f>'Итоги'!$B$8*AVERAGE($C$2:C1712)</x:f>
        <x:v>1.299155200302564</x:v>
      </x:c>
      <x:c r="E1712" s="128" t="n">
        <x:f>'Итоги'!$B$9</x:f>
        <x:v>1.2958368660043291</x:v>
      </x:c>
      <x:c r="F1712" s="129" t="n">
        <x:f>ABS(D1712-E1712)</x:f>
        <x:v>0.003318334298234804</x:v>
      </x:c>
    </x:row>
    <x:row r="1713">
      <x:c r="A1713" s="107" t="n">
        <x:v>1712</x:v>
      </x:c>
      <x:c r="B1713" s="128" t="n">
        <x:v>1.7655663255605114</x:v>
      </x:c>
      <x:c r="C1713" s="128" t="n">
        <x:f>LN(B1713)</x:f>
        <x:v>0.5684715032595395</x:v>
      </x:c>
      <x:c r="D1713" s="128" t="n">
        <x:f>'Итоги'!$B$8*AVERAGE($C$2:C1713)</x:f>
        <x:v>1.2990604501893726</x:v>
      </x:c>
      <x:c r="E1713" s="128" t="n">
        <x:f>'Итоги'!$B$9</x:f>
        <x:v>1.2958368660043291</x:v>
      </x:c>
      <x:c r="F1713" s="129" t="n">
        <x:f>ABS(D1713-E1713)</x:f>
        <x:v>0.0032235841850434266</x:v>
      </x:c>
    </x:row>
    <x:row r="1714">
      <x:c r="A1714" s="107" t="n">
        <x:v>1713</x:v>
      </x:c>
      <x:c r="B1714" s="128" t="n">
        <x:v>2.9599570797803167</x:v>
      </x:c>
      <x:c r="C1714" s="128" t="n">
        <x:f>LN(B1714)</x:f>
        <x:v>1.0851747681566246</x:v>
      </x:c>
      <x:c r="D1714" s="128" t="n">
        <x:f>'Итоги'!$B$8*AVERAGE($C$2:C1714)</x:f>
        <x:v>1.2995690836313596</x:v>
      </x:c>
      <x:c r="E1714" s="128" t="n">
        <x:f>'Итоги'!$B$9</x:f>
        <x:v>1.2958368660043291</x:v>
      </x:c>
      <x:c r="F1714" s="129" t="n">
        <x:f>ABS(D1714-E1714)</x:f>
        <x:v>0.0037322176270304652</x:v>
      </x:c>
    </x:row>
    <x:row r="1715">
      <x:c r="A1715" s="107" t="n">
        <x:v>1714</x:v>
      </x:c>
      <x:c r="B1715" s="128" t="n">
        <x:v>2.767059672847415</x:v>
      </x:c>
      <x:c r="C1715" s="128" t="n">
        <x:f>LN(B1715)</x:f>
        <x:v>1.0177852664730125</x:v>
      </x:c>
      <x:c r="D1715" s="128" t="n">
        <x:f>'Итоги'!$B$8*AVERAGE($C$2:C1715)</x:f>
        <x:v>1.299998489377751</x:v>
      </x:c>
      <x:c r="E1715" s="128" t="n">
        <x:f>'Итоги'!$B$9</x:f>
        <x:v>1.2958368660043291</x:v>
      </x:c>
      <x:c r="F1715" s="129" t="n">
        <x:f>ABS(D1715-E1715)</x:f>
        <x:v>0.004161623373421852</x:v>
      </x:c>
    </x:row>
    <x:row r="1716">
      <x:c r="A1716" s="107" t="n">
        <x:v>1715</x:v>
      </x:c>
      <x:c r="B1716" s="128" t="n">
        <x:v>1.6026407153252307</x:v>
      </x:c>
      <x:c r="C1716" s="128" t="n">
        <x:f>LN(B1716)</x:f>
        <x:v>0.4716527158329656</x:v>
      </x:c>
      <x:c r="D1716" s="128" t="n">
        <x:f>'Итоги'!$B$8*AVERAGE($C$2:C1716)</x:f>
        <x:v>1.29979050508754</x:v>
      </x:c>
      <x:c r="E1716" s="128" t="n">
        <x:f>'Итоги'!$B$9</x:f>
        <x:v>1.2958368660043291</x:v>
      </x:c>
      <x:c r="F1716" s="129" t="n">
        <x:f>ABS(D1716-E1716)</x:f>
        <x:v>0.003953639083210891</x:v>
      </x:c>
    </x:row>
    <x:row r="1717">
      <x:c r="A1717" s="107" t="n">
        <x:v>1716</x:v>
      </x:c>
      <x:c r="B1717" s="128" t="n">
        <x:v>2.54038622707571</x:v>
      </x:c>
      <x:c r="C1717" s="128" t="n">
        <x:f>LN(B1717)</x:f>
        <x:v>0.9323161273746369</x:v>
      </x:c>
      <x:c r="D1717" s="128" t="n">
        <x:f>'Итоги'!$B$8*AVERAGE($C$2:C1717)</x:f>
        <x:v>1.3001196669463173</x:v>
      </x:c>
      <x:c r="E1717" s="128" t="n">
        <x:f>'Итоги'!$B$9</x:f>
        <x:v>1.2958368660043291</x:v>
      </x:c>
      <x:c r="F1717" s="129" t="n">
        <x:f>ABS(D1717-E1717)</x:f>
        <x:v>0.004282800941988185</x:v>
      </x:c>
    </x:row>
    <x:row r="1718">
      <x:c r="A1718" s="107" t="n">
        <x:v>1717</x:v>
      </x:c>
      <x:c r="B1718" s="128" t="n">
        <x:v>1.6737130876665374</x:v>
      </x:c>
      <x:c r="C1718" s="128" t="n">
        <x:f>LN(B1718)</x:f>
        <x:v>0.5150445641080877</x:v>
      </x:c>
      <x:c r="D1718" s="128" t="n">
        <x:f>'Итоги'!$B$8*AVERAGE($C$2:C1718)</x:f>
        <x:v>1.2999623981409998</x:v>
      </x:c>
      <x:c r="E1718" s="128" t="n">
        <x:f>'Итоги'!$B$9</x:f>
        <x:v>1.2958368660043291</x:v>
      </x:c>
      <x:c r="F1718" s="129" t="n">
        <x:f>ABS(D1718-E1718)</x:f>
        <x:v>0.004125532136670662</x:v>
      </x:c>
    </x:row>
    <x:row r="1719">
      <x:c r="A1719" s="107" t="n">
        <x:v>1718</x:v>
      </x:c>
      <x:c r="B1719" s="128" t="n">
        <x:v>2.2127256804310704</x:v>
      </x:c>
      <x:c r="C1719" s="128" t="n">
        <x:f>LN(B1719)</x:f>
        <x:v>0.794225095152772</x:v>
      </x:c>
      <x:c r="D1719" s="128" t="n">
        <x:f>'Итоги'!$B$8*AVERAGE($C$2:C1719)</x:f>
        <x:v>1.3001303188582085</x:v>
      </x:c>
      <x:c r="E1719" s="128" t="n">
        <x:f>'Итоги'!$B$9</x:f>
        <x:v>1.2958368660043291</x:v>
      </x:c>
      <x:c r="F1719" s="129" t="n">
        <x:f>ABS(D1719-E1719)</x:f>
        <x:v>0.004293452853879387</x:v>
      </x:c>
    </x:row>
    <x:row r="1720">
      <x:c r="A1720" s="107" t="n">
        <x:v>1719</x:v>
      </x:c>
      <x:c r="B1720" s="128" t="n">
        <x:v>2.316961536786584</x:v>
      </x:c>
      <x:c r="C1720" s="128" t="n">
        <x:f>LN(B1720)</x:f>
        <x:v>0.8402566448750676</x:v>
      </x:c>
      <x:c r="D1720" s="128" t="n">
        <x:f>'Итоги'!$B$8*AVERAGE($C$2:C1720)</x:f>
        <x:v>1.3003516004003215</x:v>
      </x:c>
      <x:c r="E1720" s="128" t="n">
        <x:f>'Итоги'!$B$9</x:f>
        <x:v>1.2958368660043291</x:v>
      </x:c>
      <x:c r="F1720" s="129" t="n">
        <x:f>ABS(D1720-E1720)</x:f>
        <x:v>0.00451473439599237</x:v>
      </x:c>
    </x:row>
    <x:row r="1721">
      <x:c r="A1721" s="107" t="n">
        <x:v>1720</x:v>
      </x:c>
      <x:c r="B1721" s="128" t="n">
        <x:v>2.65919081817141</x:v>
      </x:c>
      <x:c r="C1721" s="128" t="n">
        <x:f>LN(B1721)</x:f>
        <x:v>0.9780218728193192</x:v>
      </x:c>
      <x:c r="D1721" s="128" t="n">
        <x:f>'Итоги'!$B$8*AVERAGE($C$2:C1721)</x:f>
        <x:v>1.3007328167638321</x:v>
      </x:c>
      <x:c r="E1721" s="128" t="n">
        <x:f>'Итоги'!$B$9</x:f>
        <x:v>1.2958368660043291</x:v>
      </x:c>
      <x:c r="F1721" s="129" t="n">
        <x:f>ABS(D1721-E1721)</x:f>
        <x:v>0.004895950759502998</x:v>
      </x:c>
    </x:row>
    <x:row r="1722">
      <x:c r="A1722" s="107" t="n">
        <x:v>1721</x:v>
      </x:c>
      <x:c r="B1722" s="128" t="n">
        <x:v>1.0489016817640298</x:v>
      </x:c>
      <x:c r="C1722" s="128" t="n">
        <x:f>LN(B1722)</x:f>
        <x:v>0.04774359934387432</x:v>
      </x:c>
      <x:c r="D1722" s="128" t="n">
        <x:f>'Итоги'!$B$8*AVERAGE($C$2:C1722)</x:f>
        <x:v>1.3000324997283434</x:v>
      </x:c>
      <x:c r="E1722" s="128" t="n">
        <x:f>'Итоги'!$B$9</x:f>
        <x:v>1.2958368660043291</x:v>
      </x:c>
      <x:c r="F1722" s="129" t="n">
        <x:f>ABS(D1722-E1722)</x:f>
        <x:v>0.004195633724014325</x:v>
      </x:c>
    </x:row>
    <x:row r="1723">
      <x:c r="A1723" s="107" t="n">
        <x:v>1722</x:v>
      </x:c>
      <x:c r="B1723" s="128" t="n">
        <x:v>1.4403157823045993</x:v>
      </x:c>
      <x:c r="C1723" s="128" t="n">
        <x:f>LN(B1723)</x:f>
        <x:v>0.3648623828137383</x:v>
      </x:c>
      <x:c r="D1723" s="128" t="n">
        <x:f>'Итоги'!$B$8*AVERAGE($C$2:C1723)</x:f>
        <x:v>1.299701310568006</x:v>
      </x:c>
      <x:c r="E1723" s="128" t="n">
        <x:f>'Итоги'!$B$9</x:f>
        <x:v>1.2958368660043291</x:v>
      </x:c>
      <x:c r="F1723" s="129" t="n">
        <x:f>ABS(D1723-E1723)</x:f>
        <x:v>0.00386444456367685</x:v>
      </x:c>
    </x:row>
    <x:row r="1724">
      <x:c r="A1724" s="107" t="n">
        <x:v>1723</x:v>
      </x:c>
      <x:c r="B1724" s="128" t="n">
        <x:v>2.4238356211771572</x:v>
      </x:c>
      <x:c r="C1724" s="128" t="n">
        <x:f>LN(B1724)</x:f>
        <x:v>0.8853512528619323</x:v>
      </x:c>
      <x:c r="D1724" s="128" t="n">
        <x:f>'Итоги'!$B$8*AVERAGE($C$2:C1724)</x:f>
        <x:v>1.29997467167953</x:v>
      </x:c>
      <x:c r="E1724" s="128" t="n">
        <x:f>'Итоги'!$B$9</x:f>
        <x:v>1.2958368660043291</x:v>
      </x:c>
      <x:c r="F1724" s="129" t="n">
        <x:f>ABS(D1724-E1724)</x:f>
        <x:v>0.004137805675200834</x:v>
      </x:c>
    </x:row>
    <x:row r="1725">
      <x:c r="A1725" s="107" t="n">
        <x:v>1724</x:v>
      </x:c>
      <x:c r="B1725" s="128" t="n">
        <x:v>2.1270464739390746</x:v>
      </x:c>
      <x:c r="C1725" s="128" t="n">
        <x:f>LN(B1725)</x:f>
        <x:v>0.7547343855041205</x:v>
      </x:c>
      <x:c r="D1725" s="128" t="n">
        <x:f>'Итоги'!$B$8*AVERAGE($C$2:C1725)</x:f>
        <x:v>1.3000961879784447</x:v>
      </x:c>
      <x:c r="E1725" s="128" t="n">
        <x:f>'Итоги'!$B$9</x:f>
        <x:v>1.2958368660043291</x:v>
      </x:c>
      <x:c r="F1725" s="129" t="n">
        <x:f>ABS(D1725-E1725)</x:f>
        <x:v>0.004259321974115604</x:v>
      </x:c>
    </x:row>
    <x:row r="1726">
      <x:c r="A1726" s="107" t="n">
        <x:v>1725</x:v>
      </x:c>
      <x:c r="B1726" s="128" t="n">
        <x:v>1.9912101564022862</x:v>
      </x:c>
      <x:c r="C1726" s="128" t="n">
        <x:f>LN(B1726)</x:f>
        <x:v>0.6887425727022135</x:v>
      </x:c>
      <x:c r="D1726" s="128" t="n">
        <x:f>'Итоги'!$B$8*AVERAGE($C$2:C1726)</x:f>
        <x:v>1.30014105114217</x:v>
      </x:c>
      <x:c r="E1726" s="128" t="n">
        <x:f>'Итоги'!$B$9</x:f>
        <x:v>1.2958368660043291</x:v>
      </x:c>
      <x:c r="F1726" s="129" t="n">
        <x:f>ABS(D1726-E1726)</x:f>
        <x:v>0.004304185137840921</x:v>
      </x:c>
    </x:row>
    <x:row r="1727">
      <x:c r="A1727" s="107" t="n">
        <x:v>1726</x:v>
      </x:c>
      <x:c r="B1727" s="128" t="n">
        <x:v>1.110419913415961</x:v>
      </x:c>
      <x:c r="C1727" s="128" t="n">
        <x:f>LN(B1727)</x:f>
        <x:v>0.10473824416143679</x:v>
      </x:c>
      <x:c r="D1727" s="128" t="n">
        <x:f>'Итоги'!$B$8*AVERAGE($C$2:C1727)</x:f>
        <x:v>1.299509148150965</x:v>
      </x:c>
      <x:c r="E1727" s="128" t="n">
        <x:f>'Итоги'!$B$9</x:f>
        <x:v>1.2958368660043291</x:v>
      </x:c>
      <x:c r="F1727" s="129" t="n">
        <x:f>ABS(D1727-E1727)</x:f>
        <x:v>0.0036722821466359523</x:v>
      </x:c>
    </x:row>
    <x:row r="1728">
      <x:c r="A1728" s="107" t="n">
        <x:v>1727</x:v>
      </x:c>
      <x:c r="B1728" s="128" t="n">
        <x:v>1.6965517669229124</x:v>
      </x:c>
      <x:c r="C1728" s="128" t="n">
        <x:f>LN(B1728)</x:f>
        <x:v>0.528597818730578</x:v>
      </x:c>
      <x:c r="D1728" s="128" t="n">
        <x:f>'Итоги'!$B$8*AVERAGE($C$2:C1728)</x:f>
        <x:v>1.299368839227578</x:v>
      </x:c>
      <x:c r="E1728" s="128" t="n">
        <x:f>'Итоги'!$B$9</x:f>
        <x:v>1.2958368660043291</x:v>
      </x:c>
      <x:c r="F1728" s="129" t="n">
        <x:f>ABS(D1728-E1728)</x:f>
        <x:v>0.00353197322324883</x:v>
      </x:c>
    </x:row>
    <x:row r="1729">
      <x:c r="A1729" s="107" t="n">
        <x:v>1728</x:v>
      </x:c>
      <x:c r="B1729" s="128" t="n">
        <x:v>2.730200463821297</x:v>
      </x:c>
      <x:c r="C1729" s="128" t="n">
        <x:f>LN(B1729)</x:f>
        <x:v>1.004375036472191</x:v>
      </x:c>
      <x:c r="D1729" s="128" t="n">
        <x:f>'Итоги'!$B$8*AVERAGE($C$2:C1729)</x:f>
        <x:v>1.2997793607748676</x:v>
      </x:c>
      <x:c r="E1729" s="128" t="n">
        <x:f>'Итоги'!$B$9</x:f>
        <x:v>1.2958368660043291</x:v>
      </x:c>
      <x:c r="F1729" s="129" t="n">
        <x:f>ABS(D1729-E1729)</x:f>
        <x:v>0.0039424947705384294</x:v>
      </x:c>
    </x:row>
    <x:row r="1730">
      <x:c r="A1730" s="107" t="n">
        <x:v>1729</x:v>
      </x:c>
      <x:c r="B1730" s="128" t="n">
        <x:v>1.0617856740720644</x:v>
      </x:c>
      <x:c r="C1730" s="128" t="n">
        <x:f>LN(B1730)</x:f>
        <x:v>0.05995208896119933</x:v>
      </x:c>
      <x:c r="D1730" s="128" t="n">
        <x:f>'Итоги'!$B$8*AVERAGE($C$2:C1730)</x:f>
        <x:v>1.2990969575459188</x:v>
      </x:c>
      <x:c r="E1730" s="128" t="n">
        <x:f>'Итоги'!$B$9</x:f>
        <x:v>1.2958368660043291</x:v>
      </x:c>
      <x:c r="F1730" s="129" t="n">
        <x:f>ABS(D1730-E1730)</x:f>
        <x:v>0.0032600915415896825</x:v>
      </x:c>
    </x:row>
    <x:row r="1731">
      <x:c r="A1731" s="107" t="n">
        <x:v>1730</x:v>
      </x:c>
      <x:c r="B1731" s="128" t="n">
        <x:v>1.7928724707296242</x:v>
      </x:c>
      <x:c r="C1731" s="128" t="n">
        <x:f>LN(B1731)</x:f>
        <x:v>0.5838190658968794</x:v>
      </x:c>
      <x:c r="D1731" s="128" t="n">
        <x:f>'Итоги'!$B$8*AVERAGE($C$2:C1731)</x:f>
        <x:v>1.2990209697853683</x:v>
      </x:c>
      <x:c r="E1731" s="128" t="n">
        <x:f>'Итоги'!$B$9</x:f>
        <x:v>1.2958368660043291</x:v>
      </x:c>
      <x:c r="F1731" s="129" t="n">
        <x:f>ABS(D1731-E1731)</x:f>
        <x:v>0.0031841037810391715</x:v>
      </x:c>
    </x:row>
    <x:row r="1732">
      <x:c r="A1732" s="107" t="n">
        <x:v>1731</x:v>
      </x:c>
      <x:c r="B1732" s="128" t="n">
        <x:v>2.8902965753415453</x:v>
      </x:c>
      <x:c r="C1732" s="128" t="n">
        <x:f>LN(B1732)</x:f>
        <x:v>1.0613591180845912</x:v>
      </x:c>
      <x:c r="D1732" s="128" t="n">
        <x:f>'Итоги'!$B$8*AVERAGE($C$2:C1732)</x:f>
        <x:v>1.2994968203147639</x:v>
      </x:c>
      <x:c r="E1732" s="128" t="n">
        <x:f>'Итоги'!$B$9</x:f>
        <x:v>1.2958368660043291</x:v>
      </x:c>
      <x:c r="F1732" s="129" t="n">
        <x:f>ABS(D1732-E1732)</x:f>
        <x:v>0.0036599543104347543</x:v>
      </x:c>
    </x:row>
    <x:row r="1733">
      <x:c r="A1733" s="107" t="n">
        <x:v>1732</x:v>
      </x:c>
      <x:c r="B1733" s="128" t="n">
        <x:v>1.1017614690900293</x:v>
      </x:c>
      <x:c r="C1733" s="128" t="n">
        <x:f>LN(B1733)</x:f>
        <x:v>0.09691023457007843</x:v>
      </x:c>
      <x:c r="D1733" s="128" t="n">
        <x:f>'Итоги'!$B$8*AVERAGE($C$2:C1733)</x:f>
        <x:v>1.2988584390496516</x:v>
      </x:c>
      <x:c r="E1733" s="128" t="n">
        <x:f>'Итоги'!$B$9</x:f>
        <x:v>1.2958368660043291</x:v>
      </x:c>
      <x:c r="F1733" s="129" t="n">
        <x:f>ABS(D1733-E1733)</x:f>
        <x:v>0.0030215730453224676</x:v>
      </x:c>
    </x:row>
    <x:row r="1734">
      <x:c r="A1734" s="107" t="n">
        <x:v>1733</x:v>
      </x:c>
      <x:c r="B1734" s="128" t="n">
        <x:v>2.4994115020892735</x:v>
      </x:c>
      <x:c r="C1734" s="128" t="n">
        <x:f>LN(B1734)</x:f>
        <x:v>0.9160553049991323</x:v>
      </x:c>
      <x:c r="D1734" s="128" t="n">
        <x:f>'Итоги'!$B$8*AVERAGE($C$2:C1734)</x:f>
        <x:v>1.2991661437068638</x:v>
      </x:c>
      <x:c r="E1734" s="128" t="n">
        <x:f>'Итоги'!$B$9</x:f>
        <x:v>1.2958368660043291</x:v>
      </x:c>
      <x:c r="F1734" s="129" t="n">
        <x:f>ABS(D1734-E1734)</x:f>
        <x:v>0.003329277702534661</x:v>
      </x:c>
    </x:row>
    <x:row r="1735">
      <x:c r="A1735" s="107" t="n">
        <x:v>1734</x:v>
      </x:c>
      <x:c r="B1735" s="128" t="n">
        <x:v>1.515225232364073</x:v>
      </x:c>
      <x:c r="C1735" s="128" t="n">
        <x:f>LN(B1735)</x:f>
        <x:v>0.4155640961384176</x:v>
      </x:c>
      <x:c r="D1735" s="128" t="n">
        <x:f>'Итоги'!$B$8*AVERAGE($C$2:C1735)</x:f>
        <x:v>1.2988962256264542</x:v>
      </x:c>
      <x:c r="E1735" s="128" t="n">
        <x:f>'Итоги'!$B$9</x:f>
        <x:v>1.2958368660043291</x:v>
      </x:c>
      <x:c r="F1735" s="129" t="n">
        <x:f>ABS(D1735-E1735)</x:f>
        <x:v>0.003059359622125113</x:v>
      </x:c>
    </x:row>
    <x:row r="1736">
      <x:c r="A1736" s="107" t="n">
        <x:v>1735</x:v>
      </x:c>
      <x:c r="B1736" s="128" t="n">
        <x:v>2.733217664307345</x:v>
      </x:c>
      <x:c r="C1736" s="128" t="n">
        <x:f>LN(B1736)</x:f>
        <x:v>1.0054795467703315</x:v>
      </x:c>
      <x:c r="D1736" s="128" t="n">
        <x:f>'Итоги'!$B$8*AVERAGE($C$2:C1736)</x:f>
        <x:v>1.2993066365013328</x:v>
      </x:c>
      <x:c r="E1736" s="128" t="n">
        <x:f>'Итоги'!$B$9</x:f>
        <x:v>1.2958368660043291</x:v>
      </x:c>
      <x:c r="F1736" s="129" t="n">
        <x:f>ABS(D1736-E1736)</x:f>
        <x:v>0.003469770497003699</x:v>
      </x:c>
    </x:row>
    <x:row r="1737">
      <x:c r="A1737" s="107" t="n">
        <x:v>1736</x:v>
      </x:c>
      <x:c r="B1737" s="128" t="n">
        <x:v>2.4921359579187303</x:v>
      </x:c>
      <x:c r="C1737" s="128" t="n">
        <x:f>LN(B1737)</x:f>
        <x:v>0.9131401571892862</x:v>
      </x:c>
      <x:c r="D1737" s="128" t="n">
        <x:f>'Итоги'!$B$8*AVERAGE($C$2:C1737)</x:f>
        <x:v>1.299610192767391</x:v>
      </x:c>
      <x:c r="E1737" s="128" t="n">
        <x:f>'Итоги'!$B$9</x:f>
        <x:v>1.2958368660043291</x:v>
      </x:c>
      <x:c r="F1737" s="129" t="n">
        <x:f>ABS(D1737-E1737)</x:f>
        <x:v>0.0037733267630619682</x:v>
      </x:c>
    </x:row>
    <x:row r="1738">
      <x:c r="A1738" s="107" t="n">
        <x:v>1737</x:v>
      </x:c>
      <x:c r="B1738" s="128" t="n">
        <x:v>2.7714103417167255</x:v>
      </x:c>
      <x:c r="C1738" s="128" t="n">
        <x:f>LN(B1738)</x:f>
        <x:v>1.0193563392612575</x:v>
      </x:c>
      <x:c r="D1738" s="128" t="n">
        <x:f>'Итоги'!$B$8*AVERAGE($C$2:C1738)</x:f>
        <x:v>1.3000356979405374</x:v>
      </x:c>
      <x:c r="E1738" s="128" t="n">
        <x:f>'Итоги'!$B$9</x:f>
        <x:v>1.2958368660043291</x:v>
      </x:c>
      <x:c r="F1738" s="129" t="n">
        <x:f>ABS(D1738-E1738)</x:f>
        <x:v>0.0041988319362082915</x:v>
      </x:c>
    </x:row>
    <x:row r="1739">
      <x:c r="A1739" s="107" t="n">
        <x:v>1738</x:v>
      </x:c>
      <x:c r="B1739" s="128" t="n">
        <x:v>1.431849580862532</x:v>
      </x:c>
      <x:c r="C1739" s="128" t="n">
        <x:f>LN(B1739)</x:f>
        <x:v>0.35896702172411593</x:v>
      </x:c>
      <x:c r="D1739" s="128" t="n">
        <x:f>'Итоги'!$B$8*AVERAGE($C$2:C1739)</x:f>
        <x:v>1.2997007717872047</x:v>
      </x:c>
      <x:c r="E1739" s="128" t="n">
        <x:f>'Итоги'!$B$9</x:f>
        <x:v>1.2958368660043291</x:v>
      </x:c>
      <x:c r="F1739" s="129" t="n">
        <x:f>ABS(D1739-E1739)</x:f>
        <x:v>0.003863905782875543</x:v>
      </x:c>
    </x:row>
    <x:row r="1740">
      <x:c r="A1740" s="107" t="n">
        <x:v>1739</x:v>
      </x:c>
      <x:c r="B1740" s="128" t="n">
        <x:v>2.06258550963721</x:v>
      </x:c>
      <x:c r="C1740" s="128" t="n">
        <x:f>LN(B1740)</x:f>
        <x:v>0.7239602975853306</x:v>
      </x:c>
      <x:c r="D1740" s="128" t="n">
        <x:f>'Итоги'!$B$8*AVERAGE($C$2:C1740)</x:f>
        <x:v>1.2997860045781096</x:v>
      </x:c>
      <x:c r="E1740" s="128" t="n">
        <x:f>'Итоги'!$B$9</x:f>
        <x:v>1.2958368660043291</x:v>
      </x:c>
      <x:c r="F1740" s="129" t="n">
        <x:f>ABS(D1740-E1740)</x:f>
        <x:v>0.003949138573780431</x:v>
      </x:c>
    </x:row>
    <x:row r="1741">
      <x:c r="A1741" s="107" t="n">
        <x:v>1740</x:v>
      </x:c>
      <x:c r="B1741" s="128" t="n">
        <x:v>2.5585398871496015</x:v>
      </x:c>
      <x:c r="C1741" s="128" t="n">
        <x:f>LN(B1741)</x:f>
        <x:v>0.9394367391940953</x:v>
      </x:c>
      <x:c r="D1741" s="128" t="n">
        <x:f>'Итоги'!$B$8*AVERAGE($C$2:C1741)</x:f>
        <x:v>1.300118813471104</x:v>
      </x:c>
      <x:c r="E1741" s="128" t="n">
        <x:f>'Итоги'!$B$9</x:f>
        <x:v>1.2958368660043291</x:v>
      </x:c>
      <x:c r="F1741" s="129" t="n">
        <x:f>ABS(D1741-E1741)</x:f>
        <x:v>0.004281947466774794</x:v>
      </x:c>
    </x:row>
    <x:row r="1742">
      <x:c r="A1742" s="107" t="n">
        <x:v>1741</x:v>
      </x:c>
      <x:c r="B1742" s="128" t="n">
        <x:v>1.491399485989962</x:v>
      </x:c>
      <x:c r="C1742" s="128" t="n">
        <x:f>LN(B1742)</x:f>
        <x:v>0.39971493147814974</x:v>
      </x:c>
      <x:c r="D1742" s="128" t="n">
        <x:f>'Итоги'!$B$8*AVERAGE($C$2:C1742)</x:f>
        <x:v>1.299831226480573</x:v>
      </x:c>
      <x:c r="E1742" s="128" t="n">
        <x:f>'Итоги'!$B$9</x:f>
        <x:v>1.2958368660043291</x:v>
      </x:c>
      <x:c r="F1742" s="129" t="n">
        <x:f>ABS(D1742-E1742)</x:f>
        <x:v>0.003994360476243797</x:v>
      </x:c>
    </x:row>
    <x:row r="1743">
      <x:c r="A1743" s="107" t="n">
        <x:v>1742</x:v>
      </x:c>
      <x:c r="B1743" s="128" t="n">
        <x:v>1.461492610534434</x:v>
      </x:c>
      <x:c r="C1743" s="128" t="n">
        <x:f>LN(B1743)</x:f>
        <x:v>0.37945824947320256</x:v>
      </x:c>
      <x:c r="D1743" s="128" t="n">
        <x:f>'Итоги'!$B$8*AVERAGE($C$2:C1743)</x:f>
        <x:v>1.299520712859715</x:v>
      </x:c>
      <x:c r="E1743" s="128" t="n">
        <x:f>'Итоги'!$B$9</x:f>
        <x:v>1.2958368660043291</x:v>
      </x:c>
      <x:c r="F1743" s="129" t="n">
        <x:f>ABS(D1743-E1743)</x:f>
        <x:v>0.0036838468553859194</x:v>
      </x:c>
    </x:row>
    <x:row r="1744">
      <x:c r="A1744" s="107" t="n">
        <x:v>1743</x:v>
      </x:c>
      <x:c r="B1744" s="128" t="n">
        <x:v>1.05436426699517</x:v>
      </x:c>
      <x:c r="C1744" s="128" t="n">
        <x:f>LN(B1744)</x:f>
        <x:v>0.0529379947714841</x:v>
      </x:c>
      <x:c r="D1744" s="128" t="n">
        <x:f>'Итоги'!$B$8*AVERAGE($C$2:C1744)</x:f>
        <x:v>1.298835890872729</x:v>
      </x:c>
      <x:c r="E1744" s="128" t="n">
        <x:f>'Итоги'!$B$9</x:f>
        <x:v>1.2958368660043291</x:v>
      </x:c>
      <x:c r="F1744" s="129" t="n">
        <x:f>ABS(D1744-E1744)</x:f>
        <x:v>0.00299902486839998</x:v>
      </x:c>
    </x:row>
    <x:row r="1745">
      <x:c r="A1745" s="107" t="n">
        <x:v>1744</x:v>
      </x:c>
      <x:c r="B1745" s="128" t="n">
        <x:v>2.9170305879509044</x:v>
      </x:c>
      <x:c r="C1745" s="128" t="n">
        <x:f>LN(B1745)</x:f>
        <x:v>1.0705661769296473</x:v>
      </x:c>
      <x:c r="D1745" s="128" t="n">
        <x:f>'Итоги'!$B$8*AVERAGE($C$2:C1745)</x:f>
        <x:v>1.2993188590281113</x:v>
      </x:c>
      <x:c r="E1745" s="128" t="n">
        <x:f>'Итоги'!$B$9</x:f>
        <x:v>1.2958368660043291</x:v>
      </x:c>
      <x:c r="F1745" s="129" t="n">
        <x:f>ABS(D1745-E1745)</x:f>
        <x:v>0.0034819930237821595</x:v>
      </x:c>
    </x:row>
    <x:row r="1746">
      <x:c r="A1746" s="107" t="n">
        <x:v>1745</x:v>
      </x:c>
      <x:c r="B1746" s="128" t="n">
        <x:v>2.4200337601092468</x:v>
      </x:c>
      <x:c r="C1746" s="128" t="n">
        <x:f>LN(B1746)</x:f>
        <x:v>0.8837814905296547</x:v>
      </x:c>
      <x:c r="D1746" s="128" t="n">
        <x:f>'Итоги'!$B$8*AVERAGE($C$2:C1746)</x:f>
        <x:v>1.2995871937685302</x:v>
      </x:c>
      <x:c r="E1746" s="128" t="n">
        <x:f>'Итоги'!$B$9</x:f>
        <x:v>1.2958368660043291</x:v>
      </x:c>
      <x:c r="F1746" s="129" t="n">
        <x:f>ABS(D1746-E1746)</x:f>
        <x:v>0.0037503277642010335</x:v>
      </x:c>
    </x:row>
    <x:row r="1747">
      <x:c r="A1747" s="107" t="n">
        <x:v>1746</x:v>
      </x:c>
      <x:c r="B1747" s="128" t="n">
        <x:v>2.2711207080203697</x:v>
      </x:c>
      <x:c r="C1747" s="128" t="n">
        <x:f>LN(B1747)</x:f>
        <x:v>0.8202734136353331</x:v>
      </x:c>
      <x:c r="D1747" s="128" t="n">
        <x:f>'Итоги'!$B$8*AVERAGE($C$2:C1747)</x:f>
        <x:v>1.2997824742000892</x:v>
      </x:c>
      <x:c r="E1747" s="128" t="n">
        <x:f>'Итоги'!$B$9</x:f>
        <x:v>1.2958368660043291</x:v>
      </x:c>
      <x:c r="F1747" s="129" t="n">
        <x:f>ABS(D1747-E1747)</x:f>
        <x:v>0.003945608195760064</x:v>
      </x:c>
    </x:row>
    <x:row r="1748">
      <x:c r="A1748" s="107" t="n">
        <x:v>1747</x:v>
      </x:c>
      <x:c r="B1748" s="128" t="n">
        <x:v>2.4879894453899816</x:v>
      </x:c>
      <x:c r="C1748" s="128" t="n">
        <x:f>LN(B1748)</x:f>
        <x:v>0.9114749326613357</x:v>
      </x:c>
      <x:c r="D1748" s="128" t="n">
        <x:f>'Итоги'!$B$8*AVERAGE($C$2:C1748)</x:f>
        <x:v>1.3000819403655859</x:v>
      </x:c>
      <x:c r="E1748" s="128" t="n">
        <x:f>'Итоги'!$B$9</x:f>
        <x:v>1.2958368660043291</x:v>
      </x:c>
      <x:c r="F1748" s="129" t="n">
        <x:f>ABS(D1748-E1748)</x:f>
        <x:v>0.004245074361256762</x:v>
      </x:c>
    </x:row>
    <x:row r="1749">
      <x:c r="A1749" s="107" t="n">
        <x:v>1748</x:v>
      </x:c>
      <x:c r="B1749" s="128" t="n">
        <x:v>2.0632258373908785</x:v>
      </x:c>
      <x:c r="C1749" s="128" t="n">
        <x:f>LN(B1749)</x:f>
        <x:v>0.7242706984761861</x:v>
      </x:c>
      <x:c r="D1749" s="128" t="n">
        <x:f>'Итоги'!$B$8*AVERAGE($C$2:C1749)</x:f>
        <x:v>1.3001668714048231</x:v>
      </x:c>
      <x:c r="E1749" s="128" t="n">
        <x:f>'Итоги'!$B$9</x:f>
        <x:v>1.2958368660043291</x:v>
      </x:c>
      <x:c r="F1749" s="129" t="n">
        <x:f>ABS(D1749-E1749)</x:f>
        <x:v>0.004330005400493997</x:v>
      </x:c>
    </x:row>
    <x:row r="1750">
      <x:c r="A1750" s="107" t="n">
        <x:v>1749</x:v>
      </x:c>
      <x:c r="B1750" s="128" t="n">
        <x:v>1.9522676421808207</x:v>
      </x:c>
      <x:c r="C1750" s="128" t="n">
        <x:f>LN(B1750)</x:f>
        <x:v>0.6689915903649022</x:v>
      </x:c>
      <x:c r="D1750" s="128" t="n">
        <x:f>'Итоги'!$B$8*AVERAGE($C$2:C1750)</x:f>
        <x:v>1.30018849307968</x:v>
      </x:c>
      <x:c r="E1750" s="128" t="n">
        <x:f>'Итоги'!$B$9</x:f>
        <x:v>1.2958368660043291</x:v>
      </x:c>
      <x:c r="F1750" s="129" t="n">
        <x:f>ABS(D1750-E1750)</x:f>
        <x:v>0.004351627075350972</x:v>
      </x:c>
    </x:row>
    <x:row r="1751">
      <x:c r="A1751" s="107" t="n">
        <x:v>1750</x:v>
      </x:c>
      <x:c r="B1751" s="128" t="n">
        <x:v>1.8990644822470417</x:v>
      </x:c>
      <x:c r="C1751" s="128" t="n">
        <x:f>LN(B1751)</x:f>
        <x:v>0.6413613871499436</x:v>
      </x:c>
      <x:c r="D1751" s="128" t="n">
        <x:f>'Итоги'!$B$8*AVERAGE($C$2:C1751)</x:f>
        <x:v>1.300178512668949</x:v>
      </x:c>
      <x:c r="E1751" s="128" t="n">
        <x:f>'Итоги'!$B$9</x:f>
        <x:v>1.2958368660043291</x:v>
      </x:c>
      <x:c r="F1751" s="129" t="n">
        <x:f>ABS(D1751-E1751)</x:f>
        <x:v>0.0043416466646197804</x:v>
      </x:c>
    </x:row>
    <x:row r="1752">
      <x:c r="A1752" s="107" t="n">
        <x:v>1751</x:v>
      </x:c>
      <x:c r="B1752" s="128" t="n">
        <x:v>2.2808784242072826</x:v>
      </x:c>
      <x:c r="C1752" s="128" t="n">
        <x:f>LN(B1752)</x:f>
        <x:v>0.8245606425425898</x:v>
      </x:c>
      <x:c r="D1752" s="128" t="n">
        <x:f>'Итоги'!$B$8*AVERAGE($C$2:C1752)</x:f>
        <x:v>1.3003777946634756</x:v>
      </x:c>
      <x:c r="E1752" s="128" t="n">
        <x:f>'Итоги'!$B$9</x:f>
        <x:v>1.2958368660043291</x:v>
      </x:c>
      <x:c r="F1752" s="129" t="n">
        <x:f>ABS(D1752-E1752)</x:f>
        <x:v>0.004540928659146459</x:v>
      </x:c>
    </x:row>
    <x:row r="1753">
      <x:c r="A1753" s="107" t="n">
        <x:v>1752</x:v>
      </x:c>
      <x:c r="B1753" s="128" t="n">
        <x:v>1.4030699507847664</x:v>
      </x:c>
      <x:c r="C1753" s="128" t="n">
        <x:f>LN(B1753)</x:f>
        <x:v>0.33866265788512856</x:v>
      </x:c>
      <x:c r="D1753" s="128" t="n">
        <x:f>'Итоги'!$B$8*AVERAGE($C$2:C1753)</x:f>
        <x:v>1.3000221711024633</x:v>
      </x:c>
      <x:c r="E1753" s="128" t="n">
        <x:f>'Итоги'!$B$9</x:f>
        <x:v>1.2958368660043291</x:v>
      </x:c>
      <x:c r="F1753" s="129" t="n">
        <x:f>ABS(D1753-E1753)</x:f>
        <x:v>0.0041853050981341955</x:v>
      </x:c>
    </x:row>
    <x:row r="1754">
      <x:c r="A1754" s="107" t="n">
        <x:v>1753</x:v>
      </x:c>
      <x:c r="B1754" s="128" t="n">
        <x:v>2.7761173900297393</x:v>
      </x:c>
      <x:c r="C1754" s="128" t="n">
        <x:f>LN(B1754)</x:f>
        <x:v>1.021053329225158</x:v>
      </x:c>
      <x:c r="D1754" s="128" t="n">
        <x:f>'Итоги'!$B$8*AVERAGE($C$2:C1754)</x:f>
        <x:v>1.300445493685092</x:v>
      </x:c>
      <x:c r="E1754" s="128" t="n">
        <x:f>'Итоги'!$B$9</x:f>
        <x:v>1.2958368660043291</x:v>
      </x:c>
      <x:c r="F1754" s="129" t="n">
        <x:f>ABS(D1754-E1754)</x:f>
        <x:v>0.004608627680762867</x:v>
      </x:c>
    </x:row>
    <x:row r="1755">
      <x:c r="A1755" s="107" t="n">
        <x:v>1754</x:v>
      </x:c>
      <x:c r="B1755" s="128" t="n">
        <x:v>2.6235047424385303</x:v>
      </x:c>
      <x:c r="C1755" s="128" t="n">
        <x:f>LN(B1755)</x:f>
        <x:v>0.964511111819203</x:v>
      </x:c>
      <x:c r="D1755" s="128" t="n">
        <x:f>'Итоги'!$B$8*AVERAGE($C$2:C1755)</x:f>
        <x:v>1.3008038612620323</x:v>
      </x:c>
      <x:c r="E1755" s="128" t="n">
        <x:f>'Итоги'!$B$9</x:f>
        <x:v>1.2958368660043291</x:v>
      </x:c>
      <x:c r="F1755" s="129" t="n">
        <x:f>ABS(D1755-E1755)</x:f>
        <x:v>0.004966995257703166</x:v>
      </x:c>
    </x:row>
    <x:row r="1756">
      <x:c r="A1756" s="107" t="n">
        <x:v>1755</x:v>
      </x:c>
      <x:c r="B1756" s="128" t="n">
        <x:v>1.6991272229040677</x:v>
      </x:c>
      <x:c r="C1756" s="128" t="n">
        <x:f>LN(B1756)</x:f>
        <x:v>0.5301147209364183</x:v>
      </x:c>
      <x:c r="D1756" s="128" t="n">
        <x:f>'Итоги'!$B$8*AVERAGE($C$2:C1756)</x:f>
        <x:v>1.3006667818207847</x:v>
      </x:c>
      <x:c r="E1756" s="128" t="n">
        <x:f>'Итоги'!$B$9</x:f>
        <x:v>1.2958368660043291</x:v>
      </x:c>
      <x:c r="F1756" s="129" t="n">
        <x:f>ABS(D1756-E1756)</x:f>
        <x:v>0.004829915816455532</x:v>
      </x:c>
    </x:row>
    <x:row r="1757">
      <x:c r="A1757" s="107" t="n">
        <x:v>1756</x:v>
      </x:c>
      <x:c r="B1757" s="128" t="n">
        <x:v>2.157218593625049</x:v>
      </x:c>
      <x:c r="C1757" s="128" t="n">
        <x:f>LN(B1757)</x:f>
        <x:v>0.7688197037767429</x:v>
      </x:c>
      <x:c r="D1757" s="128" t="n">
        <x:f>'Итоги'!$B$8*AVERAGE($C$2:C1757)</x:f>
        <x:v>1.3008017320632292</x:v>
      </x:c>
      <x:c r="E1757" s="128" t="n">
        <x:f>'Итоги'!$B$9</x:f>
        <x:v>1.2958368660043291</x:v>
      </x:c>
      <x:c r="F1757" s="129" t="n">
        <x:f>ABS(D1757-E1757)</x:f>
        <x:v>0.004964866058900119</x:v>
      </x:c>
    </x:row>
    <x:row r="1758">
      <x:c r="A1758" s="107" t="n">
        <x:v>1757</x:v>
      </x:c>
      <x:c r="B1758" s="128" t="n">
        <x:v>1.2820545999000292</x:v>
      </x:c>
      <x:c r="C1758" s="128" t="n">
        <x:f>LN(B1758)</x:f>
        <x:v>0.24846394721717377</x:v>
      </x:c>
      <x:c r="D1758" s="128" t="n">
        <x:f>'Итоги'!$B$8*AVERAGE($C$2:C1758)</x:f>
        <x:v>1.300344205690077</x:v>
      </x:c>
      <x:c r="E1758" s="128" t="n">
        <x:f>'Итоги'!$B$9</x:f>
        <x:v>1.2958368660043291</x:v>
      </x:c>
      <x:c r="F1758" s="129" t="n">
        <x:f>ABS(D1758-E1758)</x:f>
        <x:v>0.004507339685747791</x:v>
      </x:c>
    </x:row>
    <x:row r="1759">
      <x:c r="A1759" s="107" t="n">
        <x:v>1758</x:v>
      </x:c>
      <x:c r="B1759" s="128" t="n">
        <x:v>2.944692495867196</x:v>
      </x:c>
      <x:c r="C1759" s="128" t="n">
        <x:f>LN(B1759)</x:f>
        <x:v>1.080004395987066</x:v>
      </x:c>
      <x:c r="D1759" s="128" t="n">
        <x:f>'Итоги'!$B$8*AVERAGE($C$2:C1759)</x:f>
        <x:v>1.3008332071612283</x:v>
      </x:c>
      <x:c r="E1759" s="128" t="n">
        <x:f>'Итоги'!$B$9</x:f>
        <x:v>1.2958368660043291</x:v>
      </x:c>
      <x:c r="F1759" s="129" t="n">
        <x:f>ABS(D1759-E1759)</x:f>
        <x:v>0.004996341156899176</x:v>
      </x:c>
    </x:row>
    <x:row r="1760">
      <x:c r="A1760" s="107" t="n">
        <x:v>1759</x:v>
      </x:c>
      <x:c r="B1760" s="128" t="n">
        <x:v>2.805785375260567</x:v>
      </x:c>
      <x:c r="C1760" s="128" t="n">
        <x:f>LN(B1760)</x:f>
        <x:v>1.031683490964682</x:v>
      </x:c>
      <x:c r="D1760" s="128" t="n">
        <x:f>'Итоги'!$B$8*AVERAGE($C$2:C1760)</x:f>
        <x:v>1.3012667112969691</x:v>
      </x:c>
      <x:c r="E1760" s="128" t="n">
        <x:f>'Итоги'!$B$9</x:f>
        <x:v>1.2958368660043291</x:v>
      </x:c>
      <x:c r="F1760" s="129" t="n">
        <x:f>ABS(D1760-E1760)</x:f>
        <x:v>0.005429845292640012</x:v>
      </x:c>
    </x:row>
    <x:row r="1761">
      <x:c r="A1761" s="107" t="n">
        <x:v>1760</x:v>
      </x:c>
      <x:c r="B1761" s="128" t="n">
        <x:v>2.8437950129984007</x:v>
      </x:c>
      <x:c r="C1761" s="128" t="n">
        <x:f>LN(B1761)</x:f>
        <x:v>1.0451394323385406</x:v>
      </x:c>
      <x:c r="D1761" s="128" t="n">
        <x:f>'Итоги'!$B$8*AVERAGE($C$2:C1761)</x:f>
        <x:v>1.3017150136568443</x:v>
      </x:c>
      <x:c r="E1761" s="128" t="n">
        <x:f>'Итоги'!$B$9</x:f>
        <x:v>1.2958368660043291</x:v>
      </x:c>
      <x:c r="F1761" s="129" t="n">
        <x:f>ABS(D1761-E1761)</x:f>
        <x:v>0.005878147652515153</x:v>
      </x:c>
    </x:row>
    <x:row r="1762">
      <x:c r="A1762" s="107" t="n">
        <x:v>1761</x:v>
      </x:c>
      <x:c r="B1762" s="128" t="n">
        <x:v>1.6643260954069032</x:v>
      </x:c>
      <x:c r="C1762" s="128" t="n">
        <x:f>LN(B1762)</x:f>
        <x:v>0.5094202939966663</x:v>
      </x:c>
      <x:c r="D1762" s="128" t="n">
        <x:f>'Итоги'!$B$8*AVERAGE($C$2:C1762)</x:f>
        <x:v>1.301554380820011</x:v>
      </x:c>
      <x:c r="E1762" s="128" t="n">
        <x:f>'Итоги'!$B$9</x:f>
        <x:v>1.2958368660043291</x:v>
      </x:c>
      <x:c r="F1762" s="129" t="n">
        <x:f>ABS(D1762-E1762)</x:f>
        <x:v>0.0057175148156818345</x:v>
      </x:c>
    </x:row>
    <x:row r="1763">
      <x:c r="A1763" s="107" t="n">
        <x:v>1762</x:v>
      </x:c>
      <x:c r="B1763" s="128" t="n">
        <x:v>1.3382694147657115</x:v>
      </x:c>
      <x:c r="C1763" s="128" t="n">
        <x:f>LN(B1763)</x:f>
        <x:v>0.29137729776371096</x:v>
      </x:c>
      <x:c r="D1763" s="128" t="n">
        <x:f>'Итоги'!$B$8*AVERAGE($C$2:C1763)</x:f>
        <x:v>1.301146435425407</x:v>
      </x:c>
      <x:c r="E1763" s="128" t="n">
        <x:f>'Итоги'!$B$9</x:f>
        <x:v>1.2958368660043291</x:v>
      </x:c>
      <x:c r="F1763" s="129" t="n">
        <x:f>ABS(D1763-E1763)</x:f>
        <x:v>0.005309569421077853</x:v>
      </x:c>
    </x:row>
    <x:row r="1764">
      <x:c r="A1764" s="107" t="n">
        <x:v>1763</x:v>
      </x:c>
      <x:c r="B1764" s="128" t="n">
        <x:v>1.4235443269326207</x:v>
      </x:c>
      <x:c r="C1764" s="128" t="n">
        <x:f>LN(B1764)</x:f>
        <x:v>0.3531497666488305</x:v>
      </x:c>
      <x:c r="D1764" s="128" t="n">
        <x:f>'Итоги'!$B$8*AVERAGE($C$2:C1764)</x:f>
        <x:v>1.3008090293549999</x:v>
      </x:c>
      <x:c r="E1764" s="128" t="n">
        <x:f>'Итоги'!$B$9</x:f>
        <x:v>1.2958368660043291</x:v>
      </x:c>
      <x:c r="F1764" s="129" t="n">
        <x:f>ABS(D1764-E1764)</x:f>
        <x:v>0.004972163350670744</x:v>
      </x:c>
    </x:row>
    <x:row r="1765">
      <x:c r="A1765" s="107" t="n">
        <x:v>1764</x:v>
      </x:c>
      <x:c r="B1765" s="128" t="n">
        <x:v>1.1800027820901797</x:v>
      </x:c>
      <x:c r="C1765" s="128" t="n">
        <x:f>LN(B1765)</x:f>
        <x:v>0.16551679617833615</x:v>
      </x:c>
      <x:c r="D1765" s="128" t="n">
        <x:f>'Итоги'!$B$8*AVERAGE($C$2:C1765)</x:f>
        <x:v>1.3002592700369735</x:v>
      </x:c>
      <x:c r="E1765" s="128" t="n">
        <x:f>'Итоги'!$B$9</x:f>
        <x:v>1.2958368660043291</x:v>
      </x:c>
      <x:c r="F1765" s="129" t="n">
        <x:f>ABS(D1765-E1765)</x:f>
        <x:v>0.004422404032644378</x:v>
      </x:c>
    </x:row>
    <x:row r="1766">
      <x:c r="A1766" s="107" t="n">
        <x:v>1765</x:v>
      </x:c>
      <x:c r="B1766" s="128" t="n">
        <x:v>1.2402212602027687</x:v>
      </x:c>
      <x:c r="C1766" s="128" t="n">
        <x:f>LN(B1766)</x:f>
        <x:v>0.21528979934659295</x:v>
      </x:c>
      <x:c r="D1766" s="128" t="n">
        <x:f>'Итоги'!$B$8*AVERAGE($C$2:C1766)</x:f>
        <x:v>1.2997665336792716</x:v>
      </x:c>
      <x:c r="E1766" s="128" t="n">
        <x:f>'Итоги'!$B$9</x:f>
        <x:v>1.2958368660043291</x:v>
      </x:c>
      <x:c r="F1766" s="129" t="n">
        <x:f>ABS(D1766-E1766)</x:f>
        <x:v>0.003929667674942516</x:v>
      </x:c>
    </x:row>
    <x:row r="1767">
      <x:c r="A1767" s="107" t="n">
        <x:v>1766</x:v>
      </x:c>
      <x:c r="B1767" s="128" t="n">
        <x:v>1.1426090683696908</x:v>
      </x:c>
      <x:c r="C1767" s="128" t="n">
        <x:f>LN(B1767)</x:f>
        <x:v>0.1333143038859469</x:v>
      </x:c>
      <x:c r="D1767" s="128" t="n">
        <x:f>'Итоги'!$B$8*AVERAGE($C$2:C1767)</x:f>
        <x:v>1.2991815178661872</x:v>
      </x:c>
      <x:c r="E1767" s="128" t="n">
        <x:f>'Итоги'!$B$9</x:f>
        <x:v>1.2958368660043291</x:v>
      </x:c>
      <x:c r="F1767" s="129" t="n">
        <x:f>ABS(D1767-E1767)</x:f>
        <x:v>0.003344651861858061</x:v>
      </x:c>
    </x:row>
    <x:row r="1768">
      <x:c r="A1768" s="107" t="n">
        <x:v>1767</x:v>
      </x:c>
      <x:c r="B1768" s="128" t="n">
        <x:v>2.979646138409747</x:v>
      </x:c>
      <x:c r="C1768" s="128" t="n">
        <x:f>LN(B1768)</x:f>
        <x:v>1.0918045479664231</x:v>
      </x:c>
      <x:c r="D1768" s="128" t="n">
        <x:f>'Итоги'!$B$8*AVERAGE($C$2:C1768)</x:f>
        <x:v>1.2996820428113296</x:v>
      </x:c>
      <x:c r="E1768" s="128" t="n">
        <x:f>'Итоги'!$B$9</x:f>
        <x:v>1.2958368660043291</x:v>
      </x:c>
      <x:c r="F1768" s="129" t="n">
        <x:f>ABS(D1768-E1768)</x:f>
        <x:v>0.003845176807000472</x:v>
      </x:c>
    </x:row>
    <x:row r="1769">
      <x:c r="A1769" s="107" t="n">
        <x:v>1768</x:v>
      </x:c>
      <x:c r="B1769" s="128" t="n">
        <x:v>1.1481153667381472</x:v>
      </x:c>
      <x:c r="C1769" s="128" t="n">
        <x:f>LN(B1769)</x:f>
        <x:v>0.13812178652256787</x:v>
      </x:c>
      <x:c r="D1769" s="128" t="n">
        <x:f>'Итоги'!$B$8*AVERAGE($C$2:C1769)</x:f>
        <x:v>1.2991031748985657</x:v>
      </x:c>
      <x:c r="E1769" s="128" t="n">
        <x:f>'Итоги'!$B$9</x:f>
        <x:v>1.2958368660043291</x:v>
      </x:c>
      <x:c r="F1769" s="129" t="n">
        <x:f>ABS(D1769-E1769)</x:f>
        <x:v>0.0032663088942366247</x:v>
      </x:c>
    </x:row>
    <x:row r="1770">
      <x:c r="A1770" s="107" t="n">
        <x:v>1769</x:v>
      </x:c>
      <x:c r="B1770" s="128" t="n">
        <x:v>1.2650841619028272</x:v>
      </x:c>
      <x:c r="C1770" s="128" t="n">
        <x:f>LN(B1770)</x:f>
        <x:v>0.2351386511148649</x:v>
      </x:c>
      <x:c r="D1770" s="128" t="n">
        <x:f>'Итоги'!$B$8*AVERAGE($C$2:C1770)</x:f>
        <x:v>1.2986346469886343</x:v>
      </x:c>
      <x:c r="E1770" s="128" t="n">
        <x:f>'Итоги'!$B$9</x:f>
        <x:v>1.2958368660043291</x:v>
      </x:c>
      <x:c r="F1770" s="129" t="n">
        <x:f>ABS(D1770-E1770)</x:f>
        <x:v>0.002797780984305165</x:v>
      </x:c>
    </x:row>
    <x:row r="1771">
      <x:c r="A1771" s="107" t="n">
        <x:v>1770</x:v>
      </x:c>
      <x:c r="B1771" s="128" t="n">
        <x:v>2.654509191181473</x:v>
      </x:c>
      <x:c r="C1771" s="128" t="n">
        <x:f>LN(B1771)</x:f>
        <x:v>0.9762597755262608</x:v>
      </x:c>
      <x:c r="D1771" s="128" t="n">
        <x:f>'Итоги'!$B$8*AVERAGE($C$2:C1771)</x:f>
        <x:v>1.2990040734881052</x:v>
      </x:c>
      <x:c r="E1771" s="128" t="n">
        <x:f>'Итоги'!$B$9</x:f>
        <x:v>1.2958368660043291</x:v>
      </x:c>
      <x:c r="F1771" s="129" t="n">
        <x:f>ABS(D1771-E1771)</x:f>
        <x:v>0.00316720748377608</x:v>
      </x:c>
    </x:row>
    <x:row r="1772">
      <x:c r="A1772" s="107" t="n">
        <x:v>1771</x:v>
      </x:c>
      <x:c r="B1772" s="128" t="n">
        <x:v>2.160480433485886</x:v>
      </x:c>
      <x:c r="C1772" s="128" t="n">
        <x:f>LN(B1772)</x:f>
        <x:v>0.7703306198738978</x:v>
      </x:c>
      <x:c r="D1772" s="128" t="n">
        <x:f>'Итоги'!$B$8*AVERAGE($C$2:C1772)</x:f>
        <x:v>1.2991405258688278</x:v>
      </x:c>
      <x:c r="E1772" s="128" t="n">
        <x:f>'Итоги'!$B$9</x:f>
        <x:v>1.2958368660043291</x:v>
      </x:c>
      <x:c r="F1772" s="129" t="n">
        <x:f>ABS(D1772-E1772)</x:f>
        <x:v>0.0033036598644986537</x:v>
      </x:c>
    </x:row>
    <x:row r="1773">
      <x:c r="A1773" s="107" t="n">
        <x:v>1772</x:v>
      </x:c>
      <x:c r="B1773" s="128" t="n">
        <x:v>2.5488344091386645</x:v>
      </x:c>
      <x:c r="C1773" s="128" t="n">
        <x:f>LN(B1773)</x:f>
        <x:v>0.9356361602153932</x:v>
      </x:c>
      <x:c r="D1773" s="128" t="n">
        <x:f>'Итоги'!$B$8*AVERAGE($C$2:C1773)</x:f>
        <x:v>1.2994633993420568</x:v>
      </x:c>
      <x:c r="E1773" s="128" t="n">
        <x:f>'Итоги'!$B$9</x:f>
        <x:v>1.2958368660043291</x:v>
      </x:c>
      <x:c r="F1773" s="129" t="n">
        <x:f>ABS(D1773-E1773)</x:f>
        <x:v>0.0036265333377276665</x:v>
      </x:c>
    </x:row>
    <x:row r="1774">
      <x:c r="A1774" s="107" t="n">
        <x:v>1773</x:v>
      </x:c>
      <x:c r="B1774" s="128" t="n">
        <x:v>2.2618240155453098</x:v>
      </x:c>
      <x:c r="C1774" s="128" t="n">
        <x:f>LN(B1774)</x:f>
        <x:v>0.8161715742894752</x:v>
      </x:c>
      <x:c r="D1774" s="128" t="n">
        <x:f>'Итоги'!$B$8*AVERAGE($C$2:C1774)</x:f>
        <x:v>1.2996511487776106</x:v>
      </x:c>
      <x:c r="E1774" s="128" t="n">
        <x:f>'Итоги'!$B$9</x:f>
        <x:v>1.2958368660043291</x:v>
      </x:c>
      <x:c r="F1774" s="129" t="n">
        <x:f>ABS(D1774-E1774)</x:f>
        <x:v>0.003814282773281441</x:v>
      </x:c>
    </x:row>
    <x:row r="1775">
      <x:c r="A1775" s="107" t="n">
        <x:v>1774</x:v>
      </x:c>
      <x:c r="B1775" s="128" t="n">
        <x:v>2.7643501406578963</x:v>
      </x:c>
      <x:c r="C1775" s="128" t="n">
        <x:f>LN(B1775)</x:f>
        <x:v>1.0168055768468276</x:v>
      </x:c>
      <x:c r="D1775" s="128" t="n">
        <x:f>'Итоги'!$B$8*AVERAGE($C$2:C1775)</x:f>
        <x:v>1.3000648804602013</x:v>
      </x:c>
      <x:c r="E1775" s="128" t="n">
        <x:f>'Итоги'!$B$9</x:f>
        <x:v>1.2958368660043291</x:v>
      </x:c>
      <x:c r="F1775" s="129" t="n">
        <x:f>ABS(D1775-E1775)</x:f>
        <x:v>0.0042280144558721755</x:v>
      </x:c>
    </x:row>
    <x:row r="1776">
      <x:c r="A1776" s="107" t="n">
        <x:v>1775</x:v>
      </x:c>
      <x:c r="B1776" s="128" t="n">
        <x:v>2.2769350555294814</x:v>
      </x:c>
      <x:c r="C1776" s="128" t="n">
        <x:f>LN(B1776)</x:f>
        <x:v>0.822830264729074</x:v>
      </x:c>
      <x:c r="D1776" s="128" t="n">
        <x:f>'Итоги'!$B$8*AVERAGE($C$2:C1776)</x:f>
        <x:v>1.3002595822342846</x:v>
      </x:c>
      <x:c r="E1776" s="128" t="n">
        <x:f>'Итоги'!$B$9</x:f>
        <x:v>1.2958368660043291</x:v>
      </x:c>
      <x:c r="F1776" s="129" t="n">
        <x:f>ABS(D1776-E1776)</x:f>
        <x:v>0.004422716229955492</x:v>
      </x:c>
    </x:row>
    <x:row r="1777">
      <x:c r="A1777" s="107" t="n">
        <x:v>1776</x:v>
      </x:c>
      <x:c r="B1777" s="128" t="n">
        <x:v>2.044250185806302</x:v>
      </x:c>
      <x:c r="C1777" s="128" t="n">
        <x:f>LN(B1777)</x:f>
        <x:v>0.7150310649521073</x:v>
      </x:c>
      <x:c r="D1777" s="128" t="n">
        <x:f>'Итоги'!$B$8*AVERAGE($C$2:C1777)</x:f>
        <x:v>1.300332669254369</x:v>
      </x:c>
      <x:c r="E1777" s="128" t="n">
        <x:f>'Итоги'!$B$9</x:f>
        <x:v>1.2958368660043291</x:v>
      </x:c>
      <x:c r="F1777" s="129" t="n">
        <x:f>ABS(D1777-E1777)</x:f>
        <x:v>0.004495803250039954</x:v>
      </x:c>
    </x:row>
    <x:row r="1778">
      <x:c r="A1778" s="107" t="n">
        <x:v>1777</x:v>
      </x:c>
      <x:c r="B1778" s="128" t="n">
        <x:v>2.425499387522599</x:v>
      </x:c>
      <x:c r="C1778" s="128" t="n">
        <x:f>LN(B1778)</x:f>
        <x:v>0.8860374361871671</x:v>
      </x:c>
      <x:c r="D1778" s="128" t="n">
        <x:f>'Итоги'!$B$8*AVERAGE($C$2:C1778)</x:f>
        <x:v>1.3005981403872449</x:v>
      </x:c>
      <x:c r="E1778" s="128" t="n">
        <x:f>'Итоги'!$B$9</x:f>
        <x:v>1.2958368660043291</x:v>
      </x:c>
      <x:c r="F1778" s="129" t="n">
        <x:f>ABS(D1778-E1778)</x:f>
        <x:v>0.004761274382915737</x:v>
      </x:c>
    </x:row>
    <x:row r="1779">
      <x:c r="A1779" s="107" t="n">
        <x:v>1778</x:v>
      </x:c>
      <x:c r="B1779" s="128" t="n">
        <x:v>1.894785503584219</x:v>
      </x:c>
      <x:c r="C1779" s="128" t="n">
        <x:f>LN(B1779)</x:f>
        <x:v>0.6391056414071078</x:v>
      </x:c>
      <x:c r="D1779" s="128" t="n">
        <x:f>'Итоги'!$B$8*AVERAGE($C$2:C1779)</x:f>
        <x:v>1.300585549353739</x:v>
      </x:c>
      <x:c r="E1779" s="128" t="n">
        <x:f>'Итоги'!$B$9</x:f>
        <x:v>1.2958368660043291</x:v>
      </x:c>
      <x:c r="F1779" s="129" t="n">
        <x:f>ABS(D1779-E1779)</x:f>
        <x:v>0.004748683349409921</x:v>
      </x:c>
    </x:row>
    <x:row r="1780">
      <x:c r="A1780" s="107" t="n">
        <x:v>1779</x:v>
      </x:c>
      <x:c r="B1780" s="128" t="n">
        <x:v>1.6921276458094694</x:v>
      </x:c>
      <x:c r="C1780" s="128" t="n">
        <x:f>LN(B1780)</x:f>
        <x:v>0.525986699124257</x:v>
      </x:c>
      <x:c r="D1780" s="128" t="n">
        <x:f>'Итоги'!$B$8*AVERAGE($C$2:C1780)</x:f>
        <x:v>1.3004458010956699</x:v>
      </x:c>
      <x:c r="E1780" s="128" t="n">
        <x:f>'Итоги'!$B$9</x:f>
        <x:v>1.2958368660043291</x:v>
      </x:c>
      <x:c r="F1780" s="129" t="n">
        <x:f>ABS(D1780-E1780)</x:f>
        <x:v>0.004608935091340749</x:v>
      </x:c>
    </x:row>
    <x:row r="1781">
      <x:c r="A1781" s="107" t="n">
        <x:v>1780</x:v>
      </x:c>
      <x:c r="B1781" s="128" t="n">
        <x:v>1.935304904900425</x:v>
      </x:c>
      <x:c r="C1781" s="128" t="n">
        <x:f>LN(B1781)</x:f>
        <x:v>0.6602648876602816</x:v>
      </x:c>
      <x:c r="D1781" s="128" t="n">
        <x:f>'Итоги'!$B$8*AVERAGE($C$2:C1781)</x:f>
        <x:v>1.3004570842272571</x:v>
      </x:c>
      <x:c r="E1781" s="128" t="n">
        <x:f>'Итоги'!$B$9</x:f>
        <x:v>1.2958368660043291</x:v>
      </x:c>
      <x:c r="F1781" s="129" t="n">
        <x:f>ABS(D1781-E1781)</x:f>
        <x:v>0.004620218222928019</x:v>
      </x:c>
    </x:row>
    <x:row r="1782">
      <x:c r="A1782" s="107" t="n">
        <x:v>1781</x:v>
      </x:c>
      <x:c r="B1782" s="128" t="n">
        <x:v>1.3394282101971213</x:v>
      </x:c>
      <x:c r="C1782" s="128" t="n">
        <x:f>LN(B1782)</x:f>
        <x:v>0.2922428140885914</x:v>
      </x:c>
      <x:c r="D1782" s="128" t="n">
        <x:f>'Итоги'!$B$8*AVERAGE($C$2:C1782)</x:f>
        <x:v>1.3000550789178522</x:v>
      </x:c>
      <x:c r="E1782" s="128" t="n">
        <x:f>'Итоги'!$B$9</x:f>
        <x:v>1.2958368660043291</x:v>
      </x:c>
      <x:c r="F1782" s="129" t="n">
        <x:f>ABS(D1782-E1782)</x:f>
        <x:v>0.0042182129135230895</x:v>
      </x:c>
    </x:row>
    <x:row r="1783">
      <x:c r="A1783" s="107" t="n">
        <x:v>1782</x:v>
      </x:c>
      <x:c r="B1783" s="128" t="n">
        <x:v>2.5931434596053826</x:v>
      </x:c>
      <x:c r="C1783" s="128" t="n">
        <x:f>LN(B1783)</x:f>
        <x:v>0.9528708307512923</x:v>
      </x:c>
      <x:c r="D1783" s="128" t="n">
        <x:f>'Итоги'!$B$8*AVERAGE($C$2:C1783)</x:f>
        <x:v>1.3003949703783375</x:v>
      </x:c>
      <x:c r="E1783" s="128" t="n">
        <x:f>'Итоги'!$B$9</x:f>
        <x:v>1.2958368660043291</x:v>
      </x:c>
      <x:c r="F1783" s="129" t="n">
        <x:f>ABS(D1783-E1783)</x:f>
        <x:v>0.004558104374008387</x:v>
      </x:c>
    </x:row>
    <x:row r="1784">
      <x:c r="A1784" s="107" t="n">
        <x:v>1783</x:v>
      </x:c>
      <x:c r="B1784" s="128" t="n">
        <x:v>1.5214075626718893</x:v>
      </x:c>
      <x:c r="C1784" s="128" t="n">
        <x:f>LN(B1784)</x:f>
        <x:v>0.41963593443231445</x:v>
      </x:c>
      <x:c r="D1784" s="128" t="n">
        <x:f>'Итоги'!$B$8*AVERAGE($C$2:C1784)</x:f>
        <x:v>1.3001363483359853</x:v>
      </x:c>
      <x:c r="E1784" s="128" t="n">
        <x:f>'Итоги'!$B$9</x:f>
        <x:v>1.2958368660043291</x:v>
      </x:c>
      <x:c r="F1784" s="129" t="n">
        <x:f>ABS(D1784-E1784)</x:f>
        <x:v>0.004299482331656224</x:v>
      </x:c>
    </x:row>
    <x:row r="1785">
      <x:c r="A1785" s="107" t="n">
        <x:v>1784</x:v>
      </x:c>
      <x:c r="B1785" s="128" t="n">
        <x:v>1.307063092674095</x:v>
      </x:c>
      <x:c r="C1785" s="128" t="n">
        <x:f>LN(B1785)</x:f>
        <x:v>0.2677827063722386</x:v>
      </x:c>
      <x:c r="D1785" s="128" t="n">
        <x:f>'Итоги'!$B$8*AVERAGE($C$2:C1785)</x:f>
        <x:v>1.299707777183748</x:v>
      </x:c>
      <x:c r="E1785" s="128" t="n">
        <x:f>'Итоги'!$B$9</x:f>
        <x:v>1.2958368660043291</x:v>
      </x:c>
      <x:c r="F1785" s="129" t="n">
        <x:f>ABS(D1785-E1785)</x:f>
        <x:v>0.0038709111794188455</x:v>
      </x:c>
    </x:row>
    <x:row r="1786">
      <x:c r="A1786" s="107" t="n">
        <x:v>1785</x:v>
      </x:c>
      <x:c r="B1786" s="128" t="n">
        <x:v>1.4927044835664536</x:v>
      </x:c>
      <x:c r="C1786" s="128" t="n">
        <x:f>LN(B1786)</x:f>
        <x:v>0.4005895643146707</x:v>
      </x:c>
      <x:c r="D1786" s="128" t="n">
        <x:f>'Итоги'!$B$8*AVERAGE($C$2:C1786)</x:f>
        <x:v>1.2994284894254542</x:v>
      </x:c>
      <x:c r="E1786" s="128" t="n">
        <x:f>'Итоги'!$B$9</x:f>
        <x:v>1.2958368660043291</x:v>
      </x:c>
      <x:c r="F1786" s="129" t="n">
        <x:f>ABS(D1786-E1786)</x:f>
        <x:v>0.0035916234211250675</x:v>
      </x:c>
    </x:row>
    <x:row r="1787">
      <x:c r="A1787" s="107" t="n">
        <x:v>1786</x:v>
      </x:c>
      <x:c r="B1787" s="128" t="n">
        <x:v>2.6841403035444795</x:v>
      </x:c>
      <x:c r="C1787" s="128" t="n">
        <x:f>LN(B1787)</x:f>
        <x:v>0.9873604917910636</x:v>
      </x:c>
      <x:c r="D1787" s="128" t="n">
        <x:f>'Итоги'!$B$8*AVERAGE($C$2:C1787)</x:f>
        <x:v>1.299806592725654</x:v>
      </x:c>
      <x:c r="E1787" s="128" t="n">
        <x:f>'Итоги'!$B$9</x:f>
        <x:v>1.2958368660043291</x:v>
      </x:c>
      <x:c r="F1787" s="129" t="n">
        <x:f>ABS(D1787-E1787)</x:f>
        <x:v>0.0039697267213247844</x:v>
      </x:c>
    </x:row>
    <x:row r="1788">
      <x:c r="A1788" s="107" t="n">
        <x:v>1787</x:v>
      </x:c>
      <x:c r="B1788" s="128" t="n">
        <x:v>1.6604025911954627</x:v>
      </x:c>
      <x:c r="C1788" s="128" t="n">
        <x:f>LN(B1788)</x:f>
        <x:v>0.5070600977806065</x:v>
      </x:c>
      <x:c r="D1788" s="128" t="n">
        <x:f>'Итоги'!$B$8*AVERAGE($C$2:C1788)</x:f>
        <x:v>1.299646723449121</x:v>
      </x:c>
      <x:c r="E1788" s="128" t="n">
        <x:f>'Итоги'!$B$9</x:f>
        <x:v>1.2958368660043291</x:v>
      </x:c>
      <x:c r="F1788" s="129" t="n">
        <x:f>ABS(D1788-E1788)</x:f>
        <x:v>0.0038098574447917866</x:v>
      </x:c>
    </x:row>
    <x:row r="1789">
      <x:c r="A1789" s="107" t="n">
        <x:v>1788</x:v>
      </x:c>
      <x:c r="B1789" s="128" t="n">
        <x:v>2.3720997390118006</x:v>
      </x:c>
      <x:c r="C1789" s="128" t="n">
        <x:f>LN(B1789)</x:f>
        <x:v>0.8637755287387345</x:v>
      </x:c>
      <x:c r="D1789" s="128" t="n">
        <x:f>'Итоги'!$B$8*AVERAGE($C$2:C1789)</x:f>
        <x:v>1.299886043546452</x:v>
      </x:c>
      <x:c r="E1789" s="128" t="n">
        <x:f>'Итоги'!$B$9</x:f>
        <x:v>1.2958368660043291</x:v>
      </x:c>
      <x:c r="F1789" s="129" t="n">
        <x:f>ABS(D1789-E1789)</x:f>
        <x:v>0.0040491775421229725</x:v>
      </x:c>
    </x:row>
    <x:row r="1790">
      <x:c r="A1790" s="107" t="n">
        <x:v>1789</x:v>
      </x:c>
      <x:c r="B1790" s="128" t="n">
        <x:v>2.7128192613114788</x:v>
      </x:c>
      <x:c r="C1790" s="128" t="n">
        <x:f>LN(B1790)</x:f>
        <x:v>0.9979884119631387</x:v>
      </x:c>
      <x:c r="D1790" s="128" t="n">
        <x:f>'Итоги'!$B$8*AVERAGE($C$2:C1790)</x:f>
        <x:v>1.3002751384488445</x:v>
      </x:c>
      <x:c r="E1790" s="128" t="n">
        <x:f>'Итоги'!$B$9</x:f>
        <x:v>1.2958368660043291</x:v>
      </x:c>
      <x:c r="F1790" s="129" t="n">
        <x:f>ABS(D1790-E1790)</x:f>
        <x:v>0.004438272444515334</x:v>
      </x:c>
    </x:row>
    <x:row r="1791">
      <x:c r="A1791" s="107" t="n">
        <x:v>1790</x:v>
      </x:c>
      <x:c r="B1791" s="128" t="n">
        <x:v>1.1554893338500842</x:v>
      </x:c>
      <x:c r="C1791" s="128" t="n">
        <x:f>LN(B1791)</x:f>
        <x:v>0.14452391992386526</x:v>
      </x:c>
      <x:c r="D1791" s="128" t="n">
        <x:f>'Итоги'!$B$8*AVERAGE($C$2:C1791)</x:f>
        <x:v>1.299710206997112</x:v>
      </x:c>
      <x:c r="E1791" s="128" t="n">
        <x:f>'Итоги'!$B$9</x:f>
        <x:v>1.2958368660043291</x:v>
      </x:c>
      <x:c r="F1791" s="129" t="n">
        <x:f>ABS(D1791-E1791)</x:f>
        <x:v>0.0038733409927829143</x:v>
      </x:c>
    </x:row>
    <x:row r="1792">
      <x:c r="A1792" s="107" t="n">
        <x:v>1791</x:v>
      </x:c>
      <x:c r="B1792" s="128" t="n">
        <x:v>2.530048810356086</x:v>
      </x:c>
      <x:c r="C1792" s="128" t="n">
        <x:f>LN(B1792)</x:f>
        <x:v>0.9282385951841925</x:v>
      </x:c>
      <x:c r="D1792" s="128" t="n">
        <x:f>'Итоги'!$B$8*AVERAGE($C$2:C1792)</x:f>
        <x:v>1.3000210763345612</x:v>
      </x:c>
      <x:c r="E1792" s="128" t="n">
        <x:f>'Итоги'!$B$9</x:f>
        <x:v>1.2958368660043291</x:v>
      </x:c>
      <x:c r="F1792" s="129" t="n">
        <x:f>ABS(D1792-E1792)</x:f>
        <x:v>0.0041842103302320854</x:v>
      </x:c>
    </x:row>
    <x:row r="1793">
      <x:c r="A1793" s="107" t="n">
        <x:v>1792</x:v>
      </x:c>
      <x:c r="B1793" s="128" t="n">
        <x:v>1.61533093275806</x:v>
      </x:c>
      <x:c r="C1793" s="128" t="n">
        <x:f>LN(B1793)</x:f>
        <x:v>0.47953984760753443</x:v>
      </x:c>
      <x:c r="D1793" s="128" t="n">
        <x:f>'Итоги'!$B$8*AVERAGE($C$2:C1793)</x:f>
        <x:v>1.2998308188674186</x:v>
      </x:c>
      <x:c r="E1793" s="128" t="n">
        <x:f>'Итоги'!$B$9</x:f>
        <x:v>1.2958368660043291</x:v>
      </x:c>
      <x:c r="F1793" s="129" t="n">
        <x:f>ABS(D1793-E1793)</x:f>
        <x:v>0.003993952863089456</x:v>
      </x:c>
    </x:row>
    <x:row r="1794">
      <x:c r="A1794" s="107" t="n">
        <x:v>1793</x:v>
      </x:c>
      <x:c r="B1794" s="128" t="n">
        <x:v>1.4332447283680854</x:v>
      </x:c>
      <x:c r="C1794" s="128" t="n">
        <x:f>LN(B1794)</x:f>
        <x:v>0.35994091470301687</x:v>
      </x:c>
      <x:c r="D1794" s="128" t="n">
        <x:f>'Итоги'!$B$8*AVERAGE($C$2:C1794)</x:f>
        <x:v>1.299507367116464</x:v>
      </x:c>
      <x:c r="E1794" s="128" t="n">
        <x:f>'Итоги'!$B$9</x:f>
        <x:v>1.2958368660043291</x:v>
      </x:c>
      <x:c r="F1794" s="129" t="n">
        <x:f>ABS(D1794-E1794)</x:f>
        <x:v>0.0036705011121349607</x:v>
      </x:c>
    </x:row>
    <x:row r="1795">
      <x:c r="A1795" s="107" t="n">
        <x:v>1794</x:v>
      </x:c>
      <x:c r="B1795" s="128" t="n">
        <x:v>2.3778029049059444</x:v>
      </x:c>
      <x:c r="C1795" s="128" t="n">
        <x:f>LN(B1795)</x:f>
        <x:v>0.8661769121195594</x:v>
      </x:c>
      <x:c r="D1795" s="128" t="n">
        <x:f>'Итоги'!$B$8*AVERAGE($C$2:C1795)</x:f>
        <x:v>1.299748641618762</x:v>
      </x:c>
      <x:c r="E1795" s="128" t="n">
        <x:f>'Итоги'!$B$9</x:f>
        <x:v>1.2958368660043291</x:v>
      </x:c>
      <x:c r="F1795" s="129" t="n">
        <x:f>ABS(D1795-E1795)</x:f>
        <x:v>0.0039117756144329</x:v>
      </x:c>
    </x:row>
    <x:row r="1796">
      <x:c r="A1796" s="107" t="n">
        <x:v>1795</x:v>
      </x:c>
      <x:c r="B1796" s="128" t="n">
        <x:v>2.819593245466468</x:v>
      </x:c>
      <x:c r="C1796" s="128" t="n">
        <x:f>LN(B1796)</x:f>
        <x:v>1.036592635350261</x:v>
      </x:c>
      <x:c r="D1796" s="128" t="n">
        <x:f>'Итоги'!$B$8*AVERAGE($C$2:C1796)</x:f>
        <x:v>1.3001795255346849</x:v>
      </x:c>
      <x:c r="E1796" s="128" t="n">
        <x:f>'Итоги'!$B$9</x:f>
        <x:v>1.2958368660043291</x:v>
      </x:c>
      <x:c r="F1796" s="129" t="n">
        <x:f>ABS(D1796-E1796)</x:f>
        <x:v>0.00434265953035573</x:v>
      </x:c>
    </x:row>
    <x:row r="1797">
      <x:c r="A1797" s="107" t="n">
        <x:v>1796</x:v>
      </x:c>
      <x:c r="B1797" s="128" t="n">
        <x:v>1.5900384174247908</x:v>
      </x:c>
      <x:c r="C1797" s="128" t="n">
        <x:f>LN(B1797)</x:f>
        <x:v>0.46375817784263024</x:v>
      </x:c>
      <x:c r="D1797" s="128" t="n">
        <x:f>'Итоги'!$B$8*AVERAGE($C$2:C1797)</x:f>
        <x:v>1.2999720293376642</x:v>
      </x:c>
      <x:c r="E1797" s="128" t="n">
        <x:f>'Итоги'!$B$9</x:f>
        <x:v>1.2958368660043291</x:v>
      </x:c>
      <x:c r="F1797" s="129" t="n">
        <x:f>ABS(D1797-E1797)</x:f>
        <x:v>0.004135163333335079</x:v>
      </x:c>
    </x:row>
    <x:row r="1798">
      <x:c r="A1798" s="107" t="n">
        <x:v>1797</x:v>
      </x:c>
      <x:c r="B1798" s="128" t="n">
        <x:v>2.137667610768638</x:v>
      </x:c>
      <x:c r="C1798" s="128" t="n">
        <x:f>LN(B1798)</x:f>
        <x:v>0.7597153331492147</x:v>
      </x:c>
      <x:c r="D1798" s="128" t="n">
        <x:f>'Итоги'!$B$8*AVERAGE($C$2:C1798)</x:f>
        <x:v>1.30009415434432</x:v>
      </x:c>
      <x:c r="E1798" s="128" t="n">
        <x:f>'Итоги'!$B$9</x:f>
        <x:v>1.2958368660043291</x:v>
      </x:c>
      <x:c r="F1798" s="129" t="n">
        <x:f>ABS(D1798-E1798)</x:f>
        <x:v>0.00425728833999095</x:v>
      </x:c>
    </x:row>
    <x:row r="1799">
      <x:c r="A1799" s="107" t="n">
        <x:v>1798</x:v>
      </x:c>
      <x:c r="B1799" s="128" t="n">
        <x:v>1.579668227698983</x:v>
      </x:c>
      <x:c r="C1799" s="128" t="n">
        <x:f>LN(B1799)</x:f>
        <x:v>0.457214842520472</x:v>
      </x:c>
      <x:c r="D1799" s="128" t="n">
        <x:f>'Итоги'!$B$8*AVERAGE($C$2:C1799)</x:f>
        <x:v>1.2998796579765206</x:v>
      </x:c>
      <x:c r="E1799" s="128" t="n">
        <x:f>'Итоги'!$B$9</x:f>
        <x:v>1.2958368660043291</x:v>
      </x:c>
      <x:c r="F1799" s="129" t="n">
        <x:f>ABS(D1799-E1799)</x:f>
        <x:v>0.004042791972191484</x:v>
      </x:c>
    </x:row>
    <x:row r="1800">
      <x:c r="A1800" s="107" t="n">
        <x:v>1799</x:v>
      </x:c>
      <x:c r="B1800" s="128" t="n">
        <x:v>2.108571171452856</x:v>
      </x:c>
      <x:c r="C1800" s="128" t="n">
        <x:f>LN(B1800)</x:f>
        <x:v>0.7460105481773032</x:v>
      </x:c>
      <x:c r="D1800" s="128" t="n">
        <x:f>'Итоги'!$B$8*AVERAGE($C$2:C1800)</x:f>
        <x:v>1.2999864625559414</x:v>
      </x:c>
      <x:c r="E1800" s="128" t="n">
        <x:f>'Итоги'!$B$9</x:f>
        <x:v>1.2958368660043291</x:v>
      </x:c>
      <x:c r="F1800" s="129" t="n">
        <x:f>ABS(D1800-E1800)</x:f>
        <x:v>0.004149596551612289</x:v>
      </x:c>
    </x:row>
    <x:row r="1801">
      <x:c r="A1801" s="107" t="n">
        <x:v>1800</x:v>
      </x:c>
      <x:c r="B1801" s="128" t="n">
        <x:v>2.243724061308681</x:v>
      </x:c>
      <x:c r="C1801" s="128" t="n">
        <x:f>LN(B1801)</x:f>
        <x:v>0.8081370127681005</x:v>
      </x:c>
      <x:c r="D1801" s="128" t="n">
        <x:f>'Итоги'!$B$8*AVERAGE($C$2:C1801)</x:f>
        <x:v>1.3001621778687085</x:v>
      </x:c>
      <x:c r="E1801" s="128" t="n">
        <x:f>'Итоги'!$B$9</x:f>
        <x:v>1.2958368660043291</x:v>
      </x:c>
      <x:c r="F1801" s="129" t="n">
        <x:f>ABS(D1801-E1801)</x:f>
        <x:v>0.004325311864379344</x:v>
      </x:c>
    </x:row>
    <x:row r="1802">
      <x:c r="A1802" s="107" t="n">
        <x:v>1801</x:v>
      </x:c>
      <x:c r="B1802" s="128" t="n">
        <x:v>2.2206707775803594</x:v>
      </x:c>
      <x:c r="C1802" s="128" t="n">
        <x:f>LN(B1802)</x:f>
        <x:v>0.7978093023086713</x:v>
      </x:c>
      <x:c r="D1802" s="128" t="n">
        <x:f>'Итоги'!$B$8*AVERAGE($C$2:C1802)</x:f>
        <x:v>1.300326229188391</x:v>
      </x:c>
      <x:c r="E1802" s="128" t="n">
        <x:f>'Итоги'!$B$9</x:f>
        <x:v>1.2958368660043291</x:v>
      </x:c>
      <x:c r="F1802" s="129" t="n">
        <x:f>ABS(D1802-E1802)</x:f>
        <x:v>0.004489363184061901</x:v>
      </x:c>
    </x:row>
    <x:row r="1803">
      <x:c r="A1803" s="107" t="n">
        <x:v>1802</x:v>
      </x:c>
      <x:c r="B1803" s="128" t="n">
        <x:v>2.247092739285492</x:v>
      </x:c>
      <x:c r="C1803" s="128" t="n">
        <x:f>LN(B1803)</x:f>
        <x:v>0.8096372648417118</x:v>
      </x:c>
      <x:c r="D1803" s="128" t="n">
        <x:f>'Итоги'!$B$8*AVERAGE($C$2:C1803)</x:f>
        <x:v>1.3005032260255138</x:v>
      </x:c>
      <x:c r="E1803" s="128" t="n">
        <x:f>'Итоги'!$B$9</x:f>
        <x:v>1.2958368660043291</x:v>
      </x:c>
      <x:c r="F1803" s="129" t="n">
        <x:f>ABS(D1803-E1803)</x:f>
        <x:v>0.004666360021184701</x:v>
      </x:c>
    </x:row>
    <x:row r="1804">
      <x:c r="A1804" s="107" t="n">
        <x:v>1803</x:v>
      </x:c>
      <x:c r="B1804" s="128" t="n">
        <x:v>1.2701595844350482</x:v>
      </x:c>
      <x:c r="C1804" s="128" t="n">
        <x:f>LN(B1804)</x:f>
        <x:v>0.23914254961178694</x:v>
      </x:c>
      <x:c r="D1804" s="128" t="n">
        <x:f>'Итоги'!$B$8*AVERAGE($C$2:C1804)</x:f>
        <x:v>1.300047198223627</x:v>
      </x:c>
      <x:c r="E1804" s="128" t="n">
        <x:f>'Итоги'!$B$9</x:f>
        <x:v>1.2958368660043291</x:v>
      </x:c>
      <x:c r="F1804" s="129" t="n">
        <x:f>ABS(D1804-E1804)</x:f>
        <x:v>0.0042103322192978965</x:v>
      </x:c>
    </x:row>
    <x:row r="1805">
      <x:c r="A1805" s="107" t="n">
        <x:v>1804</x:v>
      </x:c>
      <x:c r="B1805" s="128" t="n">
        <x:v>2.387080939173439</x:v>
      </x:c>
      <x:c r="C1805" s="128" t="n">
        <x:f>LN(B1805)</x:f>
        <x:v>0.8700712551075159</x:v>
      </x:c>
      <x:c r="D1805" s="128" t="n">
        <x:f>'Итоги'!$B$8*AVERAGE($C$2:C1805)</x:f>
        <x:v>1.3002911534963495</x:v>
      </x:c>
      <x:c r="E1805" s="128" t="n">
        <x:f>'Итоги'!$B$9</x:f>
        <x:v>1.2958368660043291</x:v>
      </x:c>
      <x:c r="F1805" s="129" t="n">
        <x:f>ABS(D1805-E1805)</x:f>
        <x:v>0.00445428749202037</x:v>
      </x:c>
    </x:row>
    <x:row r="1806">
      <x:c r="A1806" s="107" t="n">
        <x:v>1805</x:v>
      </x:c>
      <x:c r="B1806" s="128" t="n">
        <x:v>2.3495007127604466</x:v>
      </x:c>
      <x:c r="C1806" s="128" t="n">
        <x:f>LN(B1806)</x:f>
        <x:v>0.8542028429275512</x:v>
      </x:c>
      <x:c r="D1806" s="128" t="n">
        <x:f>'Итоги'!$B$8*AVERAGE($C$2:C1806)</x:f>
        <x:v>1.3005172557303433</x:v>
      </x:c>
      <x:c r="E1806" s="128" t="n">
        <x:f>'Итоги'!$B$9</x:f>
        <x:v>1.2958368660043291</x:v>
      </x:c>
      <x:c r="F1806" s="129" t="n">
        <x:f>ABS(D1806-E1806)</x:f>
        <x:v>0.004680389726014145</x:v>
      </x:c>
    </x:row>
    <x:row r="1807">
      <x:c r="A1807" s="107" t="n">
        <x:v>1806</x:v>
      </x:c>
      <x:c r="B1807" s="128" t="n">
        <x:v>2.3651762444337665</x:v>
      </x:c>
      <x:c r="C1807" s="128" t="n">
        <x:f>LN(B1807)</x:f>
        <x:v>0.8608525411265824</x:v>
      </x:c>
      <x:c r="D1807" s="128" t="n">
        <x:f>'Итоги'!$B$8*AVERAGE($C$2:C1807)</x:f>
        <x:v>1.300750471581131</x:v>
      </x:c>
      <x:c r="E1807" s="128" t="n">
        <x:f>'Итоги'!$B$9</x:f>
        <x:v>1.2958368660043291</x:v>
      </x:c>
      <x:c r="F1807" s="129" t="n">
        <x:f>ABS(D1807-E1807)</x:f>
        <x:v>0.004913605576801983</x:v>
      </x:c>
    </x:row>
    <x:row r="1808">
      <x:c r="A1808" s="107" t="n">
        <x:v>1807</x:v>
      </x:c>
      <x:c r="B1808" s="128" t="n">
        <x:v>1.1481411054774127</x:v>
      </x:c>
      <x:c r="C1808" s="128" t="n">
        <x:f>LN(B1808)</x:f>
        <x:v>0.13814420452297682</x:v>
      </x:c>
      <x:c r="D1808" s="128" t="n">
        <x:f>'Итоги'!$B$8*AVERAGE($C$2:C1808)</x:f>
        <x:v>1.3001835307606913</x:v>
      </x:c>
      <x:c r="E1808" s="128" t="n">
        <x:f>'Итоги'!$B$9</x:f>
        <x:v>1.2958368660043291</x:v>
      </x:c>
      <x:c r="F1808" s="129" t="n">
        <x:f>ABS(D1808-E1808)</x:f>
        <x:v>0.00434666475636214</x:v>
      </x:c>
    </x:row>
    <x:row r="1809">
      <x:c r="A1809" s="107" t="n">
        <x:v>1808</x:v>
      </x:c>
      <x:c r="B1809" s="128" t="n">
        <x:v>1.8936776848283052</x:v>
      </x:c>
      <x:c r="C1809" s="128" t="n">
        <x:f>LN(B1809)</x:f>
        <x:v>0.6385208033171519</x:v>
      </x:c>
      <x:c r="D1809" s="128" t="n">
        <x:f>'Итоги'!$B$8*AVERAGE($C$2:C1809)</x:f>
        <x:v>1.3001707310238957</x:v>
      </x:c>
      <x:c r="E1809" s="128" t="n">
        <x:f>'Итоги'!$B$9</x:f>
        <x:v>1.2958368660043291</x:v>
      </x:c>
      <x:c r="F1809" s="129" t="n">
        <x:f>ABS(D1809-E1809)</x:f>
        <x:v>0.004333865019566563</x:v>
      </x:c>
    </x:row>
    <x:row r="1810">
      <x:c r="A1810" s="107" t="n">
        <x:v>1809</x:v>
      </x:c>
      <x:c r="B1810" s="128" t="n">
        <x:v>1.8180702640914594</x:v>
      </x:c>
      <x:c r="C1810" s="128" t="n">
        <x:f>LN(B1810)</x:f>
        <x:v>0.5977756441236435</x:v>
      </x:c>
      <x:c r="D1810" s="128" t="n">
        <x:f>'Итоги'!$B$8*AVERAGE($C$2:C1810)</x:f>
        <x:v>1.3001128982749866</x:v>
      </x:c>
      <x:c r="E1810" s="128" t="n">
        <x:f>'Итоги'!$B$9</x:f>
        <x:v>1.2958368660043291</x:v>
      </x:c>
      <x:c r="F1810" s="129" t="n">
        <x:f>ABS(D1810-E1810)</x:f>
        <x:v>0.004276032270657426</x:v>
      </x:c>
    </x:row>
    <x:row r="1811">
      <x:c r="A1811" s="107" t="n">
        <x:v>1810</x:v>
      </x:c>
      <x:c r="B1811" s="128" t="n">
        <x:v>1.1734229672863983</x:v>
      </x:c>
      <x:c r="C1811" s="128" t="n">
        <x:f>LN(B1811)</x:f>
        <x:v>0.15992509059776688</x:v>
      </x:c>
      <x:c r="D1811" s="128" t="n">
        <x:f>'Итоги'!$B$8*AVERAGE($C$2:C1811)</x:f>
        <x:v>1.2995713166633402</x:v>
      </x:c>
      <x:c r="E1811" s="128" t="n">
        <x:f>'Итоги'!$B$9</x:f>
        <x:v>1.2958368660043291</x:v>
      </x:c>
      <x:c r="F1811" s="129" t="n">
        <x:f>ABS(D1811-E1811)</x:f>
        <x:v>0.0037344506590111237</x:v>
      </x:c>
    </x:row>
    <x:row r="1812">
      <x:c r="A1812" s="107" t="n">
        <x:v>1811</x:v>
      </x:c>
      <x:c r="B1812" s="128" t="n">
        <x:v>1.4447358557936214</x:v>
      </x:c>
      <x:c r="C1812" s="128" t="n">
        <x:f>LN(B1812)</x:f>
        <x:v>0.3679265060959265</x:v>
      </x:c>
      <x:c r="D1812" s="128" t="n">
        <x:f>'Итоги'!$B$8*AVERAGE($C$2:C1812)</x:f>
        <x:v>1.2992600420612026</x:v>
      </x:c>
      <x:c r="E1812" s="128" t="n">
        <x:f>'Итоги'!$B$9</x:f>
        <x:v>1.2958368660043291</x:v>
      </x:c>
      <x:c r="F1812" s="129" t="n">
        <x:f>ABS(D1812-E1812)</x:f>
        <x:v>0.003423176056873478</x:v>
      </x:c>
    </x:row>
    <x:row r="1813">
      <x:c r="A1813" s="107" t="n">
        <x:v>1812</x:v>
      </x:c>
      <x:c r="B1813" s="128" t="n">
        <x:v>1.8819252635960735</x:v>
      </x:c>
      <x:c r="C1813" s="128" t="n">
        <x:f>LN(B1813)</x:f>
        <x:v>0.6322953292142504</x:v>
      </x:c>
      <x:c r="D1813" s="128" t="n">
        <x:f>'Итоги'!$B$8*AVERAGE($C$2:C1813)</x:f>
        <x:v>1.2992409088472772</x:v>
      </x:c>
      <x:c r="E1813" s="128" t="n">
        <x:f>'Итоги'!$B$9</x:f>
        <x:v>1.2958368660043291</x:v>
      </x:c>
      <x:c r="F1813" s="129" t="n">
        <x:f>ABS(D1813-E1813)</x:f>
        <x:v>0.0034040428429480407</x:v>
      </x:c>
    </x:row>
    <x:row r="1814">
      <x:c r="A1814" s="107" t="n">
        <x:v>1813</x:v>
      </x:c>
      <x:c r="B1814" s="128" t="n">
        <x:v>2.4858126197161647</x:v>
      </x:c>
      <x:c r="C1814" s="128" t="n">
        <x:f>LN(B1814)</x:f>
        <x:v>0.9105996160386358</x:v>
      </x:c>
      <x:c r="D1814" s="128" t="n">
        <x:f>'Итоги'!$B$8*AVERAGE($C$2:C1814)</x:f>
        <x:v>1.2995288064331734</x:v>
      </x:c>
      <x:c r="E1814" s="128" t="n">
        <x:f>'Итоги'!$B$9</x:f>
        <x:v>1.2958368660043291</x:v>
      </x:c>
      <x:c r="F1814" s="129" t="n">
        <x:f>ABS(D1814-E1814)</x:f>
        <x:v>0.0036919404288442426</x:v>
      </x:c>
    </x:row>
    <x:row r="1815">
      <x:c r="A1815" s="107" t="n">
        <x:v>1814</x:v>
      </x:c>
      <x:c r="B1815" s="128" t="n">
        <x:v>1.4741241539693264</x:v>
      </x:c>
      <x:c r="C1815" s="128" t="n">
        <x:f>LN(B1815)</x:f>
        <x:v>0.3880640195072533</x:v>
      </x:c>
      <x:c r="D1815" s="128" t="n">
        <x:f>'Итоги'!$B$8*AVERAGE($C$2:C1815)</x:f>
        <x:v>1.2992402723827772</x:v>
      </x:c>
      <x:c r="E1815" s="128" t="n">
        <x:f>'Итоги'!$B$9</x:f>
        <x:v>1.2958368660043291</x:v>
      </x:c>
      <x:c r="F1815" s="129" t="n">
        <x:f>ABS(D1815-E1815)</x:f>
        <x:v>0.0034034063784480484</x:v>
      </x:c>
    </x:row>
    <x:row r="1816">
      <x:c r="A1816" s="107" t="n">
        <x:v>1815</x:v>
      </x:c>
      <x:c r="B1816" s="128" t="n">
        <x:v>2.659499820249823</x:v>
      </x:c>
      <x:c r="C1816" s="128" t="n">
        <x:f>LN(B1816)</x:f>
        <x:v>0.978138067612274</x:v>
      </x:c>
      <x:c r="D1816" s="128" t="n">
        <x:f>'Итоги'!$B$8*AVERAGE($C$2:C1816)</x:f>
        <x:v>1.299602275612993</x:v>
      </x:c>
      <x:c r="E1816" s="128" t="n">
        <x:f>'Итоги'!$B$9</x:f>
        <x:v>1.2958368660043291</x:v>
      </x:c>
      <x:c r="F1816" s="129" t="n">
        <x:f>ABS(D1816-E1816)</x:f>
        <x:v>0.0037654096086638944</x:v>
      </x:c>
    </x:row>
    <x:row r="1817">
      <x:c r="A1817" s="107" t="n">
        <x:v>1816</x:v>
      </x:c>
      <x:c r="B1817" s="128" t="n">
        <x:v>2.091596571478927</x:v>
      </x:c>
      <x:c r="C1817" s="128" t="n">
        <x:f>LN(B1817)</x:f>
        <x:v>0.7379276841446692</x:v>
      </x:c>
      <x:c r="D1817" s="128" t="n">
        <x:f>'Итоги'!$B$8*AVERAGE($C$2:C1817)</x:f>
        <x:v>1.2996993312807665</x:v>
      </x:c>
      <x:c r="E1817" s="128" t="n">
        <x:f>'Итоги'!$B$9</x:f>
        <x:v>1.2958368660043291</x:v>
      </x:c>
      <x:c r="F1817" s="129" t="n">
        <x:f>ABS(D1817-E1817)</x:f>
        <x:v>0.00386246527643741</x:v>
      </x:c>
    </x:row>
    <x:row r="1818">
      <x:c r="A1818" s="107" t="n">
        <x:v>1817</x:v>
      </x:c>
      <x:c r="B1818" s="128" t="n">
        <x:v>2.520843370369235</x:v>
      </x:c>
      <x:c r="C1818" s="128" t="n">
        <x:f>LN(B1818)</x:f>
        <x:v>0.9245935163150002</x:v>
      </x:c>
      <x:c r="D1818" s="128" t="n">
        <x:f>'Итоги'!$B$8*AVERAGE($C$2:C1818)</x:f>
        <x:v>1.3000017460861322</x:v>
      </x:c>
      <x:c r="E1818" s="128" t="n">
        <x:f>'Итоги'!$B$9</x:f>
        <x:v>1.2958368660043291</x:v>
      </x:c>
      <x:c r="F1818" s="129" t="n">
        <x:f>ABS(D1818-E1818)</x:f>
        <x:v>0.004164880081803046</x:v>
      </x:c>
    </x:row>
    <x:row r="1819">
      <x:c r="A1819" s="107" t="n">
        <x:v>1818</x:v>
      </x:c>
      <x:c r="B1819" s="128" t="n">
        <x:v>1.9451119666737142</x:v>
      </x:c>
      <x:c r="C1819" s="128" t="n">
        <x:f>LN(B1819)</x:f>
        <x:v>0.6653195418267479</x:v>
      </x:c>
      <x:c r="D1819" s="128" t="n">
        <x:f>'Итоги'!$B$8*AVERAGE($C$2:C1819)</x:f>
        <x:v>1.3000185983070163</x:v>
      </x:c>
      <x:c r="E1819" s="128" t="n">
        <x:f>'Итоги'!$B$9</x:f>
        <x:v>1.2958368660043291</x:v>
      </x:c>
      <x:c r="F1819" s="129" t="n">
        <x:f>ABS(D1819-E1819)</x:f>
        <x:v>0.004181732302687147</x:v>
      </x:c>
    </x:row>
    <x:row r="1820">
      <x:c r="A1820" s="107" t="n">
        <x:v>1819</x:v>
      </x:c>
      <x:c r="B1820" s="128" t="n">
        <x:v>1.9983884508444467</x:v>
      </x:c>
      <x:c r="C1820" s="128" t="n">
        <x:f>LN(B1820)</x:f>
        <x:v>0.692341081171339</x:v>
      </x:c>
      <x:c r="D1820" s="128" t="n">
        <x:f>'Итоги'!$B$8*AVERAGE($C$2:C1820)</x:f>
        <x:v>1.300065142322429</x:v>
      </x:c>
      <x:c r="E1820" s="128" t="n">
        <x:f>'Итоги'!$B$9</x:f>
        <x:v>1.2958368660043291</x:v>
      </x:c>
      <x:c r="F1820" s="129" t="n">
        <x:f>ABS(D1820-E1820)</x:f>
        <x:v>0.004228276318099855</x:v>
      </x:c>
    </x:row>
    <x:row r="1821">
      <x:c r="A1821" s="107" t="n">
        <x:v>1820</x:v>
      </x:c>
      <x:c r="B1821" s="128" t="n">
        <x:v>2.2394387787592804</x:v>
      </x:c>
      <x:c r="C1821" s="128" t="n">
        <x:f>LN(B1821)</x:f>
        <x:v>0.8062252892785075</x:v>
      </x:c>
      <x:c r="D1821" s="128" t="n">
        <x:f>'Итоги'!$B$8*AVERAGE($C$2:C1821)</x:f>
        <x:v>1.3002367826720085</x:v>
      </x:c>
      <x:c r="E1821" s="128" t="n">
        <x:f>'Итоги'!$B$9</x:f>
        <x:v>1.2958368660043291</x:v>
      </x:c>
      <x:c r="F1821" s="129" t="n">
        <x:f>ABS(D1821-E1821)</x:f>
        <x:v>0.00439991666767936</x:v>
      </x:c>
    </x:row>
    <x:row r="1822">
      <x:c r="A1822" s="107" t="n">
        <x:v>1821</x:v>
      </x:c>
      <x:c r="B1822" s="128" t="n">
        <x:v>2.855941216331648</x:v>
      </x:c>
      <x:c r="C1822" s="128" t="n">
        <x:f>LN(B1822)</x:f>
        <x:v>1.0494014617485852</x:v>
      </x:c>
      <x:c r="D1822" s="128" t="n">
        <x:f>'Итоги'!$B$8*AVERAGE($C$2:C1822)</x:f>
        <x:v>1.3006753143253995</x:v>
      </x:c>
      <x:c r="E1822" s="128" t="n">
        <x:f>'Итоги'!$B$9</x:f>
        <x:v>1.2958368660043291</x:v>
      </x:c>
      <x:c r="F1822" s="129" t="n">
        <x:f>ABS(D1822-E1822)</x:f>
        <x:v>0.004838448321070388</x:v>
      </x:c>
    </x:row>
    <x:row r="1823">
      <x:c r="A1823" s="107" t="n">
        <x:v>1822</x:v>
      </x:c>
      <x:c r="B1823" s="128" t="n">
        <x:v>1.98362516282582</x:v>
      </x:c>
      <x:c r="C1823" s="128" t="n">
        <x:f>LN(B1823)</x:f>
        <x:v>0.6849260609858466</x:v>
      </x:c>
      <x:c r="D1823" s="128" t="n">
        <x:f>'Итоги'!$B$8*AVERAGE($C$2:C1823)</x:f>
        <x:v>1.3007132818378289</x:v>
      </x:c>
      <x:c r="E1823" s="128" t="n">
        <x:f>'Итоги'!$B$9</x:f>
        <x:v>1.2958368660043291</x:v>
      </x:c>
      <x:c r="F1823" s="129" t="n">
        <x:f>ABS(D1823-E1823)</x:f>
        <x:v>0.0048764158334997365</x:v>
      </x:c>
    </x:row>
    <x:row r="1824">
      <x:c r="A1824" s="107" t="n">
        <x:v>1823</x:v>
      </x:c>
      <x:c r="B1824" s="128" t="n">
        <x:v>2.057315076216582</x:v>
      </x:c>
      <x:c r="C1824" s="128" t="n">
        <x:f>LN(B1824)</x:f>
        <x:v>0.7214017716278014</x:v>
      </x:c>
      <x:c r="D1824" s="128" t="n">
        <x:f>'Итоги'!$B$8*AVERAGE($C$2:C1824)</x:f>
        <x:v>1.300791224932408</x:v>
      </x:c>
      <x:c r="E1824" s="128" t="n">
        <x:f>'Итоги'!$B$9</x:f>
        <x:v>1.2958368660043291</x:v>
      </x:c>
      <x:c r="F1824" s="129" t="n">
        <x:f>ABS(D1824-E1824)</x:f>
        <x:v>0.004954358928078939</x:v>
      </x:c>
    </x:row>
    <x:row r="1825">
      <x:c r="A1825" s="107" t="n">
        <x:v>1824</x:v>
      </x:c>
      <x:c r="B1825" s="128" t="n">
        <x:v>2.203993927055059</x:v>
      </x:c>
      <x:c r="C1825" s="128" t="n">
        <x:f>LN(B1825)</x:f>
        <x:v>0.7902711358672072</x:v>
      </x:c>
      <x:c r="D1825" s="128" t="n">
        <x:f>'Итоги'!$B$8*AVERAGE($C$2:C1825)</x:f>
        <x:v>1.300944597216839</x:v>
      </x:c>
      <x:c r="E1825" s="128" t="n">
        <x:f>'Итоги'!$B$9</x:f>
        <x:v>1.2958368660043291</x:v>
      </x:c>
      <x:c r="F1825" s="129" t="n">
        <x:f>ABS(D1825-E1825)</x:f>
        <x:v>0.005107731212509847</x:v>
      </x:c>
    </x:row>
    <x:row r="1826">
      <x:c r="A1826" s="107" t="n">
        <x:v>1825</x:v>
      </x:c>
      <x:c r="B1826" s="128" t="n">
        <x:v>2.4750302745954516</x:v>
      </x:c>
      <x:c r="C1826" s="128" t="n">
        <x:f>LN(B1826)</x:f>
        <x:v>0.9062526281056198</x:v>
      </x:c>
      <x:c r="D1826" s="128" t="n">
        <x:f>'Итоги'!$B$8*AVERAGE($C$2:C1826)</x:f>
        <x:v>1.301224904427247</x:v>
      </x:c>
      <x:c r="E1826" s="128" t="n">
        <x:f>'Итоги'!$B$9</x:f>
        <x:v>1.2958368660043291</x:v>
      </x:c>
      <x:c r="F1826" s="129" t="n">
        <x:f>ABS(D1826-E1826)</x:f>
        <x:v>0.005388038422917907</x:v>
      </x:c>
    </x:row>
    <x:row r="1827">
      <x:c r="A1827" s="107" t="n">
        <x:v>1826</x:v>
      </x:c>
      <x:c r="B1827" s="128" t="n">
        <x:v>1.1437006709724686</x:v>
      </x:c>
      <x:c r="C1827" s="128" t="n">
        <x:f>LN(B1827)</x:f>
        <x:v>0.13426920747310414</x:v>
      </x:c>
      <x:c r="D1827" s="128" t="n">
        <x:f>'Итоги'!$B$8*AVERAGE($C$2:C1827)</x:f>
        <x:v>1.3006593587046396</x:v>
      </x:c>
      <x:c r="E1827" s="128" t="n">
        <x:f>'Итоги'!$B$9</x:f>
        <x:v>1.2958368660043291</x:v>
      </x:c>
      <x:c r="F1827" s="129" t="n">
        <x:f>ABS(D1827-E1827)</x:f>
        <x:v>0.004822492700310432</x:v>
      </x:c>
    </x:row>
    <x:row r="1828">
      <x:c r="A1828" s="107" t="n">
        <x:v>1827</x:v>
      </x:c>
      <x:c r="B1828" s="128" t="n">
        <x:v>2.031374877043944</x:v>
      </x:c>
      <x:c r="C1828" s="128" t="n">
        <x:f>LN(B1828)</x:f>
        <x:v>0.7087128431355465</x:v>
      </x:c>
      <x:c r="D1828" s="128" t="n">
        <x:f>'Итоги'!$B$8*AVERAGE($C$2:C1828)</x:f>
        <x:v>1.3007232702139808</x:v>
      </x:c>
      <x:c r="E1828" s="128" t="n">
        <x:f>'Итоги'!$B$9</x:f>
        <x:v>1.2958368660043291</x:v>
      </x:c>
      <x:c r="F1828" s="129" t="n">
        <x:f>ABS(D1828-E1828)</x:f>
        <x:v>0.004886404209651696</x:v>
      </x:c>
    </x:row>
    <x:row r="1829">
      <x:c r="A1829" s="107" t="n">
        <x:v>1828</x:v>
      </x:c>
      <x:c r="B1829" s="128" t="n">
        <x:v>1.963183178412087</x:v>
      </x:c>
      <x:c r="C1829" s="128" t="n">
        <x:f>LN(B1829)</x:f>
        <x:v>0.6745672264842996</x:v>
      </x:c>
      <x:c r="D1829" s="128" t="n">
        <x:f>'Итоги'!$B$8*AVERAGE($C$2:C1829)</x:f>
        <x:v>1.3007497533555314</x:v>
      </x:c>
      <x:c r="E1829" s="128" t="n">
        <x:f>'Итоги'!$B$9</x:f>
        <x:v>1.2958368660043291</x:v>
      </x:c>
      <x:c r="F1829" s="129" t="n">
        <x:f>ABS(D1829-E1829)</x:f>
        <x:v>0.004912887351202322</x:v>
      </x:c>
    </x:row>
    <x:row r="1830">
      <x:c r="A1830" s="107" t="n">
        <x:v>1829</x:v>
      </x:c>
      <x:c r="B1830" s="128" t="n">
        <x:v>2.843369968475141</x:v>
      </x:c>
      <x:c r="C1830" s="128" t="n">
        <x:f>LN(B1830)</x:f>
        <x:v>1.0449899573275516</x:v>
      </x:c>
      <x:c r="D1830" s="128" t="n">
        <x:f>'Итоги'!$B$8*AVERAGE($C$2:C1830)</x:f>
        <x:v>1.3011812624650445</x:v>
      </x:c>
      <x:c r="E1830" s="128" t="n">
        <x:f>'Итоги'!$B$9</x:f>
        <x:v>1.2958368660043291</x:v>
      </x:c>
      <x:c r="F1830" s="129" t="n">
        <x:f>ABS(D1830-E1830)</x:f>
        <x:v>0.005344396460715384</x:v>
      </x:c>
    </x:row>
    <x:row r="1831">
      <x:c r="A1831" s="107" t="n">
        <x:v>1830</x:v>
      </x:c>
      <x:c r="B1831" s="128" t="n">
        <x:v>1.9870131608726822</x:v>
      </x:c>
      <x:c r="C1831" s="128" t="n">
        <x:f>LN(B1831)</x:f>
        <x:v>0.6866325870367643</x:v>
      </x:c>
      <x:c r="D1831" s="128" t="n">
        <x:f>'Итоги'!$B$8*AVERAGE($C$2:C1831)</x:f>
        <x:v>1.3012206525806775</x:v>
      </x:c>
      <x:c r="E1831" s="128" t="n">
        <x:f>'Итоги'!$B$9</x:f>
        <x:v>1.2958368660043291</x:v>
      </x:c>
      <x:c r="F1831" s="129" t="n">
        <x:f>ABS(D1831-E1831)</x:f>
        <x:v>0.005383786576348415</x:v>
      </x:c>
    </x:row>
    <x:row r="1832">
      <x:c r="A1832" s="107" t="n">
        <x:v>1831</x:v>
      </x:c>
      <x:c r="B1832" s="128" t="n">
        <x:v>1.936641069388662</x:v>
      </x:c>
      <x:c r="C1832" s="128" t="n">
        <x:f>LN(B1832)</x:f>
        <x:v>0.6609550649252275</x:v>
      </x:c>
      <x:c r="D1832" s="128" t="n">
        <x:f>'Итоги'!$B$8*AVERAGE($C$2:C1832)</x:f>
        <x:v>1.3012319521313438</x:v>
      </x:c>
      <x:c r="E1832" s="128" t="n">
        <x:f>'Итоги'!$B$9</x:f>
        <x:v>1.2958368660043291</x:v>
      </x:c>
      <x:c r="F1832" s="129" t="n">
        <x:f>ABS(D1832-E1832)</x:f>
        <x:v>0.00539508612701467</x:v>
      </x:c>
    </x:row>
    <x:row r="1833">
      <x:c r="A1833" s="107" t="n">
        <x:v>1832</x:v>
      </x:c>
      <x:c r="B1833" s="128" t="n">
        <x:v>2.9243999770694042</x:v>
      </x:c>
      <x:c r="C1833" s="128" t="n">
        <x:f>LN(B1833)</x:f>
        <x:v>1.0730893235958954</x:v>
      </x:c>
      <x:c r="D1833" s="128" t="n">
        <x:f>'Итоги'!$B$8*AVERAGE($C$2:C1833)</x:f>
        <x:v>1.3016931675762458</x:v>
      </x:c>
      <x:c r="E1833" s="128" t="n">
        <x:f>'Итоги'!$B$9</x:f>
        <x:v>1.2958368660043291</x:v>
      </x:c>
      <x:c r="F1833" s="129" t="n">
        <x:f>ABS(D1833-E1833)</x:f>
        <x:v>0.005856301571916633</x:v>
      </x:c>
    </x:row>
    <x:row r="1834">
      <x:c r="A1834" s="107" t="n">
        <x:v>1833</x:v>
      </x:c>
      <x:c r="B1834" s="128" t="n">
        <x:v>1.901152927201763</x:v>
      </x:c>
      <x:c r="C1834" s="128" t="n">
        <x:f>LN(B1834)</x:f>
        <x:v>0.6424605059318198</x:v>
      </x:c>
      <x:c r="D1834" s="128" t="n">
        <x:f>'Итоги'!$B$8*AVERAGE($C$2:C1834)</x:f>
        <x:v>1.3016840174640187</x:v>
      </x:c>
      <x:c r="E1834" s="128" t="n">
        <x:f>'Итоги'!$B$9</x:f>
        <x:v>1.2958368660043291</x:v>
      </x:c>
      <x:c r="F1834" s="129" t="n">
        <x:f>ABS(D1834-E1834)</x:f>
        <x:v>0.005847151459689615</x:v>
      </x:c>
    </x:row>
    <x:row r="1835">
      <x:c r="A1835" s="107" t="n">
        <x:v>1834</x:v>
      </x:c>
      <x:c r="B1835" s="128" t="n">
        <x:v>1.3617688606441807</x:v>
      </x:c>
      <x:c r="C1835" s="128" t="n">
        <x:f>LN(B1835)</x:f>
        <x:v>0.3087844874843779</x:v>
      </x:c>
      <x:c r="D1835" s="128" t="n">
        <x:f>'Итоги'!$B$8*AVERAGE($C$2:C1835)</x:f>
        <x:v>1.301310999447391</x:v>
      </x:c>
      <x:c r="E1835" s="128" t="n">
        <x:f>'Итоги'!$B$9</x:f>
        <x:v>1.2958368660043291</x:v>
      </x:c>
      <x:c r="F1835" s="129" t="n">
        <x:f>ABS(D1835-E1835)</x:f>
        <x:v>0.005474133443061913</x:v>
      </x:c>
    </x:row>
    <x:row r="1836">
      <x:c r="A1836" s="107" t="n">
        <x:v>1835</x:v>
      </x:c>
      <x:c r="B1836" s="128" t="n">
        <x:v>1.4338322456115766</x:v>
      </x:c>
      <x:c r="C1836" s="128" t="n">
        <x:f>LN(B1836)</x:f>
        <x:v>0.3603507517998559</x:v>
      </x:c>
      <x:c r="D1836" s="128" t="n">
        <x:f>'Итоги'!$B$8*AVERAGE($C$2:C1836)</x:f>
        <x:v>1.3009945910027874</x:v>
      </x:c>
      <x:c r="E1836" s="128" t="n">
        <x:f>'Итоги'!$B$9</x:f>
        <x:v>1.2958368660043291</x:v>
      </x:c>
      <x:c r="F1836" s="129" t="n">
        <x:f>ABS(D1836-E1836)</x:f>
        <x:v>0.005157724998458235</x:v>
      </x:c>
    </x:row>
    <x:row r="1837">
      <x:c r="A1837" s="107" t="n">
        <x:v>1836</x:v>
      </x:c>
      <x:c r="B1837" s="128" t="n">
        <x:v>1.1903750766739483</x:v>
      </x:c>
      <x:c r="C1837" s="128" t="n">
        <x:f>LN(B1837)</x:f>
        <x:v>0.17426844794366247</x:v>
      </x:c>
      <x:c r="D1837" s="128" t="n">
        <x:f>'Итоги'!$B$8*AVERAGE($C$2:C1837)</x:f>
        <x:v>1.3004758231949902</x:v>
      </x:c>
      <x:c r="E1837" s="128" t="n">
        <x:f>'Итоги'!$B$9</x:f>
        <x:v>1.2958368660043291</x:v>
      </x:c>
      <x:c r="F1837" s="129" t="n">
        <x:f>ABS(D1837-E1837)</x:f>
        <x:v>0.004638957190661097</x:v>
      </x:c>
    </x:row>
    <x:row r="1838">
      <x:c r="A1838" s="107" t="n">
        <x:v>1837</x:v>
      </x:c>
      <x:c r="B1838" s="128" t="n">
        <x:v>1.001136258517889</x:v>
      </x:c>
      <x:c r="C1838" s="128" t="n">
        <x:f>LN(B1838)</x:f>
        <x:v>0.0011356134647643272</x:v>
      </x:c>
      <x:c r="D1838" s="128" t="n">
        <x:f>'Итоги'!$B$8*AVERAGE($C$2:C1838)</x:f>
        <x:v>1.2997691249934304</x:v>
      </x:c>
      <x:c r="E1838" s="128" t="n">
        <x:f>'Итоги'!$B$9</x:f>
        <x:v>1.2958368660043291</x:v>
      </x:c>
      <x:c r="F1838" s="129" t="n">
        <x:f>ABS(D1838-E1838)</x:f>
        <x:v>0.003932258989101323</x:v>
      </x:c>
    </x:row>
    <x:row r="1839">
      <x:c r="A1839" s="107" t="n">
        <x:v>1838</x:v>
      </x:c>
      <x:c r="B1839" s="128" t="n">
        <x:v>1.8638913220009639</x:v>
      </x:c>
      <x:c r="C1839" s="128" t="n">
        <x:f>LN(B1839)</x:f>
        <x:v>0.6226664109161242</x:v>
      </x:c>
      <x:c r="D1839" s="128" t="n">
        <x:f>'Итоги'!$B$8*AVERAGE($C$2:C1839)</x:f>
        <x:v>1.2997395078535168</x:v>
      </x:c>
      <x:c r="E1839" s="128" t="n">
        <x:f>'Итоги'!$B$9</x:f>
        <x:v>1.2958368660043291</x:v>
      </x:c>
      <x:c r="F1839" s="129" t="n">
        <x:f>ABS(D1839-E1839)</x:f>
        <x:v>0.003902641849187649</x:v>
      </x:c>
    </x:row>
    <x:row r="1840">
      <x:c r="A1840" s="107" t="n">
        <x:v>1839</x:v>
      </x:c>
      <x:c r="B1840" s="128" t="n">
        <x:v>2.5384851625964426</x:v>
      </x:c>
      <x:c r="C1840" s="128" t="n">
        <x:f>LN(B1840)</x:f>
        <x:v>0.931567510439025</x:v>
      </x:c>
      <x:c r="D1840" s="128" t="n">
        <x:f>'Итоги'!$B$8*AVERAGE($C$2:C1840)</x:f>
        <x:v>1.3000458675669613</x:v>
      </x:c>
      <x:c r="E1840" s="128" t="n">
        <x:f>'Итоги'!$B$9</x:f>
        <x:v>1.2958368660043291</x:v>
      </x:c>
      <x:c r="F1840" s="129" t="n">
        <x:f>ABS(D1840-E1840)</x:f>
        <x:v>0.004209001562632153</x:v>
      </x:c>
    </x:row>
    <x:row r="1841">
      <x:c r="A1841" s="107" t="n">
        <x:v>1840</x:v>
      </x:c>
      <x:c r="B1841" s="128" t="n">
        <x:v>2.4669328855996717</x:v>
      </x:c>
      <x:c r="C1841" s="128" t="n">
        <x:f>LN(B1841)</x:f>
        <x:v>0.90297563231282</x:v>
      </x:c>
      <x:c r="D1841" s="128" t="n">
        <x:f>'Итоги'!$B$8*AVERAGE($C$2:C1841)</x:f>
        <x:v>1.3003208161523192</x:v>
      </x:c>
      <x:c r="E1841" s="128" t="n">
        <x:f>'Итоги'!$B$9</x:f>
        <x:v>1.2958368660043291</x:v>
      </x:c>
      <x:c r="F1841" s="129" t="n">
        <x:f>ABS(D1841-E1841)</x:f>
        <x:v>0.004483950147990079</x:v>
      </x:c>
    </x:row>
    <x:row r="1842">
      <x:c r="A1842" s="107" t="n">
        <x:v>1841</x:v>
      </x:c>
      <x:c r="B1842" s="128" t="n">
        <x:v>1.0642981756057004</x:v>
      </x:c>
      <x:c r="C1842" s="128" t="n">
        <x:f>LN(B1842)</x:f>
        <x:v>0.06231559189041519</x:v>
      </x:c>
      <x:c r="D1842" s="128" t="n">
        <x:f>'Итоги'!$B$8*AVERAGE($C$2:C1842)</x:f>
        <x:v>1.299682201468793</x:v>
      </x:c>
      <x:c r="E1842" s="128" t="n">
        <x:f>'Итоги'!$B$9</x:f>
        <x:v>1.2958368660043291</x:v>
      </x:c>
      <x:c r="F1842" s="129" t="n">
        <x:f>ABS(D1842-E1842)</x:f>
        <x:v>0.0038453354644638615</x:v>
      </x:c>
    </x:row>
    <x:row r="1843">
      <x:c r="A1843" s="107" t="n">
        <x:v>1842</x:v>
      </x:c>
      <x:c r="B1843" s="128" t="n">
        <x:v>2.139965807188066</x:v>
      </x:c>
      <x:c r="C1843" s="128" t="n">
        <x:f>LN(B1843)</x:f>
        <x:v>0.7607898509566093</x:v>
      </x:c>
      <x:c r="D1843" s="128" t="n">
        <x:f>'Итоги'!$B$8*AVERAGE($C$2:C1843)</x:f>
        <x:v>1.299802666995636</x:v>
      </x:c>
      <x:c r="E1843" s="128" t="n">
        <x:f>'Итоги'!$B$9</x:f>
        <x:v>1.2958368660043291</x:v>
      </x:c>
      <x:c r="F1843" s="129" t="n">
        <x:f>ABS(D1843-E1843)</x:f>
        <x:v>0.003965800991306834</x:v>
      </x:c>
    </x:row>
    <x:row r="1844">
      <x:c r="A1844" s="107" t="n">
        <x:v>1843</x:v>
      </x:c>
      <x:c r="B1844" s="128" t="n">
        <x:v>1.308566250826952</x:v>
      </x:c>
      <x:c r="C1844" s="128" t="n">
        <x:f>LN(B1844)</x:f>
        <x:v>0.2689320728312669</x:v>
      </x:c>
      <x:c r="D1844" s="128" t="n">
        <x:f>'Итоги'!$B$8*AVERAGE($C$2:C1844)</x:f>
        <x:v>1.2993892440323516</x:v>
      </x:c>
      <x:c r="E1844" s="128" t="n">
        <x:f>'Итоги'!$B$9</x:f>
        <x:v>1.2958368660043291</x:v>
      </x:c>
      <x:c r="F1844" s="129" t="n">
        <x:f>ABS(D1844-E1844)</x:f>
        <x:v>0.0035523780280224404</x:v>
      </x:c>
    </x:row>
    <x:row r="1845">
      <x:c r="A1845" s="107" t="n">
        <x:v>1844</x:v>
      </x:c>
      <x:c r="B1845" s="128" t="n">
        <x:v>2.882152569529395</x:v>
      </x:c>
      <x:c r="C1845" s="128" t="n">
        <x:f>LN(B1845)</x:f>
        <x:v>1.0585374349441297</x:v>
      </x:c>
      <x:c r="D1845" s="128" t="n">
        <x:f>'Итоги'!$B$8*AVERAGE($C$2:C1845)</x:f>
        <x:v>1.2998326744151367</x:v>
      </x:c>
      <x:c r="E1845" s="128" t="n">
        <x:f>'Итоги'!$B$9</x:f>
        <x:v>1.2958368660043291</x:v>
      </x:c>
      <x:c r="F1845" s="129" t="n">
        <x:f>ABS(D1845-E1845)</x:f>
        <x:v>0.0039958084108076</x:v>
      </x:c>
    </x:row>
    <x:row r="1846">
      <x:c r="A1846" s="107" t="n">
        <x:v>1845</x:v>
      </x:c>
      <x:c r="B1846" s="128" t="n">
        <x:v>1.3347299992883586</x:v>
      </x:c>
      <x:c r="C1846" s="128" t="n">
        <x:f>LN(B1846)</x:f>
        <x:v>0.28872902367330794</x:v>
      </x:c>
      <x:c r="D1846" s="128" t="n">
        <x:f>'Итоги'!$B$8*AVERAGE($C$2:C1846)</x:f>
        <x:v>1.2994411434519562</x:v>
      </x:c>
      <x:c r="E1846" s="128" t="n">
        <x:f>'Итоги'!$B$9</x:f>
        <x:v>1.2958368660043291</x:v>
      </x:c>
      <x:c r="F1846" s="129" t="n">
        <x:f>ABS(D1846-E1846)</x:f>
        <x:v>0.0036042774476270356</x:v>
      </x:c>
    </x:row>
    <x:row r="1847">
      <x:c r="A1847" s="107" t="n">
        <x:v>1846</x:v>
      </x:c>
      <x:c r="B1847" s="128" t="n">
        <x:v>2.253278435394963</x:v>
      </x:c>
      <x:c r="C1847" s="128" t="n">
        <x:f>LN(B1847)</x:f>
        <x:v>0.8123862380995795</x:v>
      </x:c>
      <x:c r="D1847" s="128" t="n">
        <x:f>'Итоги'!$B$8*AVERAGE($C$2:C1847)</x:f>
        <x:v>1.2996173792768462</x:v>
      </x:c>
      <x:c r="E1847" s="128" t="n">
        <x:f>'Итоги'!$B$9</x:f>
        <x:v>1.2958368660043291</x:v>
      </x:c>
      <x:c r="F1847" s="129" t="n">
        <x:f>ABS(D1847-E1847)</x:f>
        <x:v>0.00378051327251705</x:v>
      </x:c>
    </x:row>
    <x:row r="1848">
      <x:c r="A1848" s="107" t="n">
        <x:v>1847</x:v>
      </x:c>
      <x:c r="B1848" s="128" t="n">
        <x:v>1.6524767243281135</x:v>
      </x:c>
      <x:c r="C1848" s="128" t="n">
        <x:f>LN(B1848)</x:f>
        <x:v>0.5022752075177991</x:v>
      </x:c>
      <x:c r="D1848" s="128" t="n">
        <x:f>'Итоги'!$B$8*AVERAGE($C$2:C1848)</x:f>
        <x:v>1.2994576245587948</x:v>
      </x:c>
      <x:c r="E1848" s="128" t="n">
        <x:f>'Итоги'!$B$9</x:f>
        <x:v>1.2958368660043291</x:v>
      </x:c>
      <x:c r="F1848" s="129" t="n">
        <x:f>ABS(D1848-E1848)</x:f>
        <x:v>0.0036207585544656418</x:v>
      </x:c>
    </x:row>
    <x:row r="1849">
      <x:c r="A1849" s="107" t="n">
        <x:v>1848</x:v>
      </x:c>
      <x:c r="B1849" s="128" t="n">
        <x:v>2.2831226519287044</x:v>
      </x:c>
      <x:c r="C1849" s="128" t="n">
        <x:f>LN(B1849)</x:f>
        <x:v>0.8255440901206526</x:v>
      </x:c>
      <x:c r="D1849" s="128" t="n">
        <x:f>'Итоги'!$B$8*AVERAGE($C$2:C1849)</x:f>
        <x:v>1.299647900833515</x:v>
      </x:c>
      <x:c r="E1849" s="128" t="n">
        <x:f>'Итоги'!$B$9</x:f>
        <x:v>1.2958368660043291</x:v>
      </x:c>
      <x:c r="F1849" s="129" t="n">
        <x:f>ABS(D1849-E1849)</x:f>
        <x:v>0.0038110348291857665</x:v>
      </x:c>
    </x:row>
    <x:row r="1850">
      <x:c r="A1850" s="107" t="n">
        <x:v>1849</x:v>
      </x:c>
      <x:c r="B1850" s="128" t="n">
        <x:v>1.8245171929281503</x:v>
      </x:c>
      <x:c r="C1850" s="128" t="n">
        <x:f>LN(B1850)</x:f>
        <x:v>0.6013154002142574</x:v>
      </x:c>
      <x:c r="D1850" s="128" t="n">
        <x:f>'Итоги'!$B$8*AVERAGE($C$2:C1850)</x:f>
        <x:v>1.2995954307954374</x:v>
      </x:c>
      <x:c r="E1850" s="128" t="n">
        <x:f>'Итоги'!$B$9</x:f>
        <x:v>1.2958368660043291</x:v>
      </x:c>
      <x:c r="F1850" s="129" t="n">
        <x:f>ABS(D1850-E1850)</x:f>
        <x:v>0.0037585647911082543</x:v>
      </x:c>
    </x:row>
    <x:row r="1851">
      <x:c r="A1851" s="107" t="n">
        <x:v>1850</x:v>
      </x:c>
      <x:c r="B1851" s="128" t="n">
        <x:v>2.5192861046127897</x:v>
      </x:c>
      <x:c r="C1851" s="128" t="n">
        <x:f>LN(B1851)</x:f>
        <x:v>0.9239755695683026</x:v>
      </x:c>
      <x:c r="D1851" s="128" t="n">
        <x:f>'Итоги'!$B$8*AVERAGE($C$2:C1851)</x:f>
        <x:v>1.2998918392864325</x:v>
      </x:c>
      <x:c r="E1851" s="128" t="n">
        <x:f>'Итоги'!$B$9</x:f>
        <x:v>1.2958368660043291</x:v>
      </x:c>
      <x:c r="F1851" s="129" t="n">
        <x:f>ABS(D1851-E1851)</x:f>
        <x:v>0.004054973282103358</x:v>
      </x:c>
    </x:row>
    <x:row r="1852">
      <x:c r="A1852" s="107" t="n">
        <x:v>1851</x:v>
      </x:c>
      <x:c r="B1852" s="128" t="n">
        <x:v>1.4613582506557157</x:v>
      </x:c>
      <x:c r="C1852" s="128" t="n">
        <x:f>LN(B1852)</x:f>
        <x:v>0.37936631191963327</x:v>
      </x:c>
      <x:c r="D1852" s="128" t="n">
        <x:f>'Итоги'!$B$8*AVERAGE($C$2:C1852)</x:f>
        <x:v>1.2995994788242786</x:v>
      </x:c>
      <x:c r="E1852" s="128" t="n">
        <x:f>'Итоги'!$B$9</x:f>
        <x:v>1.2958368660043291</x:v>
      </x:c>
      <x:c r="F1852" s="129" t="n">
        <x:f>ABS(D1852-E1852)</x:f>
        <x:v>0.0037626128199494957</x:v>
      </x:c>
    </x:row>
    <x:row r="1853">
      <x:c r="A1853" s="107" t="n">
        <x:v>1852</x:v>
      </x:c>
      <x:c r="B1853" s="128" t="n">
        <x:v>2.8115837058285202</x:v>
      </x:c>
      <x:c r="C1853" s="128" t="n">
        <x:f>LN(B1853)</x:f>
        <x:v>1.0337479209651192</x:v>
      </x:c>
      <x:c r="D1853" s="128" t="n">
        <x:f>'Итоги'!$B$8*AVERAGE($C$2:C1853)</x:f>
        <x:v>1.3000141096898867</x:v>
      </x:c>
      <x:c r="E1853" s="128" t="n">
        <x:f>'Итоги'!$B$9</x:f>
        <x:v>1.2958368660043291</x:v>
      </x:c>
      <x:c r="F1853" s="129" t="n">
        <x:f>ABS(D1853-E1853)</x:f>
        <x:v>0.004177243685557608</x:v>
      </x:c>
    </x:row>
    <x:row r="1854">
      <x:c r="A1854" s="107" t="n">
        <x:v>1853</x:v>
      </x:c>
      <x:c r="B1854" s="128" t="n">
        <x:v>2.000419298626704</x:v>
      </x:c>
      <x:c r="C1854" s="128" t="n">
        <x:f>LN(B1854)</x:f>
        <x:v>0.6933568078999512</x:v>
      </x:c>
      <x:c r="D1854" s="128" t="n">
        <x:f>'Итоги'!$B$8*AVERAGE($C$2:C1854)</x:f>
        <x:v>1.300060898414177</x:v>
      </x:c>
      <x:c r="E1854" s="128" t="n">
        <x:f>'Итоги'!$B$9</x:f>
        <x:v>1.2958368660043291</x:v>
      </x:c>
      <x:c r="F1854" s="129" t="n">
        <x:f>ABS(D1854-E1854)</x:f>
        <x:v>0.004224032409847922</x:v>
      </x:c>
    </x:row>
    <x:row r="1855">
      <x:c r="A1855" s="107" t="n">
        <x:v>1854</x:v>
      </x:c>
      <x:c r="B1855" s="128" t="n">
        <x:v>2.512186295425706</x:v>
      </x:c>
      <x:c r="C1855" s="128" t="n">
        <x:f>LN(B1855)</x:f>
        <x:v>0.9211534080478347</x:v>
      </x:c>
      <x:c r="D1855" s="128" t="n">
        <x:f>'Итоги'!$B$8*AVERAGE($C$2:C1855)</x:f>
        <x:v>1.3003533719404345</x:v>
      </x:c>
      <x:c r="E1855" s="128" t="n">
        <x:f>'Итоги'!$B$9</x:f>
        <x:v>1.2958368660043291</x:v>
      </x:c>
      <x:c r="F1855" s="129" t="n">
        <x:f>ABS(D1855-E1855)</x:f>
        <x:v>0.004516505936105419</x:v>
      </x:c>
    </x:row>
    <x:row r="1856">
      <x:c r="A1856" s="107" t="n">
        <x:v>1855</x:v>
      </x:c>
      <x:c r="B1856" s="128" t="n">
        <x:v>2.699460382802454</x:v>
      </x:c>
      <x:c r="C1856" s="128" t="n">
        <x:f>LN(B1856)</x:f>
        <x:v>0.9930518948146543</x:v>
      </x:c>
      <x:c r="D1856" s="128" t="n">
        <x:f>'Итоги'!$B$8*AVERAGE($C$2:C1856)</x:f>
        <x:v>1.300723048715469</x:v>
      </x:c>
      <x:c r="E1856" s="128" t="n">
        <x:f>'Итоги'!$B$9</x:f>
        <x:v>1.2958368660043291</x:v>
      </x:c>
      <x:c r="F1856" s="129" t="n">
        <x:f>ABS(D1856-E1856)</x:f>
        <x:v>0.004886182711139941</x:v>
      </x:c>
    </x:row>
    <x:row r="1857">
      <x:c r="A1857" s="107" t="n">
        <x:v>1856</x:v>
      </x:c>
      <x:c r="B1857" s="128" t="n">
        <x:v>2.99765722190961</x:v>
      </x:c>
      <x:c r="C1857" s="128" t="n">
        <x:f>LN(B1857)</x:f>
        <x:v>1.0978310575564063</x:v>
      </x:c>
      <x:c r="D1857" s="128" t="n">
        <x:f>'Итоги'!$B$8*AVERAGE($C$2:C1857)</x:f>
        <x:v>1.3012052357124504</x:v>
      </x:c>
      <x:c r="E1857" s="128" t="n">
        <x:f>'Итоги'!$B$9</x:f>
        <x:v>1.2958368660043291</x:v>
      </x:c>
      <x:c r="F1857" s="129" t="n">
        <x:f>ABS(D1857-E1857)</x:f>
        <x:v>0.005368369708121268</x:v>
      </x:c>
    </x:row>
    <x:row r="1858">
      <x:c r="A1858" s="107" t="n">
        <x:v>1857</x:v>
      </x:c>
      <x:c r="B1858" s="128" t="n">
        <x:v>1.4478913311879165</x:v>
      </x:c>
      <x:c r="C1858" s="128" t="n">
        <x:f>LN(B1858)</x:f>
        <x:v>0.3701082436251613</x:v>
      </x:c>
      <x:c r="D1858" s="128" t="n">
        <x:f>'Итоги'!$B$8*AVERAGE($C$2:C1858)</x:f>
        <x:v>1.300903141609886</x:v>
      </x:c>
      <x:c r="E1858" s="128" t="n">
        <x:f>'Итоги'!$B$9</x:f>
        <x:v>1.2958368660043291</x:v>
      </x:c>
      <x:c r="F1858" s="129" t="n">
        <x:f>ABS(D1858-E1858)</x:f>
        <x:v>0.005066275605556836</x:v>
      </x:c>
    </x:row>
    <x:row r="1859">
      <x:c r="A1859" s="107" t="n">
        <x:v>1858</x:v>
      </x:c>
      <x:c r="B1859" s="128" t="n">
        <x:v>1.5737848271269097</x:v>
      </x:c>
      <x:c r="C1859" s="128" t="n">
        <x:f>LN(B1859)</x:f>
        <x:v>0.45348343615659636</x:v>
      </x:c>
      <x:c r="D1859" s="128" t="n">
        <x:f>'Итоги'!$B$8*AVERAGE($C$2:C1859)</x:f>
        <x:v>1.3006911199364217</x:v>
      </x:c>
      <x:c r="E1859" s="128" t="n">
        <x:f>'Итоги'!$B$9</x:f>
        <x:v>1.2958368660043291</x:v>
      </x:c>
      <x:c r="F1859" s="129" t="n">
        <x:f>ABS(D1859-E1859)</x:f>
        <x:v>0.0048542539320926</x:v>
      </x:c>
    </x:row>
    <x:row r="1860">
      <x:c r="A1860" s="107" t="n">
        <x:v>1859</x:v>
      </x:c>
      <x:c r="B1860" s="128" t="n">
        <x:v>1.5008661734637765</x:v>
      </x:c>
      <x:c r="C1860" s="128" t="n">
        <x:f>LN(B1860)</x:f>
        <x:v>0.4060423904245107</x:v>
      </x:c>
      <x:c r="D1860" s="128" t="n">
        <x:f>'Итоги'!$B$8*AVERAGE($C$2:C1860)</x:f>
        <x:v>1.3004282870482629</x:v>
      </x:c>
      <x:c r="E1860" s="128" t="n">
        <x:f>'Итоги'!$B$9</x:f>
        <x:v>1.2958368660043291</x:v>
      </x:c>
      <x:c r="F1860" s="129" t="n">
        <x:f>ABS(D1860-E1860)</x:f>
        <x:v>0.00459142104393373</x:v>
      </x:c>
    </x:row>
    <x:row r="1861">
      <x:c r="A1861" s="107" t="n">
        <x:v>1860</x:v>
      </x:c>
      <x:c r="B1861" s="128" t="n">
        <x:v>1.5257426643195653</x:v>
      </x:c>
      <x:c r="C1861" s="128" t="n">
        <x:f>LN(B1861)</x:f>
        <x:v>0.42248128451320666</x:v>
      </x:c>
      <x:c r="D1861" s="128" t="n">
        <x:f>'Итоги'!$B$8*AVERAGE($C$2:C1861)</x:f>
        <x:v>1.3001834130063155</x:v>
      </x:c>
      <x:c r="E1861" s="128" t="n">
        <x:f>'Итоги'!$B$9</x:f>
        <x:v>1.2958368660043291</x:v>
      </x:c>
      <x:c r="F1861" s="129" t="n">
        <x:f>ABS(D1861-E1861)</x:f>
        <x:v>0.004346547001986334</x:v>
      </x:c>
    </x:row>
    <x:row r="1862">
      <x:c r="A1862" s="107" t="n">
        <x:v>1861</x:v>
      </x:c>
      <x:c r="B1862" s="128" t="n">
        <x:v>2.164889483078755</x:v>
      </x:c>
      <x:c r="C1862" s="128" t="n">
        <x:f>LN(B1862)</x:f>
        <x:v>0.7723693130747192</x:v>
      </x:c>
      <x:c r="D1862" s="128" t="n">
        <x:f>'Итоги'!$B$8*AVERAGE($C$2:C1862)</x:f>
        <x:v>1.300314823652819</x:v>
      </x:c>
      <x:c r="E1862" s="128" t="n">
        <x:f>'Итоги'!$B$9</x:f>
        <x:v>1.2958368660043291</x:v>
      </x:c>
      <x:c r="F1862" s="129" t="n">
        <x:f>ABS(D1862-E1862)</x:f>
        <x:v>0.004477957648489905</x:v>
      </x:c>
    </x:row>
    <x:row r="1863">
      <x:c r="A1863" s="107" t="n">
        <x:v>1862</x:v>
      </x:c>
      <x:c r="B1863" s="128" t="n">
        <x:v>2.987045046291686</x:v>
      </x:c>
      <x:c r="C1863" s="128" t="n">
        <x:f>LN(B1863)</x:f>
        <x:v>1.0942846199008702</x:v>
      </x:c>
      <x:c r="D1863" s="128" t="n">
        <x:f>'Итоги'!$B$8*AVERAGE($C$2:C1863)</x:f>
        <x:v>1.3007918668408691</x:v>
      </x:c>
      <x:c r="E1863" s="128" t="n">
        <x:f>'Итоги'!$B$9</x:f>
        <x:v>1.2958368660043291</x:v>
      </x:c>
      <x:c r="F1863" s="129" t="n">
        <x:f>ABS(D1863-E1863)</x:f>
        <x:v>0.004955000836539991</x:v>
      </x:c>
    </x:row>
    <x:row r="1864">
      <x:c r="A1864" s="107" t="n">
        <x:v>1863</x:v>
      </x:c>
      <x:c r="B1864" s="128" t="n">
        <x:v>2.9805561741855087</x:v>
      </x:c>
      <x:c r="C1864" s="128" t="n">
        <x:f>LN(B1864)</x:f>
        <x:v>1.0921099187357712</x:v>
      </x:c>
      <x:c r="D1864" s="128" t="n">
        <x:f>'Итоги'!$B$8*AVERAGE($C$2:C1864)</x:f>
        <x:v>1.3012660632824313</x:v>
      </x:c>
      <x:c r="E1864" s="128" t="n">
        <x:f>'Итоги'!$B$9</x:f>
        <x:v>1.2958368660043291</x:v>
      </x:c>
      <x:c r="F1864" s="129" t="n">
        <x:f>ABS(D1864-E1864)</x:f>
        <x:v>0.005429197278102205</x:v>
      </x:c>
    </x:row>
    <x:row r="1865">
      <x:c r="A1865" s="107" t="n">
        <x:v>1864</x:v>
      </x:c>
      <x:c r="B1865" s="128" t="n">
        <x:v>2.0535464627246154</x:v>
      </x:c>
      <x:c r="C1865" s="128" t="n">
        <x:f>LN(B1865)</x:f>
        <x:v>0.719568280272274</x:v>
      </x:c>
      <x:c r="D1865" s="128" t="n">
        <x:f>'Итоги'!$B$8*AVERAGE($C$2:C1865)</x:f>
        <x:v>1.3013400281414778</x:v>
      </x:c>
      <x:c r="E1865" s="128" t="n">
        <x:f>'Итоги'!$B$9</x:f>
        <x:v>1.2958368660043291</x:v>
      </x:c>
      <x:c r="F1865" s="129" t="n">
        <x:f>ABS(D1865-E1865)</x:f>
        <x:v>0.005503162137148632</x:v>
      </x:c>
    </x:row>
    <x:row r="1866">
      <x:c r="A1866" s="107" t="n">
        <x:v>1865</x:v>
      </x:c>
      <x:c r="B1866" s="128" t="n">
        <x:v>2.2780544205293474</x:v>
      </x:c>
      <x:c r="C1866" s="128" t="n">
        <x:f>LN(B1866)</x:f>
        <x:v>0.8233217543486582</x:v>
      </x:c>
      <x:c r="D1866" s="128" t="n">
        <x:f>'Итоги'!$B$8*AVERAGE($C$2:C1866)</x:f>
        <x:v>1.3015251774608105</x:v>
      </x:c>
      <x:c r="E1866" s="128" t="n">
        <x:f>'Итоги'!$B$9</x:f>
        <x:v>1.2958368660043291</x:v>
      </x:c>
      <x:c r="F1866" s="129" t="n">
        <x:f>ABS(D1866-E1866)</x:f>
        <x:v>0.00568831145648141</x:v>
      </x:c>
    </x:row>
    <x:row r="1867">
      <x:c r="A1867" s="107" t="n">
        <x:v>1866</x:v>
      </x:c>
      <x:c r="B1867" s="128" t="n">
        <x:v>2.719941087403212</x:v>
      </x:c>
      <x:c r="C1867" s="128" t="n">
        <x:f>LN(B1867)</x:f>
        <x:v>1.0006102210304089</x:v>
      </x:c>
      <x:c r="D1867" s="128" t="n">
        <x:f>'Итоги'!$B$8*AVERAGE($C$2:C1867)</x:f>
        <x:v>1.3019001481277988</x:v>
      </x:c>
      <x:c r="E1867" s="128" t="n">
        <x:f>'Итоги'!$B$9</x:f>
        <x:v>1.2958368660043291</x:v>
      </x:c>
      <x:c r="F1867" s="129" t="n">
        <x:f>ABS(D1867-E1867)</x:f>
        <x:v>0.006063282123469627</x:v>
      </x:c>
    </x:row>
    <x:row r="1868">
      <x:c r="A1868" s="107" t="n">
        <x:v>1867</x:v>
      </x:c>
      <x:c r="B1868" s="128" t="n">
        <x:v>2.8658669169070103</x:v>
      </x:c>
      <x:c r="C1868" s="128" t="n">
        <x:f>LN(B1868)</x:f>
        <x:v>1.0528708931942037</x:v>
      </x:c>
      <x:c r="D1868" s="128" t="n">
        <x:f>'Итоги'!$B$8*AVERAGE($C$2:C1868)</x:f>
        <x:v>1.3023307006924805</x:v>
      </x:c>
      <x:c r="E1868" s="128" t="n">
        <x:f>'Итоги'!$B$9</x:f>
        <x:v>1.2958368660043291</x:v>
      </x:c>
      <x:c r="F1868" s="129" t="n">
        <x:f>ABS(D1868-E1868)</x:f>
        <x:v>0.006493834688151345</x:v>
      </x:c>
    </x:row>
    <x:row r="1869">
      <x:c r="A1869" s="107" t="n">
        <x:v>1868</x:v>
      </x:c>
      <x:c r="B1869" s="128" t="n">
        <x:v>1.4077212546590878</x:v>
      </x:c>
      <x:c r="C1869" s="128" t="n">
        <x:f>LN(B1869)</x:f>
        <x:v>0.34197226559343846</x:v>
      </x:c>
      <x:c r="D1869" s="128" t="n">
        <x:f>'Итоги'!$B$8*AVERAGE($C$2:C1869)</x:f>
        <x:v>1.3019996588458502</x:v>
      </x:c>
      <x:c r="E1869" s="128" t="n">
        <x:f>'Итоги'!$B$9</x:f>
        <x:v>1.2958368660043291</x:v>
      </x:c>
      <x:c r="F1869" s="129" t="n">
        <x:f>ABS(D1869-E1869)</x:f>
        <x:v>0.006162792841521103</x:v>
      </x:c>
    </x:row>
    <x:row r="1870">
      <x:c r="A1870" s="107" t="n">
        <x:v>1869</x:v>
      </x:c>
      <x:c r="B1870" s="128" t="n">
        <x:v>2.0570834578849055</x:v>
      </x:c>
      <x:c r="C1870" s="128" t="n">
        <x:f>LN(B1870)</x:f>
        <x:v>0.7212891824704791</x:v>
      </x:c>
      <x:c r="D1870" s="128" t="n">
        <x:f>'Итоги'!$B$8*AVERAGE($C$2:C1870)</x:f>
        <x:v>1.302074874846971</x:v>
      </x:c>
      <x:c r="E1870" s="128" t="n">
        <x:f>'Итоги'!$B$9</x:f>
        <x:v>1.2958368660043291</x:v>
      </x:c>
      <x:c r="F1870" s="129" t="n">
        <x:f>ABS(D1870-E1870)</x:f>
        <x:v>0.006238008842641918</x:v>
      </x:c>
    </x:row>
    <x:row r="1871">
      <x:c r="A1871" s="107" t="n">
        <x:v>1870</x:v>
      </x:c>
      <x:c r="B1871" s="128" t="n">
        <x:v>2.6656741093230245</x:v>
      </x:c>
      <x:c r="C1871" s="128" t="n">
        <x:f>LN(B1871)</x:f>
        <x:v>0.9804569747208958</x:v>
      </x:c>
      <x:c r="D1871" s="128" t="n">
        <x:f>'Итоги'!$B$8*AVERAGE($C$2:C1871)</x:f>
        <x:v>1.302427195207717</x:v>
      </x:c>
      <x:c r="E1871" s="128" t="n">
        <x:f>'Итоги'!$B$9</x:f>
        <x:v>1.2958368660043291</x:v>
      </x:c>
      <x:c r="F1871" s="129" t="n">
        <x:f>ABS(D1871-E1871)</x:f>
        <x:v>0.006590329203387979</x:v>
      </x:c>
    </x:row>
    <x:row r="1872">
      <x:c r="A1872" s="107" t="n">
        <x:v>1871</x:v>
      </x:c>
      <x:c r="B1872" s="128" t="n">
        <x:v>1.6064041532691833</x:v>
      </x:c>
      <x:c r="C1872" s="128" t="n">
        <x:f>LN(B1872)</x:f>
        <x:v>0.47399823596336454</x:v>
      </x:c>
      <x:c r="D1872" s="128" t="n">
        <x:f>'Итоги'!$B$8*AVERAGE($C$2:C1872)</x:f>
        <x:v>1.3022377613630987</x:v>
      </x:c>
      <x:c r="E1872" s="128" t="n">
        <x:f>'Итоги'!$B$9</x:f>
        <x:v>1.2958368660043291</x:v>
      </x:c>
      <x:c r="F1872" s="129" t="n">
        <x:f>ABS(D1872-E1872)</x:f>
        <x:v>0.006400895358769532</x:v>
      </x:c>
    </x:row>
    <x:row r="1873">
      <x:c r="A1873" s="107" t="n">
        <x:v>1872</x:v>
      </x:c>
      <x:c r="B1873" s="128" t="n">
        <x:v>1.8796180849609334</x:v>
      </x:c>
      <x:c r="C1873" s="128" t="n">
        <x:f>LN(B1873)</x:f>
        <x:v>0.631068609907478</x:v>
      </x:c>
      <x:c r="D1873" s="128" t="n">
        <x:f>'Итоги'!$B$8*AVERAGE($C$2:C1873)</x:f>
        <x:v>1.3022163401336393</x:v>
      </x:c>
      <x:c r="E1873" s="128" t="n">
        <x:f>'Итоги'!$B$9</x:f>
        <x:v>1.2958368660043291</x:v>
      </x:c>
      <x:c r="F1873" s="129" t="n">
        <x:f>ABS(D1873-E1873)</x:f>
        <x:v>0.00637947412931017</x:v>
      </x:c>
    </x:row>
    <x:row r="1874">
      <x:c r="A1874" s="107" t="n">
        <x:v>1873</x:v>
      </x:c>
      <x:c r="B1874" s="128" t="n">
        <x:v>2.971242203024016</x:v>
      </x:c>
      <x:c r="C1874" s="128" t="n">
        <x:f>LN(B1874)</x:f>
        <x:v>1.0889801155488206</x:v>
      </x:c>
      <x:c r="D1874" s="128" t="n">
        <x:f>'Итоги'!$B$8*AVERAGE($C$2:C1874)</x:f>
        <x:v>1.3026839022751042</x:v>
      </x:c>
      <x:c r="E1874" s="128" t="n">
        <x:f>'Итоги'!$B$9</x:f>
        <x:v>1.2958368660043291</x:v>
      </x:c>
      <x:c r="F1874" s="129" t="n">
        <x:f>ABS(D1874-E1874)</x:f>
        <x:v>0.006847036270775098</x:v>
      </x:c>
    </x:row>
    <x:row r="1875">
      <x:c r="A1875" s="107" t="n">
        <x:v>1874</x:v>
      </x:c>
      <x:c r="B1875" s="128" t="n">
        <x:v>2.9700933934417417</x:v>
      </x:c>
      <x:c r="C1875" s="128" t="n">
        <x:f>LN(B1875)</x:f>
        <x:v>1.0885933979234856</x:v>
      </x:c>
      <x:c r="D1875" s="128" t="n">
        <x:f>'Итоги'!$B$8*AVERAGE($C$2:C1875)</x:f>
        <x:v>1.3031505526985683</x:v>
      </x:c>
      <x:c r="E1875" s="128" t="n">
        <x:f>'Итоги'!$B$9</x:f>
        <x:v>1.2958368660043291</x:v>
      </x:c>
      <x:c r="F1875" s="129" t="n">
        <x:f>ABS(D1875-E1875)</x:f>
        <x:v>0.007313686694239152</x:v>
      </x:c>
    </x:row>
    <x:row r="1876">
      <x:c r="A1876" s="107" t="n">
        <x:v>1875</x:v>
      </x:c>
      <x:c r="B1876" s="128" t="n">
        <x:v>2.812213621530363</x:v>
      </x:c>
      <x:c r="C1876" s="128" t="n">
        <x:f>LN(B1876)</x:f>
        <x:v>1.0339719388903075</x:v>
      </x:c>
      <x:c r="D1876" s="128" t="n">
        <x:f>'Итоги'!$B$8*AVERAGE($C$2:C1876)</x:f>
        <x:v>1.3035584424719455</x:v>
      </x:c>
      <x:c r="E1876" s="128" t="n">
        <x:f>'Итоги'!$B$9</x:f>
        <x:v>1.2958368660043291</x:v>
      </x:c>
      <x:c r="F1876" s="129" t="n">
        <x:f>ABS(D1876-E1876)</x:f>
        <x:v>0.007721576467616398</x:v>
      </x:c>
    </x:row>
    <x:row r="1877">
      <x:c r="A1877" s="107" t="n">
        <x:v>1876</x:v>
      </x:c>
      <x:c r="B1877" s="128" t="n">
        <x:v>2.5968966896561154</x:v>
      </x:c>
      <x:c r="C1877" s="128" t="n">
        <x:f>LN(B1877)</x:f>
        <x:v>0.9543171512409443</x:v>
      </x:c>
      <x:c r="D1877" s="128" t="n">
        <x:f>'Итоги'!$B$8*AVERAGE($C$2:C1877)</x:f>
        <x:v>1.3038809775785605</x:v>
      </x:c>
      <x:c r="E1877" s="128" t="n">
        <x:f>'Итоги'!$B$9</x:f>
        <x:v>1.2958368660043291</x:v>
      </x:c>
      <x:c r="F1877" s="129" t="n">
        <x:f>ABS(D1877-E1877)</x:f>
        <x:v>0.00804411157423135</x:v>
      </x:c>
    </x:row>
    <x:row r="1878">
      <x:c r="A1878" s="107" t="n">
        <x:v>1877</x:v>
      </x:c>
      <x:c r="B1878" s="128" t="n">
        <x:v>1.5382610014456115</x:v>
      </x:c>
      <x:c r="C1878" s="128" t="n">
        <x:f>LN(B1878)</x:f>
        <x:v>0.43065255853592466</x:v>
      </x:c>
      <x:c r="D1878" s="128" t="n">
        <x:f>'Итоги'!$B$8*AVERAGE($C$2:C1878)</x:f>
        <x:v>1.3036451886278377</x:v>
      </x:c>
      <x:c r="E1878" s="128" t="n">
        <x:f>'Итоги'!$B$9</x:f>
        <x:v>1.2958368660043291</x:v>
      </x:c>
      <x:c r="F1878" s="129" t="n">
        <x:f>ABS(D1878-E1878)</x:f>
        <x:v>0.007808322623508612</x:v>
      </x:c>
    </x:row>
    <x:row r="1879">
      <x:c r="A1879" s="107" t="n">
        <x:v>1878</x:v>
      </x:c>
      <x:c r="B1879" s="128" t="n">
        <x:v>1.641700148134375</x:v>
      </x:c>
      <x:c r="C1879" s="128" t="n">
        <x:f>LN(B1879)</x:f>
        <x:v>0.4957323805506363</x:v>
      </x:c>
      <x:c r="D1879" s="128" t="n">
        <x:f>'Итоги'!$B$8*AVERAGE($C$2:C1879)</x:f>
        <x:v>1.303478958368239</x:v>
      </x:c>
      <x:c r="E1879" s="128" t="n">
        <x:f>'Итоги'!$B$9</x:f>
        <x:v>1.2958368660043291</x:v>
      </x:c>
      <x:c r="F1879" s="129" t="n">
        <x:f>ABS(D1879-E1879)</x:f>
        <x:v>0.00764209236390978</x:v>
      </x:c>
    </x:row>
    <x:row r="1880">
      <x:c r="A1880" s="107" t="n">
        <x:v>1879</x:v>
      </x:c>
      <x:c r="B1880" s="128" t="n">
        <x:v>2.0945656824097494</x:v>
      </x:c>
      <x:c r="C1880" s="128" t="n">
        <x:f>LN(B1880)</x:f>
        <x:v>0.7393462203831755</x:v>
      </x:c>
      <x:c r="D1880" s="128" t="n">
        <x:f>'Итоги'!$B$8*AVERAGE($C$2:C1880)</x:f>
        <x:v>1.303572206629228</x:v>
      </x:c>
      <x:c r="E1880" s="128" t="n">
        <x:f>'Итоги'!$B$9</x:f>
        <x:v>1.2958368660043291</x:v>
      </x:c>
      <x:c r="F1880" s="129" t="n">
        <x:f>ABS(D1880-E1880)</x:f>
        <x:v>0.007735340624898779</x:v>
      </x:c>
    </x:row>
    <x:row r="1881">
      <x:c r="A1881" s="107" t="n">
        <x:v>1880</x:v>
      </x:c>
      <x:c r="B1881" s="128" t="n">
        <x:v>2.1215547491240243</x:v>
      </x:c>
      <x:c r="C1881" s="128" t="n">
        <x:f>LN(B1881)</x:f>
        <x:v>0.7521491921262272</x:v>
      </x:c>
      <x:c r="D1881" s="128" t="n">
        <x:f>'Итоги'!$B$8*AVERAGE($C$2:C1881)</x:f>
        <x:v>1.3036789758726444</x:v>
      </x:c>
      <x:c r="E1881" s="128" t="n">
        <x:f>'Итоги'!$B$9</x:f>
        <x:v>1.2958368660043291</x:v>
      </x:c>
      <x:c r="F1881" s="129" t="n">
        <x:f>ABS(D1881-E1881)</x:f>
        <x:v>0.007842109868315239</x:v>
      </x:c>
    </x:row>
    <x:row r="1882">
      <x:c r="A1882" s="107" t="n">
        <x:v>1881</x:v>
      </x:c>
      <x:c r="B1882" s="128" t="n">
        <x:v>2.011005638714134</x:v>
      </x:c>
      <x:c r="C1882" s="128" t="n">
        <x:f>LN(B1882)</x:f>
        <x:v>0.6986349147220061</x:v>
      </x:c>
      <x:c r="D1882" s="128" t="n">
        <x:f>'Итоги'!$B$8*AVERAGE($C$2:C1882)</x:f>
        <x:v>1.3037287317756594</x:v>
      </x:c>
      <x:c r="E1882" s="128" t="n">
        <x:f>'Итоги'!$B$9</x:f>
        <x:v>1.2958368660043291</x:v>
      </x:c>
      <x:c r="F1882" s="129" t="n">
        <x:f>ABS(D1882-E1882)</x:f>
        <x:v>0.007891865771330275</x:v>
      </x:c>
    </x:row>
    <x:row r="1883">
      <x:c r="A1883" s="107" t="n">
        <x:v>1882</x:v>
      </x:c>
      <x:c r="B1883" s="128" t="n">
        <x:v>2.2733405598326124</x:v>
      </x:c>
      <x:c r="C1883" s="128" t="n">
        <x:f>LN(B1883)</x:f>
        <x:v>0.8212503619942082</x:v>
      </x:c>
      <x:c r="D1883" s="128" t="n">
        <x:f>'Итоги'!$B$8*AVERAGE($C$2:C1883)</x:f>
        <x:v>1.3039087381477175</x:v>
      </x:c>
      <x:c r="E1883" s="128" t="n">
        <x:f>'Итоги'!$B$9</x:f>
        <x:v>1.2958368660043291</x:v>
      </x:c>
      <x:c r="F1883" s="129" t="n">
        <x:f>ABS(D1883-E1883)</x:f>
        <x:v>0.008071872143388337</x:v>
      </x:c>
    </x:row>
    <x:row r="1884">
      <x:c r="A1884" s="107" t="n">
        <x:v>1883</x:v>
      </x:c>
      <x:c r="B1884" s="128" t="n">
        <x:v>1.8166460452659776</x:v>
      </x:c>
      <x:c r="C1884" s="128" t="n">
        <x:f>LN(B1884)</x:f>
        <x:v>0.5969919687128802</x:v>
      </x:c>
      <x:c r="D1884" s="128" t="n">
        <x:f>'Итоги'!$B$8*AVERAGE($C$2:C1884)</x:f>
        <x:v>1.3038503606645937</x:v>
      </x:c>
      <x:c r="E1884" s="128" t="n">
        <x:f>'Итоги'!$B$9</x:f>
        <x:v>1.2958368660043291</x:v>
      </x:c>
      <x:c r="F1884" s="129" t="n">
        <x:f>ABS(D1884-E1884)</x:f>
        <x:v>0.008013494660264575</x:v>
      </x:c>
    </x:row>
    <x:row r="1885">
      <x:c r="A1885" s="107" t="n">
        <x:v>1884</x:v>
      </x:c>
      <x:c r="B1885" s="128" t="n">
        <x:v>2.498348314631066</x:v>
      </x:c>
      <x:c r="C1885" s="128" t="n">
        <x:f>LN(B1885)</x:f>
        <x:v>0.9156298393852432</x:v>
      </x:c>
      <x:c r="D1885" s="128" t="n">
        <x:f>'Итоги'!$B$8*AVERAGE($C$2:C1885)</x:f>
        <x:v>1.3041303019162422</x:v>
      </x:c>
      <x:c r="E1885" s="128" t="n">
        <x:f>'Итоги'!$B$9</x:f>
        <x:v>1.2958368660043291</x:v>
      </x:c>
      <x:c r="F1885" s="129" t="n">
        <x:f>ABS(D1885-E1885)</x:f>
        <x:v>0.008293435911913116</x:v>
      </x:c>
    </x:row>
    <x:row r="1886">
      <x:c r="A1886" s="107" t="n">
        <x:v>1885</x:v>
      </x:c>
      <x:c r="B1886" s="128" t="n">
        <x:v>1.6670998529567107</x:v>
      </x:c>
      <x:c r="C1886" s="128" t="n">
        <x:f>LN(B1886)</x:f>
        <x:v>0.5110855017688035</x:v>
      </x:c>
      <x:c r="D1886" s="128" t="n">
        <x:f>'Итоги'!$B$8*AVERAGE($C$2:C1886)</x:f>
        <x:v>1.3039807213865984</x:v>
      </x:c>
      <x:c r="E1886" s="128" t="n">
        <x:f>'Итоги'!$B$9</x:f>
        <x:v>1.2958368660043291</x:v>
      </x:c>
      <x:c r="F1886" s="129" t="n">
        <x:f>ABS(D1886-E1886)</x:f>
        <x:v>0.00814385538226925</x:v>
      </x:c>
    </x:row>
    <x:row r="1887">
      <x:c r="A1887" s="107" t="n">
        <x:v>1886</x:v>
      </x:c>
      <x:c r="B1887" s="128" t="n">
        <x:v>1.661353993892705</x:v>
      </x:c>
      <x:c r="C1887" s="128" t="n">
        <x:f>LN(B1887)</x:f>
        <x:v>0.5076329288709573</x:v>
      </x:c>
      <x:c r="D1887" s="128" t="n">
        <x:f>'Итоги'!$B$8*AVERAGE($C$2:C1887)</x:f>
        <x:v>1.3038276382139342</x:v>
      </x:c>
      <x:c r="E1887" s="128" t="n">
        <x:f>'Итоги'!$B$9</x:f>
        <x:v>1.2958368660043291</x:v>
      </x:c>
      <x:c r="F1887" s="129" t="n">
        <x:f>ABS(D1887-E1887)</x:f>
        <x:v>0.00799077220960509</x:v>
      </x:c>
    </x:row>
    <x:row r="1888">
      <x:c r="A1888" s="107" t="n">
        <x:v>1887</x:v>
      </x:c>
      <x:c r="B1888" s="128" t="n">
        <x:v>1.254451923783656</x:v>
      </x:c>
      <x:c r="C1888" s="128" t="n">
        <x:f>LN(B1888)</x:f>
        <x:v>0.22669876307975625</x:v>
      </x:c>
      <x:c r="D1888" s="128" t="n">
        <x:f>'Итоги'!$B$8*AVERAGE($C$2:C1888)</x:f>
        <x:v>1.3033769598291678</x:v>
      </x:c>
      <x:c r="E1888" s="128" t="n">
        <x:f>'Итоги'!$B$9</x:f>
        <x:v>1.2958368660043291</x:v>
      </x:c>
      <x:c r="F1888" s="129" t="n">
        <x:f>ABS(D1888-E1888)</x:f>
        <x:v>0.007540093824838667</x:v>
      </x:c>
    </x:row>
    <x:row r="1889">
      <x:c r="A1889" s="107" t="n">
        <x:v>1888</x:v>
      </x:c>
      <x:c r="B1889" s="128" t="n">
        <x:v>1.3774244200578385</x:v>
      </x:c>
      <x:c r="C1889" s="128" t="n">
        <x:f>LN(B1889)</x:f>
        <x:v>0.32021539306803415</x:v>
      </x:c>
      <x:c r="D1889" s="128" t="n">
        <x:f>'Итоги'!$B$8*AVERAGE($C$2:C1889)</x:f>
        <x:v>1.303025823084627</x:v>
      </x:c>
      <x:c r="E1889" s="128" t="n">
        <x:f>'Итоги'!$B$9</x:f>
        <x:v>1.2958368660043291</x:v>
      </x:c>
      <x:c r="F1889" s="129" t="n">
        <x:f>ABS(D1889-E1889)</x:f>
        <x:v>0.007188957080297875</x:v>
      </x:c>
    </x:row>
    <x:row r="1890">
      <x:c r="A1890" s="107" t="n">
        <x:v>1889</x:v>
      </x:c>
      <x:c r="B1890" s="128" t="n">
        <x:v>2.7010417578427153</x:v>
      </x:c>
      <x:c r="C1890" s="128" t="n">
        <x:f>LN(B1890)</x:f>
        <x:v>0.9936375348326657</x:v>
      </x:c>
      <x:c r="D1890" s="128" t="n">
        <x:f>'Итоги'!$B$8*AVERAGE($C$2:C1890)</x:f>
        <x:v>1.3033880513782112</x:v>
      </x:c>
      <x:c r="E1890" s="128" t="n">
        <x:f>'Итоги'!$B$9</x:f>
        <x:v>1.2958368660043291</x:v>
      </x:c>
      <x:c r="F1890" s="129" t="n">
        <x:f>ABS(D1890-E1890)</x:f>
        <x:v>0.007551185373882108</x:v>
      </x:c>
    </x:row>
    <x:row r="1891">
      <x:c r="A1891" s="107" t="n">
        <x:v>1890</x:v>
      </x:c>
      <x:c r="B1891" s="128" t="n">
        <x:v>1.892564677160883</x:v>
      </x:c>
      <x:c r="C1891" s="128" t="n">
        <x:f>LN(B1891)</x:f>
        <x:v>0.6379328812598344</x:v>
      </x:c>
      <x:c r="D1891" s="128" t="n">
        <x:f>'Итоги'!$B$8*AVERAGE($C$2:C1891)</x:f>
        <x:v>1.3033734893206141</x:v>
      </x:c>
      <x:c r="E1891" s="128" t="n">
        <x:f>'Итоги'!$B$9</x:f>
        <x:v>1.2958368660043291</x:v>
      </x:c>
      <x:c r="F1891" s="129" t="n">
        <x:f>ABS(D1891-E1891)</x:f>
        <x:v>0.007536623316285018</x:v>
      </x:c>
    </x:row>
    <x:row r="1892">
      <x:c r="A1892" s="107" t="n">
        <x:v>1891</x:v>
      </x:c>
      <x:c r="B1892" s="128" t="n">
        <x:v>1.4557355731056676</x:v>
      </x:c>
      <x:c r="C1892" s="128" t="n">
        <x:f>LN(B1892)</x:f>
        <x:v>0.3755113214030846</x:v>
      </x:c>
      <x:c r="D1892" s="128" t="n">
        <x:f>'Итоги'!$B$8*AVERAGE($C$2:C1892)</x:f>
        <x:v>1.3030813947428699</x:v>
      </x:c>
      <x:c r="E1892" s="128" t="n">
        <x:f>'Итоги'!$B$9</x:f>
        <x:v>1.2958368660043291</x:v>
      </x:c>
      <x:c r="F1892" s="129" t="n">
        <x:f>ABS(D1892-E1892)</x:f>
        <x:v>0.007244528738540756</x:v>
      </x:c>
    </x:row>
    <x:row r="1893">
      <x:c r="A1893" s="107" t="n">
        <x:v>1892</x:v>
      </x:c>
      <x:c r="B1893" s="128" t="n">
        <x:v>2.5186822000447746</x:v>
      </x:c>
      <x:c r="C1893" s="128" t="n">
        <x:f>LN(B1893)</x:f>
        <x:v>0.9237358282541902</x:v>
      </x:c>
      <x:c r="D1893" s="128" t="n">
        <x:f>'Итоги'!$B$8*AVERAGE($C$2:C1893)</x:f>
        <x:v>1.3033691274393633</x:v>
      </x:c>
      <x:c r="E1893" s="128" t="n">
        <x:f>'Итоги'!$B$9</x:f>
        <x:v>1.2958368660043291</x:v>
      </x:c>
      <x:c r="F1893" s="129" t="n">
        <x:f>ABS(D1893-E1893)</x:f>
        <x:v>0.00753226143503416</x:v>
      </x:c>
    </x:row>
    <x:row r="1894">
      <x:c r="A1894" s="107" t="n">
        <x:v>1893</x:v>
      </x:c>
      <x:c r="B1894" s="128" t="n">
        <x:v>2.107962251633719</x:v>
      </x:c>
      <x:c r="C1894" s="128" t="n">
        <x:f>LN(B1894)</x:f>
        <x:v>0.7457217233241497</x:v>
      </x:c>
      <x:c r="D1894" s="128" t="n">
        <x:f>'Итоги'!$B$8*AVERAGE($C$2:C1894)</x:f>
        <x:v>1.303468479958755</x:v>
      </x:c>
      <x:c r="E1894" s="128" t="n">
        <x:f>'Итоги'!$B$9</x:f>
        <x:v>1.2958368660043291</x:v>
      </x:c>
      <x:c r="F1894" s="129" t="n">
        <x:f>ABS(D1894-E1894)</x:f>
        <x:v>0.007631613954425909</x:v>
      </x:c>
    </x:row>
    <x:row r="1895">
      <x:c r="A1895" s="107" t="n">
        <x:v>1894</x:v>
      </x:c>
      <x:c r="B1895" s="128" t="n">
        <x:v>1.042312022846587</x:v>
      </x:c>
      <x:c r="C1895" s="128" t="n">
        <x:f>LN(B1895)</x:f>
        <x:v>0.041441344616105324</x:v>
      </x:c>
      <x:c r="D1895" s="128" t="n">
        <x:f>'Итоги'!$B$8*AVERAGE($C$2:C1895)</x:f>
        <x:v>1.302824031283609</x:v>
      </x:c>
      <x:c r="E1895" s="128" t="n">
        <x:f>'Итоги'!$B$9</x:f>
        <x:v>1.2958368660043291</x:v>
      </x:c>
      <x:c r="F1895" s="129" t="n">
        <x:f>ABS(D1895-E1895)</x:f>
        <x:v>0.006987165279279894</x:v>
      </x:c>
    </x:row>
    <x:row r="1896">
      <x:c r="A1896" s="107" t="n">
        <x:v>1895</x:v>
      </x:c>
      <x:c r="B1896" s="128" t="n">
        <x:v>1.6327229146734303</x:v>
      </x:c>
      <x:c r="C1896" s="128" t="n">
        <x:f>LN(B1896)</x:f>
        <x:v>0.4902491208854689</x:v>
      </x:c>
      <x:c r="D1896" s="128" t="n">
        <x:f>'Итоги'!$B$8*AVERAGE($C$2:C1896)</x:f>
        <x:v>1.3026539385186946</x:v>
      </x:c>
      <x:c r="E1896" s="128" t="n">
        <x:f>'Итоги'!$B$9</x:f>
        <x:v>1.2958368660043291</x:v>
      </x:c>
      <x:c r="F1896" s="129" t="n">
        <x:f>ABS(D1896-E1896)</x:f>
        <x:v>0.006817072514365474</x:v>
      </x:c>
    </x:row>
    <x:row r="1897">
      <x:c r="A1897" s="107" t="n">
        <x:v>1896</x:v>
      </x:c>
      <x:c r="B1897" s="128" t="n">
        <x:v>1.354002822242682</x:v>
      </x:c>
      <x:c r="C1897" s="128" t="n">
        <x:f>LN(B1897)</x:f>
        <x:v>0.30306525886212227</x:v>
      </x:c>
      <x:c r="D1897" s="128" t="n">
        <x:f>'Итоги'!$B$8*AVERAGE($C$2:C1897)</x:f>
        <x:v>1.3022865738452798</x:v>
      </x:c>
      <x:c r="E1897" s="128" t="n">
        <x:f>'Итоги'!$B$9</x:f>
        <x:v>1.2958368660043291</x:v>
      </x:c>
      <x:c r="F1897" s="129" t="n">
        <x:f>ABS(D1897-E1897)</x:f>
        <x:v>0.006449707840950669</x:v>
      </x:c>
    </x:row>
    <x:row r="1898">
      <x:c r="A1898" s="107" t="n">
        <x:v>1897</x:v>
      </x:c>
      <x:c r="B1898" s="128" t="n">
        <x:v>2.311745721965681</x:v>
      </x:c>
      <x:c r="C1898" s="128" t="n">
        <x:f>LN(B1898)</x:f>
        <x:v>0.8380029629129302</x:v>
      </x:c>
      <x:c r="D1898" s="128" t="n">
        <x:f>'Итоги'!$B$8*AVERAGE($C$2:C1898)</x:f>
        <x:v>1.3024835793023068</x:v>
      </x:c>
      <x:c r="E1898" s="128" t="n">
        <x:f>'Итоги'!$B$9</x:f>
        <x:v>1.2958368660043291</x:v>
      </x:c>
      <x:c r="F1898" s="129" t="n">
        <x:f>ABS(D1898-E1898)</x:f>
        <x:v>0.006646713297977724</x:v>
      </x:c>
    </x:row>
    <x:row r="1899">
      <x:c r="A1899" s="107" t="n">
        <x:v>1898</x:v>
      </x:c>
      <x:c r="B1899" s="128" t="n">
        <x:v>1.5500620812605057</x:v>
      </x:c>
      <x:c r="C1899" s="128" t="n">
        <x:f>LN(B1899)</x:f>
        <x:v>0.438294982555211</x:v>
      </x:c>
      <x:c r="D1899" s="128" t="n">
        <x:f>'Итоги'!$B$8*AVERAGE($C$2:C1899)</x:f>
        <x:v>1.3022591885677484</x:v>
      </x:c>
      <x:c r="E1899" s="128" t="n">
        <x:f>'Итоги'!$B$9</x:f>
        <x:v>1.2958368660043291</x:v>
      </x:c>
      <x:c r="F1899" s="129" t="n">
        <x:f>ABS(D1899-E1899)</x:f>
        <x:v>0.006422322563419236</x:v>
      </x:c>
    </x:row>
    <x:row r="1900">
      <x:c r="A1900" s="107" t="n">
        <x:v>1899</x:v>
      </x:c>
      <x:c r="B1900" s="128" t="n">
        <x:v>1.1298935584198873</x:v>
      </x:c>
      <x:c r="C1900" s="128" t="n">
        <x:f>LN(B1900)</x:f>
        <x:v>0.12212343219892369</x:v>
      </x:c>
      <x:c r="D1900" s="128" t="n">
        <x:f>'Итоги'!$B$8*AVERAGE($C$2:C1900)</x:f>
        <x:v>1.3017020467435412</x:v>
      </x:c>
      <x:c r="E1900" s="128" t="n">
        <x:f>'Итоги'!$B$9</x:f>
        <x:v>1.2958368660043291</x:v>
      </x:c>
      <x:c r="F1900" s="129" t="n">
        <x:f>ABS(D1900-E1900)</x:f>
        <x:v>0.00586518073921205</x:v>
      </x:c>
    </x:row>
    <x:row r="1901">
      <x:c r="A1901" s="107" t="n">
        <x:v>1900</x:v>
      </x:c>
      <x:c r="B1901" s="128" t="n">
        <x:v>1.1098699783953385</x:v>
      </x:c>
      <x:c r="C1901" s="128" t="n">
        <x:f>LN(B1901)</x:f>
        <x:v>0.10424287188244159</x:v>
      </x:c>
      <x:c r="D1901" s="128" t="n">
        <x:f>'Итоги'!$B$8*AVERAGE($C$2:C1901)</x:f>
        <x:v>1.3011266697419734</x:v>
      </x:c>
      <x:c r="E1901" s="128" t="n">
        <x:f>'Итоги'!$B$9</x:f>
        <x:v>1.2958368660043291</x:v>
      </x:c>
      <x:c r="F1901" s="129" t="n">
        <x:f>ABS(D1901-E1901)</x:f>
        <x:v>0.005289803737644316</x:v>
      </x:c>
    </x:row>
    <x:row r="1902">
      <x:c r="A1902" s="107" t="n">
        <x:v>1901</x:v>
      </x:c>
      <x:c r="B1902" s="128" t="n">
        <x:v>2.16345459591743</x:v>
      </x:c>
      <x:c r="C1902" s="128" t="n">
        <x:f>LN(B1902)</x:f>
        <x:v>0.7717062940597329</x:v>
      </x:c>
      <x:c r="D1902" s="128" t="n">
        <x:f>'Итоги'!$B$8*AVERAGE($C$2:C1902)</x:f>
        <x:v>1.3012541215664748</x:v>
      </x:c>
      <x:c r="E1902" s="128" t="n">
        <x:f>'Итоги'!$B$9</x:f>
        <x:v>1.2958368660043291</x:v>
      </x:c>
      <x:c r="F1902" s="129" t="n">
        <x:f>ABS(D1902-E1902)</x:f>
        <x:v>0.005417255562145673</x:v>
      </x:c>
    </x:row>
    <x:row r="1903">
      <x:c r="A1903" s="107" t="n">
        <x:v>1902</x:v>
      </x:c>
      <x:c r="B1903" s="128" t="n">
        <x:v>1.0434469114081792</x:v>
      </x:c>
      <x:c r="C1903" s="128" t="n">
        <x:f>LN(B1903)</x:f>
        <x:v>0.04252957073366072</x:v>
      </x:c>
      <x:c r="D1903" s="128" t="n">
        <x:f>'Итоги'!$B$8*AVERAGE($C$2:C1903)</x:f>
        <x:v>1.3006146920290937</x:v>
      </x:c>
      <x:c r="E1903" s="128" t="n">
        <x:f>'Итоги'!$B$9</x:f>
        <x:v>1.2958368660043291</x:v>
      </x:c>
      <x:c r="F1903" s="129" t="n">
        <x:f>ABS(D1903-E1903)</x:f>
        <x:v>0.00477782602476462</x:v>
      </x:c>
    </x:row>
    <x:row r="1904">
      <x:c r="A1904" s="107" t="n">
        <x:v>1903</x:v>
      </x:c>
      <x:c r="B1904" s="128" t="n">
        <x:v>2.6975842262721774</x:v>
      </x:c>
      <x:c r="C1904" s="128" t="n">
        <x:f>LN(B1904)</x:f>
        <x:v>0.9923566414892709</x:v>
      </x:c>
      <x:c r="D1904" s="128" t="n">
        <x:f>'Итоги'!$B$8*AVERAGE($C$2:C1904)</x:f>
        <x:v>1.3009741763123042</x:v>
      </x:c>
      <x:c r="E1904" s="128" t="n">
        <x:f>'Итоги'!$B$9</x:f>
        <x:v>1.2958368660043291</x:v>
      </x:c>
      <x:c r="F1904" s="129" t="n">
        <x:f>ABS(D1904-E1904)</x:f>
        <x:v>0.00513731030797504</x:v>
      </x:c>
    </x:row>
    <x:row r="1905">
      <x:c r="A1905" s="107" t="n">
        <x:v>1904</x:v>
      </x:c>
      <x:c r="B1905" s="128" t="n">
        <x:v>1.3107942385145512</x:v>
      </x:c>
      <x:c r="C1905" s="128" t="n">
        <x:f>LN(B1905)</x:f>
        <x:v>0.27063324243657894</x:v>
      </x:c>
      <x:c r="D1905" s="128" t="n">
        <x:f>'Итоги'!$B$8*AVERAGE($C$2:C1905)</x:f>
        <x:v>1.3005751701718424</x:v>
      </x:c>
      <x:c r="E1905" s="128" t="n">
        <x:f>'Итоги'!$B$9</x:f>
        <x:v>1.2958368660043291</x:v>
      </x:c>
      <x:c r="F1905" s="129" t="n">
        <x:f>ABS(D1905-E1905)</x:f>
        <x:v>0.0047383041675133075</x:v>
      </x:c>
    </x:row>
    <x:row r="1906">
      <x:c r="A1906" s="107" t="n">
        <x:v>1905</x:v>
      </x:c>
      <x:c r="B1906" s="128" t="n">
        <x:v>2.2131326703908596</x:v>
      </x:c>
      <x:c r="C1906" s="128" t="n">
        <x:f>LN(B1906)</x:f>
        <x:v>0.7944090097422937</x:v>
      </x:c>
      <x:c r="D1906" s="128" t="n">
        <x:f>'Итоги'!$B$8*AVERAGE($C$2:C1906)</x:f>
        <x:v>1.3007264787541588</x:v>
      </x:c>
      <x:c r="E1906" s="128" t="n">
        <x:f>'Итоги'!$B$9</x:f>
        <x:v>1.2958368660043291</x:v>
      </x:c>
      <x:c r="F1906" s="129" t="n">
        <x:f>ABS(D1906-E1906)</x:f>
        <x:v>0.004889612749829686</x:v>
      </x:c>
    </x:row>
    <x:row r="1907">
      <x:c r="A1907" s="107" t="n">
        <x:v>1906</x:v>
      </x:c>
      <x:c r="B1907" s="128" t="n">
        <x:v>1.8893760560214914</x:v>
      </x:c>
      <x:c r="C1907" s="128" t="n">
        <x:f>LN(B1907)</x:f>
        <x:v>0.6362466454777892</x:v>
      </x:c>
      <x:c r="D1907" s="128" t="n">
        <x:f>'Итоги'!$B$8*AVERAGE($C$2:C1907)</x:f>
        <x:v>1.3007116659588815</x:v>
      </x:c>
      <x:c r="E1907" s="128" t="n">
        <x:f>'Итоги'!$B$9</x:f>
        <x:v>1.2958368660043291</x:v>
      </x:c>
      <x:c r="F1907" s="129" t="n">
        <x:f>ABS(D1907-E1907)</x:f>
        <x:v>0.004874799954552422</x:v>
      </x:c>
    </x:row>
    <x:row r="1908">
      <x:c r="A1908" s="107" t="n">
        <x:v>1907</x:v>
      </x:c>
      <x:c r="B1908" s="128" t="n">
        <x:v>1.885703042463805</x:v>
      </x:c>
      <x:c r="C1908" s="128" t="n">
        <x:f>LN(B1908)</x:f>
        <x:v>0.6343007181894368</x:v>
      </x:c>
      <x:c r="D1908" s="128" t="n">
        <x:f>'Итоги'!$B$8*AVERAGE($C$2:C1908)</x:f>
        <x:v>1.3006948278731028</x:v>
      </x:c>
      <x:c r="E1908" s="128" t="n">
        <x:f>'Итоги'!$B$9</x:f>
        <x:v>1.2958368660043291</x:v>
      </x:c>
      <x:c r="F1908" s="129" t="n">
        <x:f>ABS(D1908-E1908)</x:f>
        <x:v>0.00485796186877363</x:v>
      </x:c>
    </x:row>
    <x:row r="1909">
      <x:c r="A1909" s="107" t="n">
        <x:v>1908</x:v>
      </x:c>
      <x:c r="B1909" s="128" t="n">
        <x:v>1.1435942847200917</x:v>
      </x:c>
      <x:c r="C1909" s="128" t="n">
        <x:f>LN(B1909)</x:f>
        <x:v>0.13417618383206575</x:v>
      </x:c>
      <x:c r="D1909" s="128" t="n">
        <x:f>'Итоги'!$B$8*AVERAGE($C$2:C1909)</x:f>
        <x:v>1.3001537678834756</x:v>
      </x:c>
      <x:c r="E1909" s="128" t="n">
        <x:f>'Итоги'!$B$9</x:f>
        <x:v>1.2958368660043291</x:v>
      </x:c>
      <x:c r="F1909" s="129" t="n">
        <x:f>ABS(D1909-E1909)</x:f>
        <x:v>0.004316901879146462</x:v>
      </x:c>
    </x:row>
    <x:row r="1910">
      <x:c r="A1910" s="107" t="n">
        <x:v>1909</x:v>
      </x:c>
      <x:c r="B1910" s="128" t="n">
        <x:v>2.6055045004244315</x:v>
      </x:c>
      <x:c r="C1910" s="128" t="n">
        <x:f>LN(B1910)</x:f>
        <x:v>0.9576263226442555</x:v>
      </x:c>
      <x:c r="D1910" s="128" t="n">
        <x:f>'Итоги'!$B$8*AVERAGE($C$2:C1910)</x:f>
        <x:v>1.300475977876878</x:v>
      </x:c>
      <x:c r="E1910" s="128" t="n">
        <x:f>'Итоги'!$B$9</x:f>
        <x:v>1.2958368660043291</x:v>
      </x:c>
      <x:c r="F1910" s="129" t="n">
        <x:f>ABS(D1910-E1910)</x:f>
        <x:v>0.00463911187254884</x:v>
      </x:c>
    </x:row>
    <x:row r="1911">
      <x:c r="A1911" s="107" t="n">
        <x:v>1910</x:v>
      </x:c>
      <x:c r="B1911" s="128" t="n">
        <x:v>2.786104969506505</x:v>
      </x:c>
      <x:c r="C1911" s="128" t="n">
        <x:f>LN(B1911)</x:f>
        <x:v>1.0246445521447858</x:v>
      </x:c>
      <x:c r="D1911" s="128" t="n">
        <x:f>'Итоги'!$B$8*AVERAGE($C$2:C1911)</x:f>
        <x:v>1.300868026634162</x:v>
      </x:c>
      <x:c r="E1911" s="128" t="n">
        <x:f>'Итоги'!$B$9</x:f>
        <x:v>1.2958368660043291</x:v>
      </x:c>
      <x:c r="F1911" s="129" t="n">
        <x:f>ABS(D1911-E1911)</x:f>
        <x:v>0.005031160629832776</x:v>
      </x:c>
    </x:row>
    <x:row r="1912">
      <x:c r="A1912" s="107" t="n">
        <x:v>1911</x:v>
      </x:c>
      <x:c r="B1912" s="128" t="n">
        <x:v>1.022033334768457</x:v>
      </x:c>
      <x:c r="C1912" s="128" t="n">
        <x:f>LN(B1912)</x:f>
        <x:v>0.02179410843985467</x:v>
      </x:c>
      <x:c r="D1912" s="128" t="n">
        <x:f>'Итоги'!$B$8*AVERAGE($C$2:C1912)</x:f>
        <x:v>1.3002101094129406</x:v>
      </x:c>
      <x:c r="E1912" s="128" t="n">
        <x:f>'Итоги'!$B$9</x:f>
        <x:v>1.2958368660043291</x:v>
      </x:c>
      <x:c r="F1912" s="129" t="n">
        <x:f>ABS(D1912-E1912)</x:f>
        <x:v>0.004373243408611449</x:v>
      </x:c>
    </x:row>
    <x:row r="1913">
      <x:c r="A1913" s="107" t="n">
        <x:v>1912</x:v>
      </x:c>
      <x:c r="B1913" s="128" t="n">
        <x:v>1.3572083513942355</x:v>
      </x:c>
      <x:c r="C1913" s="128" t="n">
        <x:f>LN(B1913)</x:f>
        <x:v>0.30542990730882574</x:v>
      </x:c>
      <x:c r="D1913" s="128" t="n">
        <x:f>'Итоги'!$B$8*AVERAGE($C$2:C1913)</x:f>
        <x:v>1.29984957055583</x:v>
      </x:c>
      <x:c r="E1913" s="128" t="n">
        <x:f>'Итоги'!$B$9</x:f>
        <x:v>1.2958368660043291</x:v>
      </x:c>
      <x:c r="F1913" s="129" t="n">
        <x:f>ABS(D1913-E1913)</x:f>
        <x:v>0.004012704551500823</x:v>
      </x:c>
    </x:row>
    <x:row r="1914">
      <x:c r="A1914" s="107" t="n">
        <x:v>1913</x:v>
      </x:c>
      <x:c r="B1914" s="128" t="n">
        <x:v>2.8078083775909577</x:v>
      </x:c>
      <x:c r="C1914" s="128" t="n">
        <x:f>LN(B1914)</x:f>
        <x:v>1.032404242236339</x:v>
      </x:c>
      <x:c r="D1914" s="128" t="n">
        <x:f>'Итоги'!$B$8*AVERAGE($C$2:C1914)</x:f>
        <x:v>1.300249444530695</x:v>
      </x:c>
      <x:c r="E1914" s="128" t="n">
        <x:f>'Итоги'!$B$9</x:f>
        <x:v>1.2958368660043291</x:v>
      </x:c>
      <x:c r="F1914" s="129" t="n">
        <x:f>ABS(D1914-E1914)</x:f>
        <x:v>0.004412578526365785</x:v>
      </x:c>
    </x:row>
    <x:row r="1915">
      <x:c r="A1915" s="107" t="n">
        <x:v>1914</x:v>
      </x:c>
      <x:c r="B1915" s="128" t="n">
        <x:v>2.0989872256001165</x:v>
      </x:c>
      <x:c r="C1915" s="128" t="n">
        <x:f>LN(B1915)</x:f>
        <x:v>0.7414549548743435</x:v>
      </x:c>
      <x:c r="D1915" s="128" t="n">
        <x:f>'Итоги'!$B$8*AVERAGE($C$2:C1915)</x:f>
        <x:v>1.3003448784205685</x:v>
      </x:c>
      <x:c r="E1915" s="128" t="n">
        <x:f>'Итоги'!$B$9</x:f>
        <x:v>1.2958368660043291</x:v>
      </x:c>
      <x:c r="F1915" s="129" t="n">
        <x:f>ABS(D1915-E1915)</x:f>
        <x:v>0.0045080124162393265</x:v>
      </x:c>
    </x:row>
    <x:row r="1916">
      <x:c r="A1916" s="107" t="n">
        <x:v>1915</x:v>
      </x:c>
      <x:c r="B1916" s="128" t="n">
        <x:v>1.3000791564964203</x:v>
      </x:c>
      <x:c r="C1916" s="128" t="n">
        <x:f>LN(B1916)</x:f>
        <x:v>0.2624251522264248</x:v>
      </x:c>
      <x:c r="D1916" s="128" t="n">
        <x:f>'Итоги'!$B$8*AVERAGE($C$2:C1916)</x:f>
        <x:v>1.2999399204184965</x:v>
      </x:c>
      <x:c r="E1916" s="128" t="n">
        <x:f>'Итоги'!$B$9</x:f>
        <x:v>1.2958368660043291</x:v>
      </x:c>
      <x:c r="F1916" s="129" t="n">
        <x:f>ABS(D1916-E1916)</x:f>
        <x:v>0.004103054414167362</x:v>
      </x:c>
    </x:row>
    <x:row r="1917">
      <x:c r="A1917" s="107" t="n">
        <x:v>1916</x:v>
      </x:c>
      <x:c r="B1917" s="128" t="n">
        <x:v>1.4055809052183177</x:v>
      </x:c>
      <x:c r="C1917" s="128" t="n">
        <x:f>LN(B1917)</x:f>
        <x:v>0.34045067300786563</x:v>
      </x:c>
      <x:c r="D1917" s="128" t="n">
        <x:f>'Итоги'!$B$8*AVERAGE($C$2:C1917)</x:f>
        <x:v>1.29961683139219</x:v>
      </x:c>
      <x:c r="E1917" s="128" t="n">
        <x:f>'Итоги'!$B$9</x:f>
        <x:v>1.2958368660043291</x:v>
      </x:c>
      <x:c r="F1917" s="129" t="n">
        <x:f>ABS(D1917-E1917)</x:f>
        <x:v>0.003779965387860962</x:v>
      </x:c>
    </x:row>
    <x:row r="1918">
      <x:c r="A1918" s="107" t="n">
        <x:v>1917</x:v>
      </x:c>
      <x:c r="B1918" s="128" t="n">
        <x:v>2.319972488474228</x:v>
      </x:c>
      <x:c r="C1918" s="128" t="n">
        <x:f>LN(B1918)</x:f>
        <x:v>0.8415553271916261</x:v>
      </x:c>
      <x:c r="D1918" s="128" t="n">
        <x:f>'Итоги'!$B$8*AVERAGE($C$2:C1918)</x:f>
        <x:v>1.299816880334804</x:v>
      </x:c>
      <x:c r="E1918" s="128" t="n">
        <x:f>'Итоги'!$B$9</x:f>
        <x:v>1.2958368660043291</x:v>
      </x:c>
      <x:c r="F1918" s="129" t="n">
        <x:f>ABS(D1918-E1918)</x:f>
        <x:v>0.003980014330474901</x:v>
      </x:c>
    </x:row>
    <x:row r="1919">
      <x:c r="A1919" s="107" t="n">
        <x:v>1918</x:v>
      </x:c>
      <x:c r="B1919" s="128" t="n">
        <x:v>2.449633644493746</x:v>
      </x:c>
      <x:c r="C1919" s="128" t="n">
        <x:f>LN(B1919)</x:f>
        <x:v>0.8959384805157874</x:v>
      </x:c>
      <x:c r="D1919" s="128" t="n">
        <x:f>'Итоги'!$B$8*AVERAGE($C$2:C1919)</x:f>
        <x:v>1.3000734288648859</x:v>
      </x:c>
      <x:c r="E1919" s="128" t="n">
        <x:f>'Итоги'!$B$9</x:f>
        <x:v>1.2958368660043291</x:v>
      </x:c>
      <x:c r="F1919" s="129" t="n">
        <x:f>ABS(D1919-E1919)</x:f>
        <x:v>0.004236562860556736</x:v>
      </x:c>
    </x:row>
    <x:row r="1920">
      <x:c r="A1920" s="107" t="n">
        <x:v>1919</x:v>
      </x:c>
      <x:c r="B1920" s="128" t="n">
        <x:v>2.1988536171598705</x:v>
      </x:c>
      <x:c r="C1920" s="128" t="n">
        <x:f>LN(B1920)</x:f>
        <x:v>0.7879361414441358</x:v>
      </x:c>
      <x:c r="D1920" s="128" t="n">
        <x:f>'Итоги'!$B$8*AVERAGE($C$2:C1920)</x:f>
        <x:v>1.30021714895557</x:v>
      </x:c>
      <x:c r="E1920" s="128" t="n">
        <x:f>'Итоги'!$B$9</x:f>
        <x:v>1.2958368660043291</x:v>
      </x:c>
      <x:c r="F1920" s="129" t="n">
        <x:f>ABS(D1920-E1920)</x:f>
        <x:v>0.0043802829512409325</x:v>
      </x:c>
    </x:row>
    <x:row r="1921">
      <x:c r="A1921" s="107" t="n">
        <x:v>1920</x:v>
      </x:c>
      <x:c r="B1921" s="128" t="n">
        <x:v>2.9062967598250515</x:v>
      </x:c>
      <x:c r="C1921" s="128" t="n">
        <x:f>LN(B1921)</x:f>
        <x:v>1.0668796796262645</x:v>
      </x:c>
      <x:c r="D1921" s="128" t="n">
        <x:f>'Итоги'!$B$8*AVERAGE($C$2:C1921)</x:f>
        <x:v>1.3006512855234331</x:v>
      </x:c>
      <x:c r="E1921" s="128" t="n">
        <x:f>'Итоги'!$B$9</x:f>
        <x:v>1.2958368660043291</x:v>
      </x:c>
      <x:c r="F1921" s="129" t="n">
        <x:f>ABS(D1921-E1921)</x:f>
        <x:v>0.004814419519103996</x:v>
      </x:c>
    </x:row>
    <x:row r="1922">
      <x:c r="A1922" s="107" t="n">
        <x:v>1921</x:v>
      </x:c>
      <x:c r="B1922" s="128" t="n">
        <x:v>1.988127207323554</x:v>
      </x:c>
      <x:c r="C1922" s="128" t="n">
        <x:f>LN(B1922)</x:f>
        <x:v>0.6871930937745648</x:v>
      </x:c>
      <x:c r="D1922" s="128" t="n">
        <x:f>'Итоги'!$B$8*AVERAGE($C$2:C1922)</x:f>
        <x:v>1.3006896691267782</x:v>
      </x:c>
      <x:c r="E1922" s="128" t="n">
        <x:f>'Итоги'!$B$9</x:f>
        <x:v>1.2958368660043291</x:v>
      </x:c>
      <x:c r="F1922" s="129" t="n">
        <x:f>ABS(D1922-E1922)</x:f>
        <x:v>0.0048528031224490675</x:v>
      </x:c>
    </x:row>
    <x:row r="1923">
      <x:c r="A1923" s="107" t="n">
        <x:v>1922</x:v>
      </x:c>
      <x:c r="B1923" s="128" t="n">
        <x:v>1.6005438242850534</x:v>
      </x:c>
      <x:c r="C1923" s="128" t="n">
        <x:f>LN(B1923)</x:f>
        <x:v>0.4703434616743126</x:v>
      </x:c>
      <x:c r="D1923" s="128" t="n">
        <x:f>'Итоги'!$B$8*AVERAGE($C$2:C1923)</x:f>
        <x:v>1.3005023628074346</x:v>
      </x:c>
      <x:c r="E1923" s="128" t="n">
        <x:f>'Итоги'!$B$9</x:f>
        <x:v>1.2958368660043291</x:v>
      </x:c>
      <x:c r="F1923" s="129" t="n">
        <x:f>ABS(D1923-E1923)</x:f>
        <x:v>0.004665496803105462</x:v>
      </x:c>
    </x:row>
    <x:row r="1924">
      <x:c r="A1924" s="107" t="n">
        <x:v>1923</x:v>
      </x:c>
      <x:c r="B1924" s="128" t="n">
        <x:v>1.954465819951593</x:v>
      </x:c>
      <x:c r="C1924" s="128" t="n">
        <x:f>LN(B1924)</x:f>
        <x:v>0.6701169182246363</x:v>
      </x:c>
      <x:c r="D1924" s="128" t="n">
        <x:f>'Итоги'!$B$8*AVERAGE($C$2:C1924)</x:f>
        <x:v>1.3005230240001762</x:v>
      </x:c>
      <x:c r="E1924" s="128" t="n">
        <x:f>'Итоги'!$B$9</x:f>
        <x:v>1.2958368660043291</x:v>
      </x:c>
      <x:c r="F1924" s="129" t="n">
        <x:f>ABS(D1924-E1924)</x:f>
        <x:v>0.00468615799584704</x:v>
      </x:c>
    </x:row>
    <x:row r="1925">
      <x:c r="A1925" s="107" t="n">
        <x:v>1924</x:v>
      </x:c>
      <x:c r="B1925" s="128" t="n">
        <x:v>1.719332587333222</x:v>
      </x:c>
      <x:c r="C1925" s="128" t="n">
        <x:f>LN(B1925)</x:f>
        <x:v>0.5419361849017801</x:v>
      </x:c>
      <x:c r="D1925" s="128" t="n">
        <x:f>'Итоги'!$B$8*AVERAGE($C$2:C1925)</x:f>
        <x:v>1.300410419710053</x:v>
      </x:c>
      <x:c r="E1925" s="128" t="n">
        <x:f>'Итоги'!$B$9</x:f>
        <x:v>1.2958368660043291</x:v>
      </x:c>
      <x:c r="F1925" s="129" t="n">
        <x:f>ABS(D1925-E1925)</x:f>
        <x:v>0.004573553705723876</x:v>
      </x:c>
    </x:row>
    <x:row r="1926">
      <x:c r="A1926" s="107" t="n">
        <x:v>1925</x:v>
      </x:c>
      <x:c r="B1926" s="128" t="n">
        <x:v>1.4488317853493726</x:v>
      </x:c>
      <x:c r="C1926" s="128" t="n">
        <x:f>LN(B1926)</x:f>
        <x:v>0.370757566433496</x:v>
      </x:c>
      <x:c r="D1926" s="128" t="n">
        <x:f>'Итоги'!$B$8*AVERAGE($C$2:C1926)</x:f>
        <x:v>1.3001200844961085</x:v>
      </x:c>
      <x:c r="E1926" s="128" t="n">
        <x:f>'Итоги'!$B$9</x:f>
        <x:v>1.2958368660043291</x:v>
      </x:c>
      <x:c r="F1926" s="129" t="n">
        <x:f>ABS(D1926-E1926)</x:f>
        <x:v>0.0042832184917793725</x:v>
      </x:c>
    </x:row>
    <x:row r="1927">
      <x:c r="A1927" s="107" t="n">
        <x:v>1926</x:v>
      </x:c>
      <x:c r="B1927" s="128" t="n">
        <x:v>1.0919264986802801</x:v>
      </x:c>
      <x:c r="C1927" s="128" t="n">
        <x:f>LN(B1927)</x:f>
        <x:v>0.08794356615652521</x:v>
      </x:c>
      <x:c r="D1927" s="128" t="n">
        <x:f>'Итоги'!$B$8*AVERAGE($C$2:C1927)</x:f>
        <x:v>1.2995363706060863</x:v>
      </x:c>
      <x:c r="E1927" s="128" t="n">
        <x:f>'Итоги'!$B$9</x:f>
        <x:v>1.2958368660043291</x:v>
      </x:c>
      <x:c r="F1927" s="129" t="n">
        <x:f>ABS(D1927-E1927)</x:f>
        <x:v>0.0036995046017571642</x:v>
      </x:c>
    </x:row>
    <x:row r="1928">
      <x:c r="A1928" s="107" t="n">
        <x:v>1927</x:v>
      </x:c>
      <x:c r="B1928" s="128" t="n">
        <x:v>1.7044249871302484</x:v>
      </x:c>
      <x:c r="C1928" s="128" t="n">
        <x:f>LN(B1928)</x:f>
        <x:v>0.5332278029035882</x:v>
      </x:c>
      <x:c r="D1928" s="128" t="n">
        <x:f>'Итоги'!$B$8*AVERAGE($C$2:C1928)</x:f>
        <x:v>1.299415415357099</x:v>
      </x:c>
      <x:c r="E1928" s="128" t="n">
        <x:f>'Итоги'!$B$9</x:f>
        <x:v>1.2958368660043291</x:v>
      </x:c>
      <x:c r="F1928" s="129" t="n">
        <x:f>ABS(D1928-E1928)</x:f>
        <x:v>0.0035785493527698</x:v>
      </x:c>
    </x:row>
    <x:row r="1929">
      <x:c r="A1929" s="107" t="n">
        <x:v>1928</x:v>
      </x:c>
      <x:c r="B1929" s="128" t="n">
        <x:v>2.4228186954194846</x:v>
      </x:c>
      <x:c r="C1929" s="128" t="n">
        <x:f>LN(B1929)</x:f>
        <x:v>0.8849316125467096</x:v>
      </x:c>
      <x:c r="D1929" s="128" t="n">
        <x:f>'Итоги'!$B$8*AVERAGE($C$2:C1929)</x:f>
        <x:v>1.2996594235571697</x:v>
      </x:c>
      <x:c r="E1929" s="128" t="n">
        <x:f>'Итоги'!$B$9</x:f>
        <x:v>1.2958368660043291</x:v>
      </x:c>
      <x:c r="F1929" s="129" t="n">
        <x:f>ABS(D1929-E1929)</x:f>
        <x:v>0.0038225575528405553</x:v>
      </x:c>
    </x:row>
    <x:row r="1930">
      <x:c r="A1930" s="107" t="n">
        <x:v>1929</x:v>
      </x:c>
      <x:c r="B1930" s="128" t="n">
        <x:v>1.0368756057503876</x:v>
      </x:c>
      <x:c r="C1930" s="128" t="n">
        <x:f>LN(B1930)</x:f>
        <x:v>0.036211966170128895</x:v>
      </x:c>
      <x:c r="D1930" s="128" t="n">
        <x:f>'Итоги'!$B$8*AVERAGE($C$2:C1930)</x:f>
        <x:v>1.299023220606824</x:v>
      </x:c>
      <x:c r="E1930" s="128" t="n">
        <x:f>'Итоги'!$B$9</x:f>
        <x:v>1.2958368660043291</x:v>
      </x:c>
      <x:c r="F1930" s="129" t="n">
        <x:f>ABS(D1930-E1930)</x:f>
        <x:v>0.003186354602494834</x:v>
      </x:c>
    </x:row>
    <x:row r="1931">
      <x:c r="A1931" s="107" t="n">
        <x:v>1930</x:v>
      </x:c>
      <x:c r="B1931" s="128" t="n">
        <x:v>1.8783570264118694</x:v>
      </x:c>
      <x:c r="C1931" s="128" t="n">
        <x:f>LN(B1931)</x:f>
        <x:v>0.6303974726279457</x:v>
      </x:c>
      <x:c r="D1931" s="128" t="n">
        <x:f>'Итоги'!$B$8*AVERAGE($C$2:C1931)</x:f>
        <x:v>1.299003413210269</x:v>
      </x:c>
      <x:c r="E1931" s="128" t="n">
        <x:f>'Итоги'!$B$9</x:f>
        <x:v>1.2958368660043291</x:v>
      </x:c>
      <x:c r="F1931" s="129" t="n">
        <x:f>ABS(D1931-E1931)</x:f>
        <x:v>0.003166547205939896</x:v>
      </x:c>
    </x:row>
    <x:row r="1932">
      <x:c r="A1932" s="107" t="n">
        <x:v>1931</x:v>
      </x:c>
      <x:c r="B1932" s="128" t="n">
        <x:v>2.288018802899737</x:v>
      </x:c>
      <x:c r="C1932" s="128" t="n">
        <x:f>LN(B1932)</x:f>
        <x:v>0.8276862915343678</x:v>
      </x:c>
      <x:c r="D1932" s="128" t="n">
        <x:f>'Итоги'!$B$8*AVERAGE($C$2:C1932)</x:f>
        <x:v>1.2991879648259388</x:v>
      </x:c>
      <x:c r="E1932" s="128" t="n">
        <x:f>'Итоги'!$B$9</x:f>
        <x:v>1.2958368660043291</x:v>
      </x:c>
      <x:c r="F1932" s="129" t="n">
        <x:f>ABS(D1932-E1932)</x:f>
        <x:v>0.003351098821609666</x:v>
      </x:c>
    </x:row>
    <x:row r="1933">
      <x:c r="A1933" s="107" t="n">
        <x:v>1932</x:v>
      </x:c>
      <x:c r="B1933" s="128" t="n">
        <x:v>2.2208082183486146</x:v>
      </x:c>
      <x:c r="C1933" s="128" t="n">
        <x:f>LN(B1933)</x:f>
        <x:v>0.7978711919487778</x:v>
      </x:c>
      <x:c r="D1933" s="128" t="n">
        <x:f>'Итоги'!$B$8*AVERAGE($C$2:C1933)</x:f>
        <x:v>1.2993414609020628</x:v>
      </x:c>
      <x:c r="E1933" s="128" t="n">
        <x:f>'Итоги'!$B$9</x:f>
        <x:v>1.2958368660043291</x:v>
      </x:c>
      <x:c r="F1933" s="129" t="n">
        <x:f>ABS(D1933-E1933)</x:f>
        <x:v>0.0035045948977336927</x:v>
      </x:c>
    </x:row>
    <x:row r="1934">
      <x:c r="A1934" s="107" t="n">
        <x:v>1933</x:v>
      </x:c>
      <x:c r="B1934" s="128" t="n">
        <x:v>2.553296871777432</x:v>
      </x:c>
      <x:c r="C1934" s="128" t="n">
        <x:f>LN(B1934)</x:f>
        <x:v>0.9373854149997013</x:v>
      </x:c>
      <x:c r="D1934" s="128" t="n">
        <x:f>'Итоги'!$B$8*AVERAGE($C$2:C1934)</x:f>
        <x:v>1.2996391481080107</x:v>
      </x:c>
      <x:c r="E1934" s="128" t="n">
        <x:f>'Итоги'!$B$9</x:f>
        <x:v>1.2958368660043291</x:v>
      </x:c>
      <x:c r="F1934" s="129" t="n">
        <x:f>ABS(D1934-E1934)</x:f>
        <x:v>0.003802282103681609</x:v>
      </x:c>
    </x:row>
    <x:row r="1935">
      <x:c r="A1935" s="107" t="n">
        <x:v>1934</x:v>
      </x:c>
      <x:c r="B1935" s="128" t="n">
        <x:v>2.621039431319595</x:v>
      </x:c>
      <x:c r="C1935" s="128" t="n">
        <x:f>LN(B1935)</x:f>
        <x:v>0.9635709686079568</x:v>
      </x:c>
      <x:c r="D1935" s="128" t="n">
        <x:f>'Итоги'!$B$8*AVERAGE($C$2:C1935)</x:f>
        <x:v>1.2999636066339197</x:v>
      </x:c>
      <x:c r="E1935" s="128" t="n">
        <x:f>'Итоги'!$B$9</x:f>
        <x:v>1.2958368660043291</x:v>
      </x:c>
      <x:c r="F1935" s="129" t="n">
        <x:f>ABS(D1935-E1935)</x:f>
        <x:v>0.0041267406295906195</x:v>
      </x:c>
    </x:row>
    <x:row r="1936">
      <x:c r="A1936" s="107" t="n">
        <x:v>1935</x:v>
      </x:c>
      <x:c r="B1936" s="128" t="n">
        <x:v>2.4234116418387757</x:v>
      </x:c>
      <x:c r="C1936" s="128" t="n">
        <x:f>LN(B1936)</x:f>
        <x:v>0.8851763167316062</x:v>
      </x:c>
      <x:c r="D1936" s="128" t="n">
        <x:f>'Итоги'!$B$8*AVERAGE($C$2:C1936)</x:f>
        <x:v>1.3002067017382242</x:v>
      </x:c>
      <x:c r="E1936" s="128" t="n">
        <x:f>'Итоги'!$B$9</x:f>
        <x:v>1.2958368660043291</x:v>
      </x:c>
      <x:c r="F1936" s="129" t="n">
        <x:f>ABS(D1936-E1936)</x:f>
        <x:v>0.004369835733895044</x:v>
      </x:c>
    </x:row>
    <x:row r="1937">
      <x:c r="A1937" s="107" t="n">
        <x:v>1936</x:v>
      </x:c>
      <x:c r="B1937" s="128" t="n">
        <x:v>1.2055953922894989</x:v>
      </x:c>
      <x:c r="C1937" s="128" t="n">
        <x:f>LN(B1937)</x:f>
        <x:v>0.18697354639973532</x:v>
      </x:c>
      <x:c r="D1937" s="128" t="n">
        <x:f>'Итоги'!$B$8*AVERAGE($C$2:C1937)</x:f>
        <x:v>1.2997282618575738</x:v>
      </x:c>
      <x:c r="E1937" s="128" t="n">
        <x:f>'Итоги'!$B$9</x:f>
        <x:v>1.2958368660043291</x:v>
      </x:c>
      <x:c r="F1937" s="129" t="n">
        <x:f>ABS(D1937-E1937)</x:f>
        <x:v>0.003891395853244717</x:v>
      </x:c>
    </x:row>
    <x:row r="1938">
      <x:c r="A1938" s="107" t="n">
        <x:v>1937</x:v>
      </x:c>
      <x:c r="B1938" s="128" t="n">
        <x:v>1.9500448880087213</x:v>
      </x:c>
      <x:c r="C1938" s="128" t="n">
        <x:f>LN(B1938)</x:f>
        <x:v>0.667852391802363</x:v>
      </x:c>
      <x:c r="D1938" s="128" t="n">
        <x:f>'Итоги'!$B$8*AVERAGE($C$2:C1938)</x:f>
        <x:v>1.2997468351780423</x:v>
      </x:c>
      <x:c r="E1938" s="128" t="n">
        <x:f>'Итоги'!$B$9</x:f>
        <x:v>1.2958368660043291</x:v>
      </x:c>
      <x:c r="F1938" s="129" t="n">
        <x:f>ABS(D1938-E1938)</x:f>
        <x:v>0.003909969173713224</x:v>
      </x:c>
    </x:row>
    <x:row r="1939">
      <x:c r="A1939" s="107" t="n">
        <x:v>1938</x:v>
      </x:c>
      <x:c r="B1939" s="128" t="n">
        <x:v>2.2068119149752174</x:v>
      </x:c>
      <x:c r="C1939" s="128" t="n">
        <x:f>LN(B1939)</x:f>
        <x:v>0.7915489016109238</x:v>
      </x:c>
      <x:c r="D1939" s="128" t="n">
        <x:f>'Итоги'!$B$8*AVERAGE($C$2:C1939)</x:f>
        <x:v>1.2998930431078894</x:v>
      </x:c>
      <x:c r="E1939" s="128" t="n">
        <x:f>'Итоги'!$B$9</x:f>
        <x:v>1.2958368660043291</x:v>
      </x:c>
      <x:c r="F1939" s="129" t="n">
        <x:f>ABS(D1939-E1939)</x:f>
        <x:v>0.004056177103560321</x:v>
      </x:c>
    </x:row>
    <x:row r="1940">
      <x:c r="A1940" s="107" t="n">
        <x:v>1939</x:v>
      </x:c>
      <x:c r="B1940" s="128" t="n">
        <x:v>1.4911320776189032</x:v>
      </x:c>
      <x:c r="C1940" s="128" t="n">
        <x:f>LN(B1940)</x:f>
        <x:v>0.3995356151047453</x:v>
      </x:c>
      <x:c r="D1940" s="128" t="n">
        <x:f>'Итоги'!$B$8*AVERAGE($C$2:C1940)</x:f>
        <x:v>1.299634754395719</x:v>
      </x:c>
      <x:c r="E1940" s="128" t="n">
        <x:f>'Итоги'!$B$9</x:f>
        <x:v>1.2958368660043291</x:v>
      </x:c>
      <x:c r="F1940" s="129" t="n">
        <x:f>ABS(D1940-E1940)</x:f>
        <x:v>0.0037978883913898365</x:v>
      </x:c>
    </x:row>
    <x:row r="1941">
      <x:c r="A1941" s="107" t="n">
        <x:v>1940</x:v>
      </x:c>
      <x:c r="B1941" s="128" t="n">
        <x:v>1.085103635293553</x:v>
      </x:c>
      <x:c r="C1941" s="128" t="n">
        <x:f>LN(B1941)</x:f>
        <x:v>0.08167549883061008</x:v>
      </x:c>
      <x:c r="D1941" s="128" t="n">
        <x:f>'Итоги'!$B$8*AVERAGE($C$2:C1941)</x:f>
        <x:v>1.2990490411190518</x:v>
      </x:c>
      <x:c r="E1941" s="128" t="n">
        <x:f>'Итоги'!$B$9</x:f>
        <x:v>1.2958368660043291</x:v>
      </x:c>
      <x:c r="F1941" s="129" t="n">
        <x:f>ABS(D1941-E1941)</x:f>
        <x:v>0.003212175114722715</x:v>
      </x:c>
    </x:row>
    <x:row r="1942">
      <x:c r="A1942" s="107" t="n">
        <x:v>1941</x:v>
      </x:c>
      <x:c r="B1942" s="128" t="n">
        <x:v>1.4471806417520938</x:v>
      </x:c>
      <x:c r="C1942" s="128" t="n">
        <x:f>LN(B1942)</x:f>
        <x:v>0.3696172786635015</x:v>
      </x:c>
      <x:c r="D1942" s="128" t="n">
        <x:f>'Итоги'!$B$8*AVERAGE($C$2:C1942)</x:f>
        <x:v>1.2987606256199318</x:v>
      </x:c>
      <x:c r="E1942" s="128" t="n">
        <x:f>'Итоги'!$B$9</x:f>
        <x:v>1.2958368660043291</x:v>
      </x:c>
      <x:c r="F1942" s="129" t="n">
        <x:f>ABS(D1942-E1942)</x:f>
        <x:v>0.00292375961560265</x:v>
      </x:c>
    </x:row>
    <x:row r="1943">
      <x:c r="A1943" s="107" t="n">
        <x:v>1942</x:v>
      </x:c>
      <x:c r="B1943" s="128" t="n">
        <x:v>1.9097888034652777</x:v>
      </x:c>
      <x:c r="C1943" s="128" t="n">
        <x:f>LN(B1943)</x:f>
        <x:v>0.646992661842823</x:v>
      </x:c>
      <x:c r="D1943" s="128" t="n">
        <x:f>'Итоги'!$B$8*AVERAGE($C$2:C1943)</x:f>
        <x:v>1.2987581666591006</x:v>
      </x:c>
      <x:c r="E1943" s="128" t="n">
        <x:f>'Итоги'!$B$9</x:f>
        <x:v>1.2958368660043291</x:v>
      </x:c>
      <x:c r="F1943" s="129" t="n">
        <x:f>ABS(D1943-E1943)</x:f>
        <x:v>0.002921300654771475</x:v>
      </x:c>
    </x:row>
    <x:row r="1944">
      <x:c r="A1944" s="107" t="n">
        <x:v>1943</x:v>
      </x:c>
      <x:c r="B1944" s="128" t="n">
        <x:v>1.8278606381092017</x:v>
      </x:c>
      <x:c r="C1944" s="128" t="n">
        <x:f>LN(B1944)</x:f>
        <x:v>0.6031462327675384</x:v>
      </x:c>
      <x:c r="D1944" s="128" t="n">
        <x:f>'Итоги'!$B$8*AVERAGE($C$2:C1944)</x:f>
        <x:v>1.2987105775180177</x:v>
      </x:c>
      <x:c r="E1944" s="128" t="n">
        <x:f>'Итоги'!$B$9</x:f>
        <x:v>1.2958368660043291</x:v>
      </x:c>
      <x:c r="F1944" s="129" t="n">
        <x:f>ABS(D1944-E1944)</x:f>
        <x:v>0.002873711513688537</x:v>
      </x:c>
    </x:row>
    <x:row r="1945">
      <x:c r="A1945" s="107" t="n">
        <x:v>1944</x:v>
      </x:c>
      <x:c r="B1945" s="128" t="n">
        <x:v>1.3533339626543233</x:v>
      </x:c>
      <x:c r="C1945" s="128" t="n">
        <x:f>LN(B1945)</x:f>
        <x:v>0.30257114996093326</x:v>
      </x:c>
      <x:c r="D1945" s="128" t="n">
        <x:f>'Итоги'!$B$8*AVERAGE($C$2:C1945)</x:f>
        <x:v>1.2983538037126698</x:v>
      </x:c>
      <x:c r="E1945" s="128" t="n">
        <x:f>'Итоги'!$B$9</x:f>
        <x:v>1.2958368660043291</x:v>
      </x:c>
      <x:c r="F1945" s="129" t="n">
        <x:f>ABS(D1945-E1945)</x:f>
        <x:v>0.0025169377083407163</x:v>
      </x:c>
    </x:row>
    <x:row r="1946">
      <x:c r="A1946" s="107" t="n">
        <x:v>1945</x:v>
      </x:c>
      <x:c r="B1946" s="128" t="n">
        <x:v>2.648831085366986</x:v>
      </x:c>
      <x:c r="C1946" s="128" t="n">
        <x:f>LN(B1946)</x:f>
        <x:v>0.9741184428234546</x:v>
      </x:c>
      <x:c r="D1946" s="128" t="n">
        <x:f>'Итоги'!$B$8*AVERAGE($C$2:C1946)</x:f>
        <x:v>1.2986879338319164</x:v>
      </x:c>
      <x:c r="E1946" s="128" t="n">
        <x:f>'Итоги'!$B$9</x:f>
        <x:v>1.2958368660043291</x:v>
      </x:c>
      <x:c r="F1946" s="129" t="n">
        <x:f>ABS(D1946-E1946)</x:f>
        <x:v>0.0028510678275872614</x:v>
      </x:c>
    </x:row>
    <x:row r="1947">
      <x:c r="A1947" s="107" t="n">
        <x:v>1946</x:v>
      </x:c>
      <x:c r="B1947" s="128" t="n">
        <x:v>2.851373337473449</x:v>
      </x:c>
      <x:c r="C1947" s="128" t="n">
        <x:f>LN(B1947)</x:f>
        <x:v>1.0478007510148477</x:v>
      </x:c>
      <x:c r="D1947" s="128" t="n">
        <x:f>'Итоги'!$B$8*AVERAGE($C$2:C1947)</x:f>
        <x:v>1.2990974474846386</x:v>
      </x:c>
      <x:c r="E1947" s="128" t="n">
        <x:f>'Итоги'!$B$9</x:f>
        <x:v>1.2958368660043291</x:v>
      </x:c>
      <x:c r="F1947" s="129" t="n">
        <x:f>ABS(D1947-E1947)</x:f>
        <x:v>0.003260581480309499</x:v>
      </x:c>
    </x:row>
    <x:row r="1948">
      <x:c r="A1948" s="107" t="n">
        <x:v>1947</x:v>
      </x:c>
      <x:c r="B1948" s="128" t="n">
        <x:v>1.4026966381054304</x:v>
      </x:c>
      <x:c r="C1948" s="128" t="n">
        <x:f>LN(B1948)</x:f>
        <x:v>0.33839655400961943</x:v>
      </x:c>
      <x:c r="D1948" s="128" t="n">
        <x:f>'Итоги'!$B$8*AVERAGE($C$2:C1948)</x:f>
        <x:v>1.2987778253277484</x:v>
      </x:c>
      <x:c r="E1948" s="128" t="n">
        <x:f>'Итоги'!$B$9</x:f>
        <x:v>1.2958368660043291</x:v>
      </x:c>
      <x:c r="F1948" s="129" t="n">
        <x:f>ABS(D1948-E1948)</x:f>
        <x:v>0.002940959323419312</x:v>
      </x:c>
    </x:row>
    <x:row r="1949">
      <x:c r="A1949" s="107" t="n">
        <x:v>1948</x:v>
      </x:c>
      <x:c r="B1949" s="128" t="n">
        <x:v>2.8591458311344433</x:v>
      </x:c>
      <x:c r="C1949" s="128" t="n">
        <x:f>LN(B1949)</x:f>
        <x:v>1.050522919781347</x:v>
      </x:c>
      <x:c r="D1949" s="128" t="n">
        <x:f>'Итоги'!$B$8*AVERAGE($C$2:C1949)</x:f>
        <x:v>1.299189667224173</x:v>
      </x:c>
      <x:c r="E1949" s="128" t="n">
        <x:f>'Итоги'!$B$9</x:f>
        <x:v>1.2958368660043291</x:v>
      </x:c>
      <x:c r="F1949" s="129" t="n">
        <x:f>ABS(D1949-E1949)</x:f>
        <x:v>0.003352801219843826</x:v>
      </x:c>
    </x:row>
    <x:row r="1950">
      <x:c r="A1950" s="107" t="n">
        <x:v>1949</x:v>
      </x:c>
      <x:c r="B1950" s="128" t="n">
        <x:v>1.0357219183503616</x:v>
      </x:c>
      <x:c r="C1950" s="128" t="n">
        <x:f>LN(B1950)</x:f>
        <x:v>0.03509868922584439</x:v>
      </x:c>
      <x:c r="D1950" s="128" t="n">
        <x:f>'Итоги'!$B$8*AVERAGE($C$2:C1950)</x:f>
        <x:v>1.2985590913961726</x:v>
      </x:c>
      <x:c r="E1950" s="128" t="n">
        <x:f>'Итоги'!$B$9</x:f>
        <x:v>1.2958368660043291</x:v>
      </x:c>
      <x:c r="F1950" s="129" t="n">
        <x:f>ABS(D1950-E1950)</x:f>
        <x:v>0.0027222253918435246</x:v>
      </x:c>
    </x:row>
    <x:row r="1951">
      <x:c r="A1951" s="107" t="n">
        <x:v>1950</x:v>
      </x:c>
      <x:c r="B1951" s="128" t="n">
        <x:v>2.849924945413891</x:v>
      </x:c>
      <x:c r="C1951" s="128" t="n">
        <x:f>LN(B1951)</x:f>
        <x:v>1.047292658991294</x:v>
      </x:c>
      <x:c r="D1951" s="128" t="n">
        <x:f>'Итоги'!$B$8*AVERAGE($C$2:C1951)</x:f>
        <x:v>1.2989673099739092</x:v>
      </x:c>
      <x:c r="E1951" s="128" t="n">
        <x:f>'Итоги'!$B$9</x:f>
        <x:v>1.2958368660043291</x:v>
      </x:c>
      <x:c r="F1951" s="129" t="n">
        <x:f>ABS(D1951-E1951)</x:f>
        <x:v>0.0031304439695800657</x:v>
      </x:c>
    </x:row>
    <x:row r="1952">
      <x:c r="A1952" s="107" t="n">
        <x:v>1951</x:v>
      </x:c>
      <x:c r="B1952" s="128" t="n">
        <x:v>2.903857580161816</x:v>
      </x:c>
      <x:c r="C1952" s="128" t="n">
        <x:f>LN(B1952)</x:f>
        <x:v>1.066040053115917</x:v>
      </x:c>
      <x:c r="D1952" s="128" t="n">
        <x:f>'Итоги'!$B$8*AVERAGE($C$2:C1952)</x:f>
        <x:v>1.2993943283215557</x:v>
      </x:c>
      <x:c r="E1952" s="128" t="n">
        <x:f>'Итоги'!$B$9</x:f>
        <x:v>1.2958368660043291</x:v>
      </x:c>
      <x:c r="F1952" s="129" t="n">
        <x:f>ABS(D1952-E1952)</x:f>
        <x:v>0.003557462317226534</x:v>
      </x:c>
    </x:row>
    <x:row r="1953">
      <x:c r="A1953" s="107" t="n">
        <x:v>1952</x:v>
      </x:c>
      <x:c r="B1953" s="128" t="n">
        <x:v>1.0241037260318504</x:v>
      </x:c>
      <x:c r="C1953" s="128" t="n">
        <x:f>LN(B1953)</x:f>
        <x:v>0.023817816440307626</x:v>
      </x:c>
      <x:c r="D1953" s="128" t="n">
        <x:f>'Итоги'!$B$8*AVERAGE($C$2:C1953)</x:f>
        <x:v>1.2987530584980713</x:v>
      </x:c>
      <x:c r="E1953" s="128" t="n">
        <x:f>'Итоги'!$B$9</x:f>
        <x:v>1.2958368660043291</x:v>
      </x:c>
      <x:c r="F1953" s="129" t="n">
        <x:f>ABS(D1953-E1953)</x:f>
        <x:v>0.002916192493742198</x:v>
      </x:c>
    </x:row>
    <x:row r="1954">
      <x:c r="A1954" s="107" t="n">
        <x:v>1953</x:v>
      </x:c>
      <x:c r="B1954" s="128" t="n">
        <x:v>2.526038593553496</x:v>
      </x:c>
      <x:c r="C1954" s="128" t="n">
        <x:f>LN(B1954)</x:f>
        <x:v>0.926652302336325</x:v>
      </x:c>
      <x:c r="D1954" s="128" t="n">
        <x:f>'Итоги'!$B$8*AVERAGE($C$2:C1954)</x:f>
        <x:v>1.2990370070624209</x:v>
      </x:c>
      <x:c r="E1954" s="128" t="n">
        <x:f>'Итоги'!$B$9</x:f>
        <x:v>1.2958368660043291</x:v>
      </x:c>
      <x:c r="F1954" s="129" t="n">
        <x:f>ABS(D1954-E1954)</x:f>
        <x:v>0.0032001410580917433</x:v>
      </x:c>
    </x:row>
    <x:row r="1955">
      <x:c r="A1955" s="107" t="n">
        <x:v>1954</x:v>
      </x:c>
      <x:c r="B1955" s="128" t="n">
        <x:v>2.940403145139687</x:v>
      </x:c>
      <x:c r="C1955" s="128" t="n">
        <x:f>LN(B1955)</x:f>
        <x:v>1.0785466961470993</x:v>
      </x:c>
      <x:c r="D1955" s="128" t="n">
        <x:f>'Итоги'!$B$8*AVERAGE($C$2:C1955)</x:f>
        <x:v>1.2994761352022528</x:v>
      </x:c>
      <x:c r="E1955" s="128" t="n">
        <x:f>'Итоги'!$B$9</x:f>
        <x:v>1.2958368660043291</x:v>
      </x:c>
      <x:c r="F1955" s="129" t="n">
        <x:f>ABS(D1955-E1955)</x:f>
        <x:v>0.003639269197923678</x:v>
      </x:c>
    </x:row>
    <x:row r="1956">
      <x:c r="A1956" s="107" t="n">
        <x:v>1955</x:v>
      </x:c>
      <x:c r="B1956" s="128" t="n">
        <x:v>2.8118044376355567</x:v>
      </x:c>
      <x:c r="C1956" s="128" t="n">
        <x:f>LN(B1956)</x:f>
        <x:v>1.0338264258812013</x:v>
      </x:c>
      <x:c r="D1956" s="128" t="n">
        <x:f>'Итоги'!$B$8*AVERAGE($C$2:C1956)</x:f>
        <x:v>1.2998690644690356</x:v>
      </x:c>
      <x:c r="E1956" s="128" t="n">
        <x:f>'Итоги'!$B$9</x:f>
        <x:v>1.2958368660043291</x:v>
      </x:c>
      <x:c r="F1956" s="129" t="n">
        <x:f>ABS(D1956-E1956)</x:f>
        <x:v>0.004032198464706482</x:v>
      </x:c>
    </x:row>
    <x:row r="1957">
      <x:c r="A1957" s="107" t="n">
        <x:v>1956</x:v>
      </x:c>
      <x:c r="B1957" s="128" t="n">
        <x:v>2.941420322392426</x:v>
      </x:c>
      <x:c r="C1957" s="128" t="n">
        <x:f>LN(B1957)</x:f>
        <x:v>1.0788925675485428</x:v>
      </x:c>
      <x:c r="D1957" s="128" t="n">
        <x:f>'Итоги'!$B$8*AVERAGE($C$2:C1957)</x:f>
        <x:v>1.3003076718671072</x:v>
      </x:c>
      <x:c r="E1957" s="128" t="n">
        <x:f>'Итоги'!$B$9</x:f>
        <x:v>1.2958368660043291</x:v>
      </x:c>
      <x:c r="F1957" s="129" t="n">
        <x:f>ABS(D1957-E1957)</x:f>
        <x:v>0.004470805862778038</x:v>
      </x:c>
    </x:row>
    <x:row r="1958">
      <x:c r="A1958" s="107" t="n">
        <x:v>1957</x:v>
      </x:c>
      <x:c r="B1958" s="128" t="n">
        <x:v>2.100647011395279</x:v>
      </x:c>
      <x:c r="C1958" s="128" t="n">
        <x:f>LN(B1958)</x:f>
        <x:v>0.7422453979405328</x:v>
      </x:c>
      <x:c r="D1958" s="128" t="n">
        <x:f>'Итоги'!$B$8*AVERAGE($C$2:C1958)</x:f>
        <x:v>1.3004017869023723</x:v>
      </x:c>
      <x:c r="E1958" s="128" t="n">
        <x:f>'Итоги'!$B$9</x:f>
        <x:v>1.2958368660043291</x:v>
      </x:c>
      <x:c r="F1958" s="129" t="n">
        <x:f>ABS(D1958-E1958)</x:f>
        <x:v>0.004564920898043168</x:v>
      </x:c>
    </x:row>
    <x:row r="1959">
      <x:c r="A1959" s="107" t="n">
        <x:v>1958</x:v>
      </x:c>
      <x:c r="B1959" s="128" t="n">
        <x:v>1.1563122797707766</x:v>
      </x:c>
      <x:c r="C1959" s="128" t="n">
        <x:f>LN(B1959)</x:f>
        <x:v>0.14523587197944354</x:v>
      </x:c>
      <x:c r="D1959" s="128" t="n">
        <x:f>'Итоги'!$B$8*AVERAGE($C$2:C1959)</x:f>
        <x:v>1.2998859901490813</x:v>
      </x:c>
      <x:c r="E1959" s="128" t="n">
        <x:f>'Итоги'!$B$9</x:f>
        <x:v>1.2958368660043291</x:v>
      </x:c>
      <x:c r="F1959" s="129" t="n">
        <x:f>ABS(D1959-E1959)</x:f>
        <x:v>0.004049124144752225</x:v>
      </x:c>
    </x:row>
    <x:row r="1960">
      <x:c r="A1960" s="107" t="n">
        <x:v>1959</x:v>
      </x:c>
      <x:c r="B1960" s="128" t="n">
        <x:v>2.6995783956100725</x:v>
      </x:c>
      <x:c r="C1960" s="128" t="n">
        <x:f>LN(B1960)</x:f>
        <x:v>0.9930956110435909</x:v>
      </x:c>
      <x:c r="D1960" s="128" t="n">
        <x:f>'Итоги'!$B$8*AVERAGE($C$2:C1960)</x:f>
        <x:v>1.3002363246217399</x:v>
      </x:c>
      <x:c r="E1960" s="128" t="n">
        <x:f>'Итоги'!$B$9</x:f>
        <x:v>1.2958368660043291</x:v>
      </x:c>
      <x:c r="F1960" s="129" t="n">
        <x:f>ABS(D1960-E1960)</x:f>
        <x:v>0.004399458617410756</x:v>
      </x:c>
    </x:row>
    <x:row r="1961">
      <x:c r="A1961" s="107" t="n">
        <x:v>1960</x:v>
      </x:c>
      <x:c r="B1961" s="128" t="n">
        <x:v>2.227656511618023</x:v>
      </x:c>
      <x:c r="C1961" s="128" t="n">
        <x:f>LN(B1961)</x:f>
        <x:v>0.8009501412471215</x:v>
      </x:c>
      <x:c r="D1961" s="128" t="n">
        <x:f>'Итоги'!$B$8*AVERAGE($C$2:C1961)</x:f>
        <x:v>1.300390234804328</x:v>
      </x:c>
      <x:c r="E1961" s="128" t="n">
        <x:f>'Итоги'!$B$9</x:f>
        <x:v>1.2958368660043291</x:v>
      </x:c>
      <x:c r="F1961" s="129" t="n">
        <x:f>ABS(D1961-E1961)</x:f>
        <x:v>0.0045533687999987915</x:v>
      </x:c>
    </x:row>
    <x:row r="1962">
      <x:c r="A1962" s="107" t="n">
        <x:v>1961</x:v>
      </x:c>
      <x:c r="B1962" s="128" t="n">
        <x:v>2.229473488376578</x:v>
      </x:c>
      <x:c r="C1962" s="128" t="n">
        <x:f>LN(B1962)</x:f>
        <x:v>0.8017654537281159</x:v>
      </x:c>
      <x:c r="D1962" s="128" t="n">
        <x:f>'Итоги'!$B$8*AVERAGE($C$2:C1962)</x:f>
        <x:v>1.3005448195430591</x:v>
      </x:c>
      <x:c r="E1962" s="128" t="n">
        <x:f>'Итоги'!$B$9</x:f>
        <x:v>1.2958368660043291</x:v>
      </x:c>
      <x:c r="F1962" s="129" t="n">
        <x:f>ABS(D1962-E1962)</x:f>
        <x:v>0.004707953538729992</x:v>
      </x:c>
    </x:row>
    <x:row r="1963">
      <x:c r="A1963" s="107" t="n">
        <x:v>1962</x:v>
      </x:c>
      <x:c r="B1963" s="128" t="n">
        <x:v>1.8345072197173724</x:v>
      </x:c>
      <x:c r="C1963" s="128" t="n">
        <x:f>LN(B1963)</x:f>
        <x:v>0.6067759003286893</x:v>
      </x:c>
      <x:c r="D1963" s="128" t="n">
        <x:f>'Итоги'!$B$8*AVERAGE($C$2:C1963)</x:f>
        <x:v>1.3005004805935763</x:v>
      </x:c>
      <x:c r="E1963" s="128" t="n">
        <x:f>'Итоги'!$B$9</x:f>
        <x:v>1.2958368660043291</x:v>
      </x:c>
      <x:c r="F1963" s="129" t="n">
        <x:f>ABS(D1963-E1963)</x:f>
        <x:v>0.004663614589247134</x:v>
      </x:c>
    </x:row>
    <x:row r="1964">
      <x:c r="A1964" s="107" t="n">
        <x:v>1963</x:v>
      </x:c>
      <x:c r="B1964" s="128" t="n">
        <x:v>2.1436839530422183</x:v>
      </x:c>
      <x:c r="C1964" s="128" t="n">
        <x:f>LN(B1964)</x:f>
        <x:v>0.7625258223809874</x:v>
      </x:c>
      <x:c r="D1964" s="128" t="n">
        <x:f>'Итоги'!$B$8*AVERAGE($C$2:C1964)</x:f>
        <x:v>1.300614872424533</x:v>
      </x:c>
      <x:c r="E1964" s="128" t="n">
        <x:f>'Итоги'!$B$9</x:f>
        <x:v>1.2958368660043291</x:v>
      </x:c>
      <x:c r="F1964" s="129" t="n">
        <x:f>ABS(D1964-E1964)</x:f>
        <x:v>0.004778006420203873</x:v>
      </x:c>
    </x:row>
    <x:row r="1965">
      <x:c r="A1965" s="107" t="n">
        <x:v>1964</x:v>
      </x:c>
      <x:c r="B1965" s="128" t="n">
        <x:v>1.307159558172229</x:v>
      </x:c>
      <x:c r="C1965" s="128" t="n">
        <x:f>LN(B1965)</x:f>
        <x:v>0.26785650689427654</x:v>
      </x:c>
      <x:c r="D1965" s="128" t="n">
        <x:f>'Итоги'!$B$8*AVERAGE($C$2:C1965)</x:f>
        <x:v>1.3002254111930485</x:v>
      </x:c>
      <x:c r="E1965" s="128" t="n">
        <x:f>'Итоги'!$B$9</x:f>
        <x:v>1.2958368660043291</x:v>
      </x:c>
      <x:c r="F1965" s="129" t="n">
        <x:f>ABS(D1965-E1965)</x:f>
        <x:v>0.004388545188719339</x:v>
      </x:c>
    </x:row>
    <x:row r="1966">
      <x:c r="A1966" s="107" t="n">
        <x:v>1965</x:v>
      </x:c>
      <x:c r="B1966" s="128" t="n">
        <x:v>2.4795400531323004</x:v>
      </x:c>
      <x:c r="C1966" s="128" t="n">
        <x:f>LN(B1966)</x:f>
        <x:v>0.9080730805299515</x:v>
      </x:c>
      <x:c r="D1966" s="128" t="n">
        <x:f>'Итоги'!$B$8*AVERAGE($C$2:C1966)</x:f>
        <x:v>1.3004879662820392</x:v>
      </x:c>
      <x:c r="E1966" s="128" t="n">
        <x:f>'Итоги'!$B$9</x:f>
        <x:v>1.2958368660043291</x:v>
      </x:c>
      <x:c r="F1966" s="129" t="n">
        <x:f>ABS(D1966-E1966)</x:f>
        <x:v>0.004651100277710096</x:v>
      </x:c>
    </x:row>
    <x:row r="1967">
      <x:c r="A1967" s="107" t="n">
        <x:v>1966</x:v>
      </x:c>
      <x:c r="B1967" s="128" t="n">
        <x:v>1.1500346147030847</x:v>
      </x:c>
      <x:c r="C1967" s="128" t="n">
        <x:f>LN(B1967)</x:f>
        <x:v>0.1397920416639833</x:v>
      </x:c>
      <x:c r="D1967" s="128" t="n">
        <x:f>'Итоги'!$B$8*AVERAGE($C$2:C1967)</x:f>
        <x:v>1.2999686865857247</x:v>
      </x:c>
      <x:c r="E1967" s="128" t="n">
        <x:f>'Итоги'!$B$9</x:f>
        <x:v>1.2958368660043291</x:v>
      </x:c>
      <x:c r="F1967" s="129" t="n">
        <x:f>ABS(D1967-E1967)</x:f>
        <x:v>0.004131820581395607</x:v>
      </x:c>
    </x:row>
    <x:row r="1968">
      <x:c r="A1968" s="107" t="n">
        <x:v>1967</x:v>
      </x:c>
      <x:c r="B1968" s="128" t="n">
        <x:v>2.459561534087584</x:v>
      </x:c>
      <x:c r="C1968" s="128" t="n">
        <x:f>LN(B1968)</x:f>
        <x:v>0.8999830958821812</x:v>
      </x:c>
      <x:c r="D1968" s="128" t="n">
        <x:f>'Итоги'!$B$8*AVERAGE($C$2:C1968)</x:f>
        <x:v>1.3002228795217585</x:v>
      </x:c>
      <x:c r="E1968" s="128" t="n">
        <x:f>'Итоги'!$B$9</x:f>
        <x:v>1.2958368660043291</x:v>
      </x:c>
      <x:c r="F1968" s="129" t="n">
        <x:f>ABS(D1968-E1968)</x:f>
        <x:v>0.004386013517429399</x:v>
      </x:c>
    </x:row>
    <x:row r="1969">
      <x:c r="A1969" s="107" t="n">
        <x:v>1968</x:v>
      </x:c>
      <x:c r="B1969" s="128" t="n">
        <x:v>2.697956845249708</x:v>
      </x:c>
      <x:c r="C1969" s="128" t="n">
        <x:f>LN(B1969)</x:f>
        <x:v>0.9924947625685784</x:v>
      </x:c>
      <x:c r="D1969" s="128" t="n">
        <x:f>'Итоги'!$B$8*AVERAGE($C$2:C1969)</x:f>
        <x:v>1.3005708300530672</x:v>
      </x:c>
      <x:c r="E1969" s="128" t="n">
        <x:f>'Итоги'!$B$9</x:f>
        <x:v>1.2958368660043291</x:v>
      </x:c>
      <x:c r="F1969" s="129" t="n">
        <x:f>ABS(D1969-E1969)</x:f>
        <x:v>0.0047339640487380485</x:v>
      </x:c>
    </x:row>
    <x:row r="1970">
      <x:c r="A1970" s="107" t="n">
        <x:v>1969</x:v>
      </x:c>
      <x:c r="B1970" s="128" t="n">
        <x:v>1.9449373551289764</x:v>
      </x:c>
      <x:c r="C1970" s="128" t="n">
        <x:f>LN(B1970)</x:f>
        <x:v>0.6652297683918064</x:v>
      </x:c>
      <x:c r="D1970" s="128" t="n">
        <x:f>'Итоги'!$B$8*AVERAGE($C$2:C1970)</x:f>
        <x:v>1.3005860096908175</x:v>
      </x:c>
      <x:c r="E1970" s="128" t="n">
        <x:f>'Итоги'!$B$9</x:f>
        <x:v>1.2958368660043291</x:v>
      </x:c>
      <x:c r="F1970" s="129" t="n">
        <x:f>ABS(D1970-E1970)</x:f>
        <x:v>0.004749143686488377</x:v>
      </x:c>
    </x:row>
    <x:row r="1971">
      <x:c r="A1971" s="107" t="n">
        <x:v>1970</x:v>
      </x:c>
      <x:c r="B1971" s="128" t="n">
        <x:v>2.0196607321140987</x:v>
      </x:c>
      <x:c r="C1971" s="128" t="n">
        <x:f>LN(B1971)</x:f>
        <x:v>0.7029295429082328</x:v>
      </x:c>
      <x:c r="D1971" s="128" t="n">
        <x:f>'Итоги'!$B$8*AVERAGE($C$2:C1971)</x:f>
        <x:v>1.3006394478005259</x:v>
      </x:c>
      <x:c r="E1971" s="128" t="n">
        <x:f>'Итоги'!$B$9</x:f>
        <x:v>1.2958368660043291</x:v>
      </x:c>
      <x:c r="F1971" s="129" t="n">
        <x:f>ABS(D1971-E1971)</x:f>
        <x:v>0.004802581796196748</x:v>
      </x:c>
    </x:row>
    <x:row r="1972">
      <x:c r="A1972" s="107" t="n">
        <x:v>1971</x:v>
      </x:c>
      <x:c r="B1972" s="128" t="n">
        <x:v>1.6244285458441565</x:v>
      </x:c>
      <x:c r="C1972" s="128" t="n">
        <x:f>LN(B1972)</x:f>
        <x:v>0.48515608983747865</x:v>
      </x:c>
      <x:c r="D1972" s="128" t="n">
        <x:f>'Итоги'!$B$8*AVERAGE($C$2:C1972)</x:f>
        <x:v>1.3004718540571847</x:v>
      </x:c>
      <x:c r="E1972" s="128" t="n">
        <x:f>'Итоги'!$B$9</x:f>
        <x:v>1.2958368660043291</x:v>
      </x:c>
      <x:c r="F1972" s="129" t="n">
        <x:f>ABS(D1972-E1972)</x:f>
        <x:v>0.00463498805285556</x:v>
      </x:c>
    </x:row>
    <x:row r="1973">
      <x:c r="A1973" s="107" t="n">
        <x:v>1972</x:v>
      </x:c>
      <x:c r="B1973" s="128" t="n">
        <x:v>2.938917167451175</x:v>
      </x:c>
      <x:c r="C1973" s="128" t="n">
        <x:f>LN(B1973)</x:f>
        <x:v>1.0780412031169029</x:v>
      </x:c>
      <x:c r="D1973" s="128" t="n">
        <x:f>'Итоги'!$B$8*AVERAGE($C$2:C1973)</x:f>
        <x:v>1.300905733647538</x:v>
      </x:c>
      <x:c r="E1973" s="128" t="n">
        <x:f>'Итоги'!$B$9</x:f>
        <x:v>1.2958368660043291</x:v>
      </x:c>
      <x:c r="F1973" s="129" t="n">
        <x:f>ABS(D1973-E1973)</x:f>
        <x:v>0.0050688676432089075</x:v>
      </x:c>
    </x:row>
    <x:row r="1974">
      <x:c r="A1974" s="107" t="n">
        <x:v>1973</x:v>
      </x:c>
      <x:c r="B1974" s="128" t="n">
        <x:v>2.4662489491190906</x:v>
      </x:c>
      <x:c r="C1974" s="128" t="n">
        <x:f>LN(B1974)</x:f>
        <x:v>0.902698352249819</x:v>
      </x:c>
      <x:c r="D1974" s="128" t="n">
        <x:f>'Итоги'!$B$8*AVERAGE($C$2:C1974)</x:f>
        <x:v>1.3011614310478687</x:v>
      </x:c>
      <x:c r="E1974" s="128" t="n">
        <x:f>'Итоги'!$B$9</x:f>
        <x:v>1.2958368660043291</x:v>
      </x:c>
      <x:c r="F1974" s="129" t="n">
        <x:f>ABS(D1974-E1974)</x:f>
        <x:v>0.00532456504353962</x:v>
      </x:c>
    </x:row>
    <x:row r="1975">
      <x:c r="A1975" s="107" t="n">
        <x:v>1974</x:v>
      </x:c>
      <x:c r="B1975" s="128" t="n">
        <x:v>1.73797710660069</x:v>
      </x:c>
      <x:c r="C1975" s="128" t="n">
        <x:f>LN(B1975)</x:f>
        <x:v>0.5527218544898687</x:v>
      </x:c>
      <x:c r="D1975" s="128" t="n">
        <x:f>'Итоги'!$B$8*AVERAGE($C$2:C1975)</x:f>
        <x:v>1.301062283265666</x:v>
      </x:c>
      <x:c r="E1975" s="128" t="n">
        <x:f>'Итоги'!$B$9</x:f>
        <x:v>1.2958368660043291</x:v>
      </x:c>
      <x:c r="F1975" s="129" t="n">
        <x:f>ABS(D1975-E1975)</x:f>
        <x:v>0.005225417261336851</x:v>
      </x:c>
    </x:row>
    <x:row r="1976">
      <x:c r="A1976" s="107" t="n">
        <x:v>1975</x:v>
      </x:c>
      <x:c r="B1976" s="128" t="n">
        <x:v>1.3496147724660101</x:v>
      </x:c>
      <x:c r="C1976" s="128" t="n">
        <x:f>LN(B1976)</x:f>
        <x:v>0.29981919800033463</x:v>
      </x:c>
      <x:c r="D1976" s="128" t="n">
        <x:f>'Итоги'!$B$8*AVERAGE($C$2:C1976)</x:f>
        <x:v>1.3007071319303418</x:v>
      </x:c>
      <x:c r="E1976" s="128" t="n">
        <x:f>'Итоги'!$B$9</x:f>
        <x:v>1.2958368660043291</x:v>
      </x:c>
      <x:c r="F1976" s="129" t="n">
        <x:f>ABS(D1976-E1976)</x:f>
        <x:v>0.004870265926012696</x:v>
      </x:c>
    </x:row>
    <x:row r="1977">
      <x:c r="A1977" s="107" t="n">
        <x:v>1976</x:v>
      </x:c>
      <x:c r="B1977" s="128" t="n">
        <x:v>1.4391591844041827</x:v>
      </x:c>
      <x:c r="C1977" s="128" t="n">
        <x:f>LN(B1977)</x:f>
        <x:v>0.36405904333276345</x:v>
      </x:c>
      <x:c r="D1977" s="128" t="n">
        <x:f>'Итоги'!$B$8*AVERAGE($C$2:C1977)</x:f>
        <x:v>1.300417360146301</x:v>
      </x:c>
      <x:c r="E1977" s="128" t="n">
        <x:f>'Итоги'!$B$9</x:f>
        <x:v>1.2958368660043291</x:v>
      </x:c>
      <x:c r="F1977" s="129" t="n">
        <x:f>ABS(D1977-E1977)</x:f>
        <x:v>0.004580494141971814</x:v>
      </x:c>
    </x:row>
    <x:row r="1978">
      <x:c r="A1978" s="107" t="n">
        <x:v>1977</x:v>
      </x:c>
      <x:c r="B1978" s="128" t="n">
        <x:v>1.9278445722201</x:v>
      </x:c>
      <x:c r="C1978" s="128" t="n">
        <x:f>LN(B1978)</x:f>
        <x:v>0.6564025768702911</x:v>
      </x:c>
      <x:c r="D1978" s="128" t="n">
        <x:f>'Итоги'!$B$8*AVERAGE($C$2:C1978)</x:f>
        <x:v>1.300423626101584</x:v>
      </x:c>
      <x:c r="E1978" s="128" t="n">
        <x:f>'Итоги'!$B$9</x:f>
        <x:v>1.2958368660043291</x:v>
      </x:c>
      <x:c r="F1978" s="129" t="n">
        <x:f>ABS(D1978-E1978)</x:f>
        <x:v>0.004586760097254894</x:v>
      </x:c>
    </x:row>
    <x:row r="1979">
      <x:c r="A1979" s="107" t="n">
        <x:v>1978</x:v>
      </x:c>
      <x:c r="B1979" s="128" t="n">
        <x:v>2.8851368006286755</x:v>
      </x:c>
      <x:c r="C1979" s="128" t="n">
        <x:f>LN(B1979)</x:f>
        <x:v>1.0595723167314248</x:v>
      </x:c>
      <x:c r="D1979" s="128" t="n">
        <x:f>'Итоги'!$B$8*AVERAGE($C$2:C1979)</x:f>
        <x:v>1.300837539654345</x:v>
      </x:c>
      <x:c r="E1979" s="128" t="n">
        <x:f>'Итоги'!$B$9</x:f>
        <x:v>1.2958368660043291</x:v>
      </x:c>
      <x:c r="F1979" s="129" t="n">
        <x:f>ABS(D1979-E1979)</x:f>
        <x:v>0.0050006736500158855</x:v>
      </x:c>
    </x:row>
    <x:row r="1980">
      <x:c r="A1980" s="107" t="n">
        <x:v>1979</x:v>
      </x:c>
      <x:c r="B1980" s="128" t="n">
        <x:v>2.468292691521836</x:v>
      </x:c>
      <x:c r="C1980" s="128" t="n">
        <x:f>LN(B1980)</x:f>
        <x:v>0.9035266936312242</x:v>
      </x:c>
      <x:c r="D1980" s="128" t="n">
        <x:f>'Итоги'!$B$8*AVERAGE($C$2:C1980)</x:f>
        <x:v>1.3010933334126107</x:v>
      </x:c>
      <x:c r="E1980" s="128" t="n">
        <x:f>'Итоги'!$B$9</x:f>
        <x:v>1.2958368660043291</x:v>
      </x:c>
      <x:c r="F1980" s="129" t="n">
        <x:f>ABS(D1980-E1980)</x:f>
        <x:v>0.005256467408281562</x:v>
      </x:c>
    </x:row>
    <x:row r="1981">
      <x:c r="A1981" s="107" t="n">
        <x:v>1980</x:v>
      </x:c>
      <x:c r="B1981" s="128" t="n">
        <x:v>1.4304874963582996</x:v>
      </x:c>
      <x:c r="C1981" s="128" t="n">
        <x:f>LN(B1981)</x:f>
        <x:v>0.35801529272064847</x:v>
      </x:c>
      <x:c r="D1981" s="128" t="n">
        <x:f>'Итоги'!$B$8*AVERAGE($C$2:C1981)</x:f>
        <x:v>1.3007978471762616</x:v>
      </x:c>
      <x:c r="E1981" s="128" t="n">
        <x:f>'Итоги'!$B$9</x:f>
        <x:v>1.2958368660043291</x:v>
      </x:c>
      <x:c r="F1981" s="129" t="n">
        <x:f>ABS(D1981-E1981)</x:f>
        <x:v>0.004960981171932444</x:v>
      </x:c>
    </x:row>
    <x:row r="1982">
      <x:c r="A1982" s="107" t="n">
        <x:v>1981</x:v>
      </x:c>
      <x:c r="B1982" s="128" t="n">
        <x:v>2.719122266837796</x:v>
      </x:c>
      <x:c r="C1982" s="128" t="n">
        <x:f>LN(B1982)</x:f>
        <x:v>1.0003091322148268</x:v>
      </x:c>
      <x:c r="D1982" s="128" t="n">
        <x:f>'Итоги'!$B$8*AVERAGE($C$2:C1982)</x:f>
        <x:v>1.3011511134141482</x:v>
      </x:c>
      <x:c r="E1982" s="128" t="n">
        <x:f>'Итоги'!$B$9</x:f>
        <x:v>1.2958368660043291</x:v>
      </x:c>
      <x:c r="F1982" s="129" t="n">
        <x:f>ABS(D1982-E1982)</x:f>
        <x:v>0.005314247409819117</x:v>
      </x:c>
    </x:row>
    <x:row r="1983">
      <x:c r="A1983" s="107" t="n">
        <x:v>1982</x:v>
      </x:c>
      <x:c r="B1983" s="128" t="n">
        <x:v>1.7564010460193622</x:v>
      </x:c>
      <x:c r="C1983" s="128" t="n">
        <x:f>LN(B1983)</x:f>
        <x:v>0.5632668552525961</x:v>
      </x:c>
      <x:c r="D1983" s="128" t="n">
        <x:f>'Итоги'!$B$8*AVERAGE($C$2:C1983)</x:f>
        <x:v>1.3010630117981496</x:v>
      </x:c>
      <x:c r="E1983" s="128" t="n">
        <x:f>'Итоги'!$B$9</x:f>
        <x:v>1.2958368660043291</x:v>
      </x:c>
      <x:c r="F1983" s="129" t="n">
        <x:f>ABS(D1983-E1983)</x:f>
        <x:v>0.005226145793820525</x:v>
      </x:c>
    </x:row>
    <x:row r="1984">
      <x:c r="A1984" s="107" t="n">
        <x:v>1983</x:v>
      </x:c>
      <x:c r="B1984" s="128" t="n">
        <x:v>2.703444365505037</x:v>
      </x:c>
      <x:c r="C1984" s="128" t="n">
        <x:f>LN(B1984)</x:f>
        <x:v>0.9945266509357563</x:v>
      </x:c>
      <x:c r="D1984" s="128" t="n">
        <x:f>'Итоги'!$B$8*AVERAGE($C$2:C1984)</x:f>
        <x:v>1.3014099559686356</x:v>
      </x:c>
      <x:c r="E1984" s="128" t="n">
        <x:f>'Итоги'!$B$9</x:f>
        <x:v>1.2958368660043291</x:v>
      </x:c>
      <x:c r="F1984" s="129" t="n">
        <x:f>ABS(D1984-E1984)</x:f>
        <x:v>0.005573089964306499</x:v>
      </x:c>
    </x:row>
    <x:row r="1985">
      <x:c r="A1985" s="107" t="n">
        <x:v>1984</x:v>
      </x:c>
      <x:c r="B1985" s="128" t="n">
        <x:v>1.4833991959622619</x:v>
      </x:c>
      <x:c r="C1985" s="128" t="n">
        <x:f>LN(B1985)</x:f>
        <x:v>0.394336208296621</x:v>
      </x:c>
      <x:c r="D1985" s="128" t="n">
        <x:f>'Итоги'!$B$8*AVERAGE($C$2:C1985)</x:f>
        <x:v>1.3011515197088697</x:v>
      </x:c>
      <x:c r="E1985" s="128" t="n">
        <x:f>'Итоги'!$B$9</x:f>
        <x:v>1.2958368660043291</x:v>
      </x:c>
      <x:c r="F1985" s="129" t="n">
        <x:f>ABS(D1985-E1985)</x:f>
        <x:v>0.0053146537045405395</x:v>
      </x:c>
    </x:row>
    <x:row r="1986">
      <x:c r="A1986" s="107" t="n">
        <x:v>1985</x:v>
      </x:c>
      <x:c r="B1986" s="128" t="n">
        <x:v>2.237321223872635</x:v>
      </x:c>
      <x:c r="C1986" s="128" t="n">
        <x:f>LN(B1986)</x:f>
        <x:v>0.8052792680295118</x:v>
      </x:c>
      <x:c r="D1986" s="128" t="n">
        <x:f>'Итоги'!$B$8*AVERAGE($C$2:C1986)</x:f>
        <x:v>1.3013073922611873</x:v>
      </x:c>
      <x:c r="E1986" s="128" t="n">
        <x:f>'Итоги'!$B$9</x:f>
        <x:v>1.2958368660043291</x:v>
      </x:c>
      <x:c r="F1986" s="129" t="n">
        <x:f>ABS(D1986-E1986)</x:f>
        <x:v>0.005470526256858177</x:v>
      </x:c>
    </x:row>
    <x:row r="1987">
      <x:c r="A1987" s="107" t="n">
        <x:v>1986</x:v>
      </x:c>
      <x:c r="B1987" s="128" t="n">
        <x:v>2.853340976162564</x:v>
      </x:c>
      <x:c r="C1987" s="128" t="n">
        <x:f>LN(B1987)</x:f>
        <x:v>1.0484905800436</x:v>
      </x:c>
      <x:c r="D1987" s="128" t="n">
        <x:f>'Итоги'!$B$8*AVERAGE($C$2:C1987)</x:f>
        <x:v>1.3017080336347149</x:v>
      </x:c>
      <x:c r="E1987" s="128" t="n">
        <x:f>'Итоги'!$B$9</x:f>
        <x:v>1.2958368660043291</x:v>
      </x:c>
      <x:c r="F1987" s="129" t="n">
        <x:f>ABS(D1987-E1987)</x:f>
        <x:v>0.005871167630385754</x:v>
      </x:c>
    </x:row>
    <x:row r="1988">
      <x:c r="A1988" s="107" t="n">
        <x:v>1987</x:v>
      </x:c>
      <x:c r="B1988" s="128" t="n">
        <x:v>1.5157880182955883</x:v>
      </x:c>
      <x:c r="C1988" s="128" t="n">
        <x:f>LN(B1988)</x:f>
        <x:v>0.4159354478227828</x:v>
      </x:c>
      <x:c r="D1988" s="128" t="n">
        <x:f>'Итоги'!$B$8*AVERAGE($C$2:C1988)</x:f>
        <x:v>1.3014715781047757</x:v>
      </x:c>
      <x:c r="E1988" s="128" t="n">
        <x:f>'Итоги'!$B$9</x:f>
        <x:v>1.2958368660043291</x:v>
      </x:c>
      <x:c r="F1988" s="129" t="n">
        <x:f>ABS(D1988-E1988)</x:f>
        <x:v>0.005634712100446526</x:v>
      </x:c>
    </x:row>
    <x:row r="1989">
      <x:c r="A1989" s="107" t="n">
        <x:v>1988</x:v>
      </x:c>
      <x:c r="B1989" s="128" t="n">
        <x:v>2.3858531811717096</x:v>
      </x:c>
      <x:c r="C1989" s="128" t="n">
        <x:f>LN(B1989)</x:f>
        <x:v>0.8695567883255103</x:v>
      </x:c>
      <x:c r="D1989" s="128" t="n">
        <x:f>'Итоги'!$B$8*AVERAGE($C$2:C1989)</x:f>
        <x:v>1.3016917199551512</x:v>
      </x:c>
      <x:c r="E1989" s="128" t="n">
        <x:f>'Итоги'!$B$9</x:f>
        <x:v>1.2958368660043291</x:v>
      </x:c>
      <x:c r="F1989" s="129" t="n">
        <x:f>ABS(D1989-E1989)</x:f>
        <x:v>0.005854853950822081</x:v>
      </x:c>
    </x:row>
    <x:row r="1990">
      <x:c r="A1990" s="107" t="n">
        <x:v>1989</x:v>
      </x:c>
      <x:c r="B1990" s="128" t="n">
        <x:v>2.9746252399142876</x:v>
      </x:c>
      <x:c r="C1990" s="128" t="n">
        <x:f>LN(B1990)</x:f>
        <x:v>1.0901180612860244</x:v>
      </x:c>
      <x:c r="D1990" s="128" t="n">
        <x:f>'Итоги'!$B$8*AVERAGE($C$2:C1990)</x:f>
        <x:v>1.3021334215150389</x:v>
      </x:c>
      <x:c r="E1990" s="128" t="n">
        <x:f>'Итоги'!$B$9</x:f>
        <x:v>1.2958368660043291</x:v>
      </x:c>
      <x:c r="F1990" s="129" t="n">
        <x:f>ABS(D1990-E1990)</x:f>
        <x:v>0.006296555510709734</x:v>
      </x:c>
    </x:row>
    <x:row r="1991">
      <x:c r="A1991" s="107" t="n">
        <x:v>1990</x:v>
      </x:c>
      <x:c r="B1991" s="128" t="n">
        <x:v>1.301196574486007</x:v>
      </x:c>
      <x:c r="C1991" s="128" t="n">
        <x:f>LN(B1991)</x:f>
        <x:v>0.26328428303290474</x:v>
      </x:c>
      <x:c r="D1991" s="128" t="n">
        <x:f>'Итоги'!$B$8*AVERAGE($C$2:C1991)</x:f>
        <x:v>1.3017436904318984</x:v>
      </x:c>
      <x:c r="E1991" s="128" t="n">
        <x:f>'Итоги'!$B$9</x:f>
        <x:v>1.2958368660043291</x:v>
      </x:c>
      <x:c r="F1991" s="129" t="n">
        <x:f>ABS(D1991-E1991)</x:f>
        <x:v>0.0059068244275692905</x:v>
      </x:c>
    </x:row>
    <x:row r="1992">
      <x:c r="A1992" s="107" t="n">
        <x:v>1991</x:v>
      </x:c>
      <x:c r="B1992" s="128" t="n">
        <x:v>1.1768045814013488</x:v>
      </x:c>
      <x:c r="C1992" s="128" t="n">
        <x:f>LN(B1992)</x:f>
        <x:v>0.1628027833985908</x:v>
      </x:c>
      <x:c r="D1992" s="128" t="n">
        <x:f>'Итоги'!$B$8*AVERAGE($C$2:C1992)</x:f>
        <x:v>1.301253415131228</x:v>
      </x:c>
      <x:c r="E1992" s="128" t="n">
        <x:f>'Итоги'!$B$9</x:f>
        <x:v>1.2958368660043291</x:v>
      </x:c>
      <x:c r="F1992" s="129" t="n">
        <x:f>ABS(D1992-E1992)</x:f>
        <x:v>0.0054165491268989285</x:v>
      </x:c>
    </x:row>
    <x:row r="1993">
      <x:c r="A1993" s="107" t="n">
        <x:v>1992</x:v>
      </x:c>
      <x:c r="B1993" s="128" t="n">
        <x:v>2.3483903848896324</x:v>
      </x:c>
      <x:c r="C1993" s="128" t="n">
        <x:f>LN(B1993)</x:f>
        <x:v>0.8537301508755606</x:v>
      </x:c>
      <x:c r="D1993" s="128" t="n">
        <x:f>'Итоги'!$B$8*AVERAGE($C$2:C1993)</x:f>
        <x:v>1.3014573342510172</x:v>
      </x:c>
      <x:c r="E1993" s="128" t="n">
        <x:f>'Итоги'!$B$9</x:f>
        <x:v>1.2958368660043291</x:v>
      </x:c>
      <x:c r="F1993" s="129" t="n">
        <x:f>ABS(D1993-E1993)</x:f>
        <x:v>0.0056204682466880485</x:v>
      </x:c>
    </x:row>
    <x:row r="1994">
      <x:c r="A1994" s="107" t="n">
        <x:v>1993</x:v>
      </x:c>
      <x:c r="B1994" s="128" t="n">
        <x:v>1.6794718954980608</x:v>
      </x:c>
      <x:c r="C1994" s="128" t="n">
        <x:f>LN(B1994)</x:f>
        <x:v>0.5184793960796834</x:v>
      </x:c>
      <x:c r="D1994" s="128" t="n">
        <x:f>'Итоги'!$B$8*AVERAGE($C$2:C1994)</x:f>
        <x:v>1.3013246204817792</x:v>
      </x:c>
      <x:c r="E1994" s="128" t="n">
        <x:f>'Итоги'!$B$9</x:f>
        <x:v>1.2958368660043291</x:v>
      </x:c>
      <x:c r="F1994" s="129" t="n">
        <x:f>ABS(D1994-E1994)</x:f>
        <x:v>0.005487754477450091</x:v>
      </x:c>
    </x:row>
    <x:row r="1995">
      <x:c r="A1995" s="107" t="n">
        <x:v>1994</x:v>
      </x:c>
      <x:c r="B1995" s="128" t="n">
        <x:v>1.1424889547331822</x:v>
      </x:c>
      <x:c r="C1995" s="128" t="n">
        <x:f>LN(B1995)</x:f>
        <x:v>0.13320917610989108</x:v>
      </x:c>
      <x:c r="D1995" s="128" t="n">
        <x:f>'Итоги'!$B$8*AVERAGE($C$2:C1995)</x:f>
        <x:v>1.3008056103171541</x:v>
      </x:c>
      <x:c r="E1995" s="128" t="n">
        <x:f>'Итоги'!$B$9</x:f>
        <x:v>1.2958368660043291</x:v>
      </x:c>
      <x:c r="F1995" s="129" t="n">
        <x:f>ABS(D1995-E1995)</x:f>
        <x:v>0.004968744312825013</x:v>
      </x:c>
    </x:row>
    <x:row r="1996">
      <x:c r="A1996" s="107" t="n">
        <x:v>1995</x:v>
      </x:c>
      <x:c r="B1996" s="128" t="n">
        <x:v>1.9506112357672083</x:v>
      </x:c>
      <x:c r="C1996" s="128" t="n">
        <x:f>LN(B1996)</x:f>
        <x:v>0.6681427776987329</x:v>
      </x:c>
      <x:c r="D1996" s="128" t="n">
        <x:f>'Итоги'!$B$8*AVERAGE($C$2:C1996)</x:f>
        <x:v>1.3008233947507784</x:v>
      </x:c>
      <x:c r="E1996" s="128" t="n">
        <x:f>'Итоги'!$B$9</x:f>
        <x:v>1.2958368660043291</x:v>
      </x:c>
      <x:c r="F1996" s="129" t="n">
        <x:f>ABS(D1996-E1996)</x:f>
        <x:v>0.004986528746449226</x:v>
      </x:c>
    </x:row>
    <x:row r="1997">
      <x:c r="A1997" s="107" t="n">
        <x:v>1996</x:v>
      </x:c>
      <x:c r="B1997" s="128" t="n">
        <x:v>2.507541359287911</x:v>
      </x:c>
      <x:c r="C1997" s="128" t="n">
        <x:f>LN(B1997)</x:f>
        <x:v>0.9193027349503923</x:v>
      </x:c>
      <x:c r="D1997" s="128" t="n">
        <x:f>'Итоги'!$B$8*AVERAGE($C$2:C1997)</x:f>
        <x:v>1.3010928246481481</x:v>
      </x:c>
      <x:c r="E1997" s="128" t="n">
        <x:f>'Итоги'!$B$9</x:f>
        <x:v>1.2958368660043291</x:v>
      </x:c>
      <x:c r="F1997" s="129" t="n">
        <x:f>ABS(D1997-E1997)</x:f>
        <x:v>0.005255958643819003</x:v>
      </x:c>
    </x:row>
    <x:row r="1998">
      <x:c r="A1998" s="107" t="n">
        <x:v>1997</x:v>
      </x:c>
      <x:c r="B1998" s="128" t="n">
        <x:v>1.5702448008303775</x:v>
      </x:c>
      <x:c r="C1998" s="128" t="n">
        <x:f>LN(B1998)</x:f>
        <x:v>0.4512315313011002</x:v>
      </x:c>
      <x:c r="D1998" s="128" t="n">
        <x:f>'Итоги'!$B$8*AVERAGE($C$2:C1998)</x:f>
        <x:v>1.3008932103456714</x:v>
      </x:c>
      <x:c r="E1998" s="128" t="n">
        <x:f>'Итоги'!$B$9</x:f>
        <x:v>1.2958368660043291</x:v>
      </x:c>
      <x:c r="F1998" s="129" t="n">
        <x:f>ABS(D1998-E1998)</x:f>
        <x:v>0.005056344341342278</x:v>
      </x:c>
    </x:row>
    <x:row r="1999">
      <x:c r="A1999" s="107" t="n">
        <x:v>1998</x:v>
      </x:c>
      <x:c r="B1999" s="128" t="n">
        <x:v>1.6700937550102695</x:v>
      </x:c>
      <x:c r="C1999" s="128" t="n">
        <x:f>LN(B1999)</x:f>
        <x:v>0.5128797655775444</x:v>
      </x:c>
      <x:c r="D1999" s="128" t="n">
        <x:f>'Итоги'!$B$8*AVERAGE($C$2:C1999)</x:f>
        <x:v>1.300755505801532</x:v>
      </x:c>
      <x:c r="E1999" s="128" t="n">
        <x:f>'Итоги'!$B$9</x:f>
        <x:v>1.2958368660043291</x:v>
      </x:c>
      <x:c r="F1999" s="129" t="n">
        <x:f>ABS(D1999-E1999)</x:f>
        <x:v>0.004918639797202973</x:v>
      </x:c>
    </x:row>
    <x:row r="2000">
      <x:c r="A2000" s="107" t="n">
        <x:v>1999</x:v>
      </x:c>
      <x:c r="B2000" s="128" t="n">
        <x:v>2.6913988012939445</x:v>
      </x:c>
      <x:c r="C2000" s="128" t="n">
        <x:f>LN(B2000)</x:f>
        <x:v>0.9900610589413691</x:v>
      </x:c>
      <x:c r="D2000" s="128" t="n">
        <x:f>'Итоги'!$B$8*AVERAGE($C$2:C2000)</x:f>
        <x:v>1.301095359034189</x:v>
      </x:c>
      <x:c r="E2000" s="128" t="n">
        <x:f>'Итоги'!$B$9</x:f>
        <x:v>1.2958368660043291</x:v>
      </x:c>
      <x:c r="F2000" s="129" t="n">
        <x:f>ABS(D2000-E2000)</x:f>
        <x:v>0.005258493029859812</x:v>
      </x:c>
    </x:row>
    <x:row r="2001">
      <x:c r="A2001" s="110" t="n">
        <x:v>2000</x:v>
      </x:c>
      <x:c r="B2001" s="130" t="n">
        <x:v>2.040143824522976</x:v>
      </x:c>
      <x:c r="C2001" s="130" t="n">
        <x:f>LN(B2001)</x:f>
        <x:v>0.7130203075881056</x:v>
      </x:c>
      <x:c r="D2001" s="130" t="n">
        <x:f>'Итоги'!$B$8*AVERAGE($C$2:C2001)</x:f>
        <x:v>1.3011578316622598</x:v>
      </x:c>
      <x:c r="E2001" s="130" t="n">
        <x:f>'Итоги'!$B$9</x:f>
        <x:v>1.2958368660043291</x:v>
      </x:c>
      <x:c r="F2001" s="131" t="n">
        <x:f>ABS(D2001-E2001)</x:f>
        <x:v>0.005320965657930721</x:v>
      </x:c>
    </x:row>
  </x:sheetData>
  <x:conditionalFormatting sqref="F2:F200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{F88D7474-E993-2A0F-E1EE-3EC91EE7E66A}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da195ca55a943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8D7474-E993-2A0F-E1EE-3EC91EE7E66A}">
            <x14:dataBar gradient="1">
              <x14:cfvo type="min"/>
              <x14:cfvo type="max"/>
              <x14:fillColor rgb="FF4472C4"/>
            </x14:dataBar>
          </x14:cfRule>
          <xm:sqref>F2:F2001</xm:sqref>
        </x14:conditionalFormatting>
      </x14:conditionalFormattings>
    </x:ext>
  </x:extLst>
</x:worksheet>
</file>